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5\Users\Acer\IPQC_Project\FamaxQCSystem\Master_Document\"/>
    </mc:Choice>
  </mc:AlternateContent>
  <xr:revisionPtr revIDLastSave="0" documentId="13_ncr:1_{83BD3211-04FE-48DB-8605-C53D3262DF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PQC FORM" sheetId="3" r:id="rId1"/>
  </sheets>
  <externalReferences>
    <externalReference r:id="rId2"/>
  </externalReferences>
  <definedNames>
    <definedName name="AppCRange">#REF!</definedName>
    <definedName name="NumAppraisers">[1]Setup!$G$21</definedName>
    <definedName name="NumTrials">[1]Setup!$J$21</definedName>
    <definedName name="SampSize">[1]Setup!$D$21</definedName>
    <definedName name="XBarA">#REF!</definedName>
    <definedName name="XBarB">#REF!</definedName>
    <definedName name="XBar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3" l="1"/>
  <c r="I43" i="3"/>
  <c r="I44" i="3"/>
  <c r="I45" i="3"/>
  <c r="I46" i="3"/>
  <c r="I41" i="3"/>
  <c r="A42" i="3"/>
  <c r="A43" i="3"/>
  <c r="A44" i="3"/>
  <c r="A45" i="3"/>
  <c r="A46" i="3"/>
  <c r="A41" i="3"/>
  <c r="O46" i="3"/>
  <c r="N46" i="3"/>
  <c r="M46" i="3"/>
  <c r="P46" i="3" s="1"/>
  <c r="G46" i="3"/>
  <c r="F46" i="3"/>
  <c r="E46" i="3"/>
  <c r="H46" i="3" s="1"/>
  <c r="O45" i="3"/>
  <c r="N45" i="3"/>
  <c r="M45" i="3"/>
  <c r="P45" i="3" s="1"/>
  <c r="H45" i="3"/>
  <c r="G45" i="3"/>
  <c r="F45" i="3"/>
  <c r="E45" i="3"/>
  <c r="O44" i="3"/>
  <c r="N44" i="3"/>
  <c r="M44" i="3"/>
  <c r="P44" i="3" s="1"/>
  <c r="G44" i="3"/>
  <c r="F44" i="3"/>
  <c r="E44" i="3"/>
  <c r="H44" i="3" s="1"/>
  <c r="O43" i="3"/>
  <c r="N43" i="3"/>
  <c r="M43" i="3"/>
  <c r="P43" i="3" s="1"/>
  <c r="G43" i="3"/>
  <c r="F43" i="3"/>
  <c r="E43" i="3"/>
  <c r="H43" i="3" s="1"/>
  <c r="O42" i="3"/>
  <c r="N42" i="3"/>
  <c r="M42" i="3"/>
  <c r="P42" i="3" s="1"/>
  <c r="G42" i="3"/>
  <c r="F42" i="3"/>
  <c r="E42" i="3"/>
  <c r="H42" i="3" s="1"/>
  <c r="O41" i="3"/>
  <c r="N41" i="3"/>
  <c r="M41" i="3"/>
  <c r="P41" i="3" s="1"/>
  <c r="G41" i="3"/>
  <c r="F41" i="3"/>
  <c r="E41" i="3"/>
  <c r="H41" i="3" s="1"/>
  <c r="B46" i="3" a="1"/>
  <c r="B46" i="3" s="1"/>
  <c r="B45" i="3" a="1"/>
  <c r="B45" i="3" s="1"/>
  <c r="B44" i="3" a="1"/>
  <c r="B44" i="3" s="1"/>
  <c r="B43" i="3" a="1"/>
  <c r="B43" i="3" s="1"/>
  <c r="B42" i="3" a="1"/>
  <c r="B42" i="3" s="1"/>
  <c r="S7" i="3"/>
  <c r="J46" i="3" l="1" a="1"/>
  <c r="J46" i="3" s="1"/>
  <c r="J45" i="3" a="1"/>
  <c r="J45" i="3" s="1"/>
  <c r="J44" i="3" a="1"/>
  <c r="J44" i="3" s="1"/>
  <c r="J43" i="3" a="1"/>
  <c r="J43" i="3" s="1"/>
  <c r="J42" i="3" a="1"/>
  <c r="J42" i="3" s="1"/>
  <c r="J41" i="3" a="1"/>
  <c r="J41" i="3" s="1"/>
  <c r="C46" i="3"/>
  <c r="D46" i="3"/>
  <c r="C45" i="3"/>
  <c r="D45" i="3"/>
  <c r="C44" i="3"/>
  <c r="D44" i="3"/>
  <c r="C43" i="3"/>
  <c r="D43" i="3"/>
  <c r="C42" i="3"/>
  <c r="D42" i="3"/>
  <c r="B41" i="3" a="1"/>
  <c r="B41" i="3" s="1"/>
  <c r="K46" i="3" l="1"/>
  <c r="L46" i="3"/>
  <c r="K45" i="3"/>
  <c r="L45" i="3"/>
  <c r="K44" i="3"/>
  <c r="L44" i="3"/>
  <c r="K43" i="3"/>
  <c r="L43" i="3"/>
  <c r="K42" i="3"/>
  <c r="L42" i="3"/>
  <c r="K41" i="3"/>
  <c r="L41" i="3"/>
  <c r="C41" i="3"/>
  <c r="D41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<sst xmlns="http://schemas.openxmlformats.org/spreadsheetml/2006/main" count="73" uniqueCount="60">
  <si>
    <r>
      <rPr>
        <b/>
        <sz val="22"/>
        <color theme="1"/>
        <rFont val="Calibri"/>
        <family val="2"/>
      </rPr>
      <t>FAMAX TECHNOLOGY (M) SDN. BHD.</t>
    </r>
    <r>
      <rPr>
        <b/>
        <sz val="24"/>
        <color theme="1"/>
        <rFont val="Calibri"/>
        <family val="2"/>
      </rPr>
      <t xml:space="preserve"> </t>
    </r>
    <r>
      <rPr>
        <b/>
        <sz val="14"/>
        <color theme="1"/>
        <rFont val="Calibri"/>
        <family val="2"/>
      </rPr>
      <t>200601028954 (748710 - K )</t>
    </r>
  </si>
  <si>
    <t xml:space="preserve">IPQC REPORT </t>
  </si>
  <si>
    <t>PART DESCRIPTION :</t>
  </si>
  <si>
    <t>PREPARED BY:</t>
  </si>
  <si>
    <t>VERIFIED BY:</t>
  </si>
  <si>
    <t>APPROVE BY:</t>
  </si>
  <si>
    <t>DOCUMENT NO:</t>
  </si>
  <si>
    <t>PART NO:</t>
  </si>
  <si>
    <t>ENG</t>
  </si>
  <si>
    <t>QA</t>
  </si>
  <si>
    <t>DIRECTOR</t>
  </si>
  <si>
    <t>RAW MATERIAL GRADE:</t>
  </si>
  <si>
    <t>RAW MATERIAL SIZE</t>
  </si>
  <si>
    <t>PROCESS :</t>
  </si>
  <si>
    <t>PROCESS NO:</t>
  </si>
  <si>
    <t>RAW MATERIAL:</t>
  </si>
  <si>
    <t>REVISION NO:</t>
  </si>
  <si>
    <t>EFFECTIVE DATE:</t>
  </si>
  <si>
    <t>PAGE NO:</t>
  </si>
  <si>
    <t>/</t>
  </si>
  <si>
    <t>DATE:</t>
  </si>
  <si>
    <t>POINT (DWG ZONE)</t>
  </si>
  <si>
    <t>MIN  or "OK"</t>
  </si>
  <si>
    <t>Estimate(on Desire Cpk)</t>
  </si>
  <si>
    <t xml:space="preserve"> SHIFT</t>
  </si>
  <si>
    <t>MORNING :</t>
  </si>
  <si>
    <t>MACHINE NO:</t>
  </si>
  <si>
    <t>(LSL)</t>
  </si>
  <si>
    <t>(USL)</t>
  </si>
  <si>
    <t xml:space="preserve">QC/QCF/- </t>
  </si>
  <si>
    <t>LCL</t>
  </si>
  <si>
    <t>UCL</t>
  </si>
  <si>
    <t>8.00-9.00</t>
  </si>
  <si>
    <t>9.00-10.00</t>
  </si>
  <si>
    <t>10.00-11.00</t>
  </si>
  <si>
    <t>11.00-12.00</t>
  </si>
  <si>
    <t>12.00-1.00</t>
  </si>
  <si>
    <t>2.00-3.00</t>
  </si>
  <si>
    <t>3.00-4.00</t>
  </si>
  <si>
    <t>4.00-5.00</t>
  </si>
  <si>
    <t>5.00-6.00</t>
  </si>
  <si>
    <t>6.00-7.00</t>
  </si>
  <si>
    <t>7.00-8.00</t>
  </si>
  <si>
    <t>NIGHT:</t>
  </si>
  <si>
    <t>MEASURING INSTRUMENT</t>
  </si>
  <si>
    <t>MAXor"NG"</t>
  </si>
  <si>
    <t>QC/QCF?</t>
  </si>
  <si>
    <t>(V/A)</t>
  </si>
  <si>
    <t>INSPECTION ANALYSIS</t>
  </si>
  <si>
    <t>DISP/N</t>
  </si>
  <si>
    <t>MAX</t>
  </si>
  <si>
    <t>MIN</t>
  </si>
  <si>
    <t>Xbar (AVG)</t>
  </si>
  <si>
    <t>Range</t>
  </si>
  <si>
    <t>Sigma</t>
  </si>
  <si>
    <t>Cpk</t>
  </si>
  <si>
    <t>INSPECTED BY:</t>
  </si>
  <si>
    <t>EFFECTIVE DATE: 12 MARCH 2025</t>
  </si>
  <si>
    <t>RETENTION PERIOD: 2 YEARS</t>
  </si>
  <si>
    <t>REC-QAS002-08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</si>
</sst>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9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24"/>
      <color theme="1"/>
      <name val="Calibri"/>
      <family val="2"/>
    </font>
    <font>
      <b/>
      <sz val="22"/>
      <color theme="1"/>
      <name val="Calibri"/>
      <family val="2"/>
    </font>
    <font>
      <b/>
      <sz val="14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.3000000000000007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0">
    <border>
      <left/>
      <right/>
      <top/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9" xfId="0" applyBorder="1" applyProtection="1"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8" xfId="0" applyBorder="1" applyProtection="1">
      <protection hidden="1"/>
    </xf>
    <xf numFmtId="0" fontId="1" fillId="0" borderId="8" xfId="0" applyFont="1" applyBorder="1" applyProtection="1">
      <protection hidden="1"/>
    </xf>
    <xf numFmtId="0" fontId="0" fillId="0" borderId="9" xfId="0" applyBorder="1" applyProtection="1">
      <protection locked="0" hidden="1"/>
    </xf>
    <xf numFmtId="0" fontId="0" fillId="0" borderId="15" xfId="0" applyBorder="1" applyProtection="1">
      <protection locked="0" hidden="1"/>
    </xf>
    <xf numFmtId="0" fontId="0" fillId="0" borderId="15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left"/>
      <protection locked="0" hidden="1"/>
    </xf>
    <xf numFmtId="0" fontId="0" fillId="0" borderId="23" xfId="0" applyBorder="1" applyAlignment="1" applyProtection="1">
      <alignment horizontal="left"/>
      <protection locked="0" hidden="1"/>
    </xf>
    <xf numFmtId="0" fontId="0" fillId="0" borderId="25" xfId="0" applyBorder="1" applyAlignment="1" applyProtection="1">
      <alignment horizontal="center" vertical="center"/>
      <protection hidden="1"/>
    </xf>
    <xf numFmtId="0" fontId="0" fillId="0" borderId="23" xfId="0" applyBorder="1" applyProtection="1">
      <protection locked="0" hidden="1"/>
    </xf>
    <xf numFmtId="0" fontId="0" fillId="0" borderId="28" xfId="0" applyBorder="1" applyAlignment="1" applyProtection="1">
      <alignment horizontal="left"/>
      <protection hidden="1"/>
    </xf>
    <xf numFmtId="0" fontId="0" fillId="0" borderId="4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13" xfId="0" applyBorder="1" applyProtection="1">
      <protection hidden="1"/>
    </xf>
    <xf numFmtId="0" fontId="0" fillId="0" borderId="23" xfId="0" applyBorder="1" applyAlignment="1" applyProtection="1">
      <alignment horizontal="center" vertical="center"/>
      <protection hidden="1"/>
    </xf>
    <xf numFmtId="0" fontId="0" fillId="0" borderId="17" xfId="0" applyBorder="1" applyProtection="1">
      <protection hidden="1"/>
    </xf>
    <xf numFmtId="0" fontId="0" fillId="0" borderId="15" xfId="0" applyBorder="1" applyProtection="1">
      <protection hidden="1"/>
    </xf>
    <xf numFmtId="0" fontId="0" fillId="0" borderId="16" xfId="0" applyBorder="1" applyProtection="1">
      <protection hidden="1"/>
    </xf>
    <xf numFmtId="0" fontId="0" fillId="0" borderId="30" xfId="0" applyBorder="1" applyAlignment="1" applyProtection="1">
      <alignment horizontal="center" vertical="center"/>
      <protection hidden="1"/>
    </xf>
    <xf numFmtId="0" fontId="0" fillId="0" borderId="31" xfId="0" applyBorder="1" applyAlignment="1" applyProtection="1">
      <alignment horizontal="center" vertical="center"/>
      <protection hidden="1"/>
    </xf>
    <xf numFmtId="0" fontId="0" fillId="0" borderId="14" xfId="0" applyBorder="1" applyProtection="1"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26" xfId="0" applyBorder="1" applyProtection="1">
      <protection hidden="1"/>
    </xf>
    <xf numFmtId="0" fontId="1" fillId="0" borderId="19" xfId="0" applyFont="1" applyBorder="1" applyAlignment="1" applyProtection="1">
      <alignment horizontal="center" vertical="center"/>
      <protection hidden="1"/>
    </xf>
    <xf numFmtId="0" fontId="1" fillId="0" borderId="9" xfId="0" applyFont="1" applyBorder="1" applyAlignment="1" applyProtection="1">
      <alignment horizontal="center" vertical="center"/>
      <protection hidden="1"/>
    </xf>
    <xf numFmtId="0" fontId="1" fillId="0" borderId="23" xfId="0" applyFon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49" fontId="1" fillId="0" borderId="9" xfId="0" applyNumberFormat="1" applyFont="1" applyBorder="1" applyAlignment="1" applyProtection="1">
      <alignment horizontal="center" vertical="center"/>
      <protection hidden="1"/>
    </xf>
    <xf numFmtId="0" fontId="1" fillId="0" borderId="17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left" wrapText="1"/>
      <protection hidden="1"/>
    </xf>
    <xf numFmtId="0" fontId="0" fillId="0" borderId="10" xfId="0" applyBorder="1" applyAlignment="1" applyProtection="1">
      <alignment horizontal="left" wrapText="1"/>
      <protection hidden="1"/>
    </xf>
    <xf numFmtId="0" fontId="0" fillId="0" borderId="13" xfId="0" applyBorder="1" applyAlignment="1" applyProtection="1">
      <alignment horizontal="left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1" fillId="0" borderId="6" xfId="0" applyFont="1" applyBorder="1" applyAlignment="1" applyProtection="1">
      <alignment horizontal="center"/>
      <protection hidden="1"/>
    </xf>
    <xf numFmtId="0" fontId="1" fillId="0" borderId="11" xfId="0" applyFont="1" applyBorder="1" applyAlignment="1" applyProtection="1">
      <alignment horizontal="center"/>
      <protection hidden="1"/>
    </xf>
    <xf numFmtId="0" fontId="5" fillId="0" borderId="9" xfId="0" applyFont="1" applyBorder="1" applyAlignment="1" applyProtection="1">
      <alignment horizontal="center" vertical="center"/>
      <protection hidden="1"/>
    </xf>
    <xf numFmtId="0" fontId="1" fillId="0" borderId="18" xfId="0" applyFont="1" applyBorder="1" applyAlignment="1" applyProtection="1">
      <alignment horizontal="center" vertical="center"/>
      <protection hidden="1"/>
    </xf>
    <xf numFmtId="0" fontId="1" fillId="0" borderId="19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20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164" fontId="1" fillId="0" borderId="17" xfId="0" applyNumberFormat="1" applyFont="1" applyBorder="1" applyAlignment="1" applyProtection="1">
      <alignment horizontal="center"/>
      <protection hidden="1"/>
    </xf>
    <xf numFmtId="164" fontId="1" fillId="0" borderId="16" xfId="0" applyNumberFormat="1" applyFont="1" applyBorder="1" applyAlignment="1" applyProtection="1">
      <alignment horizontal="center"/>
      <protection hidden="1"/>
    </xf>
    <xf numFmtId="164" fontId="1" fillId="0" borderId="21" xfId="0" applyNumberFormat="1" applyFont="1" applyBorder="1" applyAlignment="1" applyProtection="1">
      <alignment horizontal="center"/>
      <protection hidden="1"/>
    </xf>
    <xf numFmtId="0" fontId="0" fillId="0" borderId="18" xfId="0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49" fontId="1" fillId="0" borderId="9" xfId="0" quotePrefix="1" applyNumberFormat="1" applyFont="1" applyBorder="1" applyAlignment="1" applyProtection="1">
      <alignment horizontal="center" vertical="center"/>
      <protection hidden="1"/>
    </xf>
    <xf numFmtId="49" fontId="1" fillId="0" borderId="9" xfId="0" applyNumberFormat="1" applyFont="1" applyBorder="1" applyAlignment="1" applyProtection="1">
      <alignment horizontal="center" vertical="center"/>
      <protection hidden="1"/>
    </xf>
    <xf numFmtId="49" fontId="1" fillId="0" borderId="17" xfId="0" quotePrefix="1" applyNumberFormat="1" applyFont="1" applyBorder="1" applyAlignment="1" applyProtection="1">
      <alignment horizontal="center" vertical="center"/>
      <protection hidden="1"/>
    </xf>
    <xf numFmtId="49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24" xfId="0" applyFont="1" applyBorder="1" applyAlignment="1" applyProtection="1">
      <alignment horizontal="center" vertical="center" wrapText="1"/>
      <protection hidden="1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7" fillId="0" borderId="9" xfId="0" applyFont="1" applyBorder="1" applyAlignment="1" applyProtection="1">
      <alignment horizontal="center" wrapText="1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0" fontId="1" fillId="2" borderId="9" xfId="0" applyFont="1" applyFill="1" applyBorder="1" applyAlignment="1" applyProtection="1">
      <alignment horizontal="center"/>
      <protection hidden="1"/>
    </xf>
    <xf numFmtId="0" fontId="1" fillId="2" borderId="23" xfId="0" applyFont="1" applyFill="1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 vertical="center"/>
      <protection hidden="1"/>
    </xf>
    <xf numFmtId="0" fontId="1" fillId="2" borderId="17" xfId="0" applyFont="1" applyFill="1" applyBorder="1" applyAlignment="1" applyProtection="1">
      <alignment horizontal="center"/>
      <protection hidden="1"/>
    </xf>
    <xf numFmtId="0" fontId="1" fillId="2" borderId="16" xfId="0" applyFont="1" applyFill="1" applyBorder="1" applyAlignment="1" applyProtection="1">
      <alignment horizontal="center"/>
      <protection hidden="1"/>
    </xf>
    <xf numFmtId="0" fontId="1" fillId="2" borderId="21" xfId="0" applyFont="1" applyFill="1" applyBorder="1" applyAlignment="1" applyProtection="1">
      <alignment horizontal="center"/>
      <protection hidden="1"/>
    </xf>
    <xf numFmtId="0" fontId="1" fillId="2" borderId="16" xfId="0" applyFont="1" applyFill="1" applyBorder="1" applyAlignment="1" applyProtection="1">
      <alignment horizontal="center" vertical="center"/>
      <protection hidden="1"/>
    </xf>
    <xf numFmtId="0" fontId="1" fillId="2" borderId="17" xfId="0" applyFont="1" applyFill="1" applyBorder="1" applyAlignment="1" applyProtection="1">
      <alignment horizontal="center" vertical="center"/>
      <protection hidden="1"/>
    </xf>
    <xf numFmtId="0" fontId="1" fillId="2" borderId="15" xfId="0" applyFont="1" applyFill="1" applyBorder="1" applyAlignment="1" applyProtection="1">
      <alignment horizontal="center" vertical="center"/>
      <protection hidden="1"/>
    </xf>
    <xf numFmtId="0" fontId="0" fillId="0" borderId="26" xfId="0" applyBorder="1" applyAlignment="1" applyProtection="1">
      <alignment horizontal="center"/>
      <protection hidden="1"/>
    </xf>
    <xf numFmtId="0" fontId="0" fillId="0" borderId="27" xfId="0" applyBorder="1" applyAlignment="1" applyProtection="1">
      <alignment horizontal="center"/>
      <protection hidden="1"/>
    </xf>
    <xf numFmtId="0" fontId="0" fillId="0" borderId="32" xfId="0" applyBorder="1" applyAlignment="1" applyProtection="1">
      <alignment horizontal="right" vertical="center"/>
      <protection hidden="1"/>
    </xf>
    <xf numFmtId="0" fontId="0" fillId="0" borderId="33" xfId="0" applyBorder="1" applyAlignment="1" applyProtection="1">
      <alignment horizontal="right" vertical="center"/>
      <protection hidden="1"/>
    </xf>
    <xf numFmtId="0" fontId="0" fillId="0" borderId="32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locked="0" hidden="1"/>
    </xf>
    <xf numFmtId="0" fontId="0" fillId="0" borderId="19" xfId="0" applyBorder="1" applyAlignment="1" applyProtection="1">
      <alignment horizontal="center"/>
      <protection locked="0" hidden="1"/>
    </xf>
    <xf numFmtId="0" fontId="0" fillId="0" borderId="5" xfId="0" applyBorder="1" applyAlignment="1" applyProtection="1">
      <alignment horizontal="center"/>
      <protection locked="0" hidden="1"/>
    </xf>
    <xf numFmtId="0" fontId="0" fillId="0" borderId="6" xfId="0" applyBorder="1" applyAlignment="1" applyProtection="1">
      <alignment horizontal="center"/>
      <protection locked="0" hidden="1"/>
    </xf>
    <xf numFmtId="0" fontId="0" fillId="0" borderId="10" xfId="0" applyBorder="1" applyAlignment="1" applyProtection="1">
      <alignment horizontal="center"/>
      <protection locked="0" hidden="1"/>
    </xf>
    <xf numFmtId="0" fontId="0" fillId="0" borderId="11" xfId="0" applyBorder="1" applyAlignment="1" applyProtection="1">
      <alignment horizontal="center"/>
      <protection locked="0" hidden="1"/>
    </xf>
    <xf numFmtId="0" fontId="0" fillId="0" borderId="18" xfId="0" applyBorder="1" applyAlignment="1" applyProtection="1">
      <alignment horizontal="center"/>
      <protection locked="0" hidden="1"/>
    </xf>
    <xf numFmtId="0" fontId="0" fillId="0" borderId="7" xfId="0" applyBorder="1" applyAlignment="1" applyProtection="1">
      <alignment horizontal="center"/>
      <protection locked="0" hidden="1"/>
    </xf>
    <xf numFmtId="0" fontId="0" fillId="0" borderId="12" xfId="0" applyBorder="1" applyAlignment="1" applyProtection="1">
      <alignment horizontal="center"/>
      <protection locked="0" hidden="1"/>
    </xf>
    <xf numFmtId="0" fontId="1" fillId="0" borderId="34" xfId="0" applyFont="1" applyBorder="1" applyAlignment="1" applyProtection="1">
      <alignment horizontal="center"/>
      <protection hidden="1"/>
    </xf>
    <xf numFmtId="0" fontId="1" fillId="0" borderId="5" xfId="0" applyFont="1" applyBorder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35" xfId="0" applyFont="1" applyBorder="1" applyAlignment="1" applyProtection="1">
      <alignment horizontal="center" vertical="center"/>
      <protection hidden="1"/>
    </xf>
    <xf numFmtId="0" fontId="1" fillId="0" borderId="36" xfId="0" applyFont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6" fillId="0" borderId="0" xfId="0" applyFont="1" applyBorder="1" applyAlignment="1" applyProtection="1">
      <alignment horizontal="center" vertical="center" wrapText="1"/>
      <protection hidden="1"/>
    </xf>
    <xf numFmtId="0" fontId="8" fillId="0" borderId="0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0" fontId="5" fillId="0" borderId="37" xfId="0" applyFont="1" applyBorder="1" applyAlignment="1" applyProtection="1">
      <alignment horizontal="center" wrapText="1"/>
      <protection hidden="1"/>
    </xf>
    <xf numFmtId="0" fontId="1" fillId="0" borderId="0" xfId="0" applyFont="1" applyBorder="1" applyProtection="1">
      <protection hidden="1"/>
    </xf>
    <xf numFmtId="0" fontId="5" fillId="0" borderId="38" xfId="0" applyFont="1" applyBorder="1" applyAlignment="1" applyProtection="1">
      <alignment horizontal="center" wrapText="1"/>
      <protection hidden="1"/>
    </xf>
    <xf numFmtId="0" fontId="0" fillId="0" borderId="35" xfId="0" applyBorder="1" applyAlignment="1" applyProtection="1">
      <alignment horizontal="center" vertical="center"/>
      <protection hidden="1"/>
    </xf>
    <xf numFmtId="0" fontId="1" fillId="2" borderId="35" xfId="0" applyFont="1" applyFill="1" applyBorder="1" applyAlignment="1" applyProtection="1">
      <alignment horizontal="center" vertical="center"/>
      <protection hidden="1"/>
    </xf>
    <xf numFmtId="0" fontId="0" fillId="0" borderId="25" xfId="0" applyBorder="1" applyAlignment="1" applyProtection="1">
      <alignment horizontal="left"/>
      <protection locked="0" hidden="1"/>
    </xf>
    <xf numFmtId="0" fontId="0" fillId="0" borderId="25" xfId="0" applyBorder="1" applyProtection="1">
      <protection locked="0" hidden="1"/>
    </xf>
    <xf numFmtId="0" fontId="0" fillId="0" borderId="5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0" xfId="0" applyBorder="1" applyProtection="1">
      <protection hidden="1"/>
    </xf>
    <xf numFmtId="0" fontId="0" fillId="0" borderId="0" xfId="0" applyBorder="1" applyAlignment="1" applyProtection="1">
      <alignment horizontal="left" wrapText="1"/>
      <protection hidden="1"/>
    </xf>
    <xf numFmtId="0" fontId="0" fillId="0" borderId="10" xfId="0" applyBorder="1" applyProtection="1">
      <protection hidden="1"/>
    </xf>
    <xf numFmtId="0" fontId="0" fillId="0" borderId="39" xfId="0" applyBorder="1" applyProtection="1">
      <protection hidden="1"/>
    </xf>
  </cellXfs>
  <cellStyles count="1">
    <cellStyle name="Normal" xfId="0" builtinId="0"/>
  </cellStyles>
  <dxfs count="12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80\Engineering\Users\zhewe\Desktop\SQAF-015%20TEMPLATE\VariablegaugeRandR%20(%20Verified%20with%20Data%20from%20AIAG%20MSA%20Already%20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 Data"/>
      <sheetName val="bts"/>
      <sheetName val="Results"/>
      <sheetName val="Bias &amp; Consistency Charts"/>
      <sheetName val="Ave &amp; Range Charts"/>
      <sheetName val="Critical Values"/>
      <sheetName val="d2star"/>
    </sheetNames>
    <sheetDataSet>
      <sheetData sheetId="0">
        <row r="21">
          <cell r="D21">
            <v>10</v>
          </cell>
          <cell r="G21">
            <v>3</v>
          </cell>
          <cell r="J21">
            <v>3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DB2D-1946-4AE3-856C-3556496C34B6}">
  <dimension ref="A1:U48"/>
  <sheetViews>
    <sheetView tabSelected="1" view="pageLayout" zoomScale="70" zoomScaleNormal="55" zoomScalePageLayoutView="70" workbookViewId="0">
      <selection activeCell="K64" sqref="K64"/>
    </sheetView>
  </sheetViews>
  <sheetFormatPr defaultRowHeight="14.4" x14ac:dyDescent="0.3"/>
  <sheetData>
    <row r="1" spans="1:21" x14ac:dyDescent="0.3">
      <c r="A1" s="99" t="e" vm="1">
        <v>#VALUE!</v>
      </c>
      <c r="B1" s="44"/>
      <c r="C1" s="37" t="s">
        <v>0</v>
      </c>
      <c r="D1" s="37"/>
      <c r="E1" s="37"/>
      <c r="F1" s="37"/>
      <c r="G1" s="37"/>
      <c r="H1" s="37"/>
      <c r="I1" s="37"/>
      <c r="J1" s="37"/>
      <c r="K1" s="37" t="s">
        <v>1</v>
      </c>
      <c r="L1" s="37"/>
      <c r="M1" s="37"/>
      <c r="N1" s="37"/>
      <c r="O1" s="37"/>
      <c r="P1" s="37"/>
      <c r="Q1" s="37"/>
      <c r="R1" s="37"/>
      <c r="S1" s="39" t="e" vm="2">
        <v>#VALUE!</v>
      </c>
      <c r="T1" s="39"/>
      <c r="U1" s="40"/>
    </row>
    <row r="2" spans="1:21" x14ac:dyDescent="0.3">
      <c r="A2" s="100"/>
      <c r="B2" s="45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101"/>
      <c r="T2" s="101"/>
      <c r="U2" s="41"/>
    </row>
    <row r="3" spans="1:21" x14ac:dyDescent="0.3">
      <c r="A3" s="102"/>
      <c r="B3" s="46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42"/>
      <c r="T3" s="42"/>
      <c r="U3" s="43"/>
    </row>
    <row r="4" spans="1:21" x14ac:dyDescent="0.3">
      <c r="A4" s="103" t="s">
        <v>2</v>
      </c>
      <c r="B4" s="33"/>
      <c r="C4" s="47"/>
      <c r="D4" s="47"/>
      <c r="E4" s="47"/>
      <c r="F4" s="47"/>
      <c r="G4" s="47"/>
      <c r="H4" s="31" t="s">
        <v>3</v>
      </c>
      <c r="I4" s="32"/>
      <c r="J4" s="33"/>
      <c r="K4" s="31" t="s">
        <v>4</v>
      </c>
      <c r="L4" s="32"/>
      <c r="M4" s="33"/>
      <c r="N4" s="31" t="s">
        <v>5</v>
      </c>
      <c r="O4" s="32"/>
      <c r="P4" s="33"/>
      <c r="Q4" s="48" t="s">
        <v>6</v>
      </c>
      <c r="R4" s="49"/>
      <c r="S4" s="48"/>
      <c r="T4" s="52"/>
      <c r="U4" s="104"/>
    </row>
    <row r="5" spans="1:21" x14ac:dyDescent="0.3">
      <c r="A5" s="103" t="s">
        <v>7</v>
      </c>
      <c r="B5" s="33"/>
      <c r="C5" s="47"/>
      <c r="D5" s="47"/>
      <c r="E5" s="47"/>
      <c r="F5" s="47"/>
      <c r="G5" s="47"/>
      <c r="H5" s="31" t="s">
        <v>8</v>
      </c>
      <c r="I5" s="32"/>
      <c r="J5" s="33"/>
      <c r="K5" s="31" t="s">
        <v>9</v>
      </c>
      <c r="L5" s="32"/>
      <c r="M5" s="33"/>
      <c r="N5" s="31" t="s">
        <v>10</v>
      </c>
      <c r="O5" s="32"/>
      <c r="P5" s="33"/>
      <c r="Q5" s="50"/>
      <c r="R5" s="51"/>
      <c r="S5" s="50"/>
      <c r="T5" s="53"/>
      <c r="U5" s="54"/>
    </row>
    <row r="6" spans="1:21" x14ac:dyDescent="0.3">
      <c r="A6" s="103" t="s">
        <v>15</v>
      </c>
      <c r="B6" s="33"/>
      <c r="C6" s="47"/>
      <c r="D6" s="47"/>
      <c r="E6" s="47"/>
      <c r="F6" s="47"/>
      <c r="G6" s="47"/>
      <c r="H6" s="58"/>
      <c r="I6" s="59"/>
      <c r="J6" s="60"/>
      <c r="K6" s="58"/>
      <c r="L6" s="59"/>
      <c r="M6" s="60"/>
      <c r="N6" s="58"/>
      <c r="O6" s="59"/>
      <c r="P6" s="60"/>
      <c r="Q6" s="31" t="s">
        <v>16</v>
      </c>
      <c r="R6" s="33"/>
      <c r="S6" s="50"/>
      <c r="T6" s="53"/>
      <c r="U6" s="54"/>
    </row>
    <row r="7" spans="1:21" x14ac:dyDescent="0.3">
      <c r="A7" s="103" t="s">
        <v>11</v>
      </c>
      <c r="B7" s="33"/>
      <c r="C7" s="47"/>
      <c r="D7" s="47"/>
      <c r="E7" s="47"/>
      <c r="F7" s="47"/>
      <c r="G7" s="47"/>
      <c r="H7" s="61"/>
      <c r="I7" s="105"/>
      <c r="J7" s="62"/>
      <c r="K7" s="61"/>
      <c r="L7" s="105"/>
      <c r="M7" s="62"/>
      <c r="N7" s="61"/>
      <c r="O7" s="105"/>
      <c r="P7" s="62"/>
      <c r="Q7" s="31" t="s">
        <v>17</v>
      </c>
      <c r="R7" s="33"/>
      <c r="S7" s="55" t="str">
        <f>IF(O9&lt;&gt;"", O9+7, "")</f>
        <v/>
      </c>
      <c r="T7" s="56"/>
      <c r="U7" s="57"/>
    </row>
    <row r="8" spans="1:21" x14ac:dyDescent="0.3">
      <c r="A8" s="103" t="s">
        <v>12</v>
      </c>
      <c r="B8" s="33"/>
      <c r="C8" s="47"/>
      <c r="D8" s="47"/>
      <c r="E8" s="47"/>
      <c r="F8" s="47"/>
      <c r="G8" s="47"/>
      <c r="H8" s="63"/>
      <c r="I8" s="105"/>
      <c r="J8" s="64"/>
      <c r="K8" s="63"/>
      <c r="L8" s="65"/>
      <c r="M8" s="64"/>
      <c r="N8" s="63"/>
      <c r="O8" s="65"/>
      <c r="P8" s="64"/>
      <c r="Q8" s="31" t="s">
        <v>18</v>
      </c>
      <c r="R8" s="33"/>
      <c r="S8" s="27">
        <v>1</v>
      </c>
      <c r="T8" s="27" t="s">
        <v>19</v>
      </c>
      <c r="U8" s="28">
        <v>1</v>
      </c>
    </row>
    <row r="9" spans="1:21" x14ac:dyDescent="0.3">
      <c r="A9" s="103" t="s">
        <v>13</v>
      </c>
      <c r="B9" s="33"/>
      <c r="C9" s="31"/>
      <c r="D9" s="32"/>
      <c r="E9" s="33"/>
      <c r="F9" s="106"/>
      <c r="G9" s="26"/>
      <c r="H9" s="30" t="s">
        <v>20</v>
      </c>
      <c r="I9" s="66"/>
      <c r="J9" s="67"/>
      <c r="K9" s="30" t="s">
        <v>20</v>
      </c>
      <c r="L9" s="67"/>
      <c r="M9" s="67"/>
      <c r="N9" s="30" t="s">
        <v>20</v>
      </c>
      <c r="O9" s="68"/>
      <c r="P9" s="69"/>
      <c r="Q9" s="107"/>
      <c r="R9" s="107"/>
      <c r="S9" s="107"/>
      <c r="T9" s="106"/>
      <c r="U9" s="29"/>
    </row>
    <row r="10" spans="1:21" x14ac:dyDescent="0.3">
      <c r="A10" s="103" t="s">
        <v>14</v>
      </c>
      <c r="B10" s="33"/>
      <c r="C10" s="27"/>
      <c r="D10" s="27" t="s">
        <v>19</v>
      </c>
      <c r="E10" s="27"/>
      <c r="F10" s="107"/>
      <c r="G10" s="106"/>
      <c r="H10" s="108"/>
      <c r="I10" s="108"/>
      <c r="J10" s="107"/>
      <c r="K10" s="107"/>
      <c r="L10" s="107"/>
      <c r="M10" s="108"/>
      <c r="N10" s="70" t="s">
        <v>24</v>
      </c>
      <c r="O10" s="27" t="s">
        <v>25</v>
      </c>
      <c r="P10" s="27"/>
      <c r="Q10" s="109" t="s">
        <v>26</v>
      </c>
      <c r="R10" s="109"/>
      <c r="S10" s="27"/>
      <c r="T10" s="106"/>
      <c r="U10" s="29"/>
    </row>
    <row r="11" spans="1:21" x14ac:dyDescent="0.3">
      <c r="A11" s="110"/>
      <c r="B11" s="106"/>
      <c r="C11" s="106"/>
      <c r="D11" s="106"/>
      <c r="E11" s="106"/>
      <c r="F11" s="106"/>
      <c r="G11" s="106"/>
      <c r="H11" s="106"/>
      <c r="I11" s="106"/>
      <c r="J11" s="107"/>
      <c r="K11" s="107"/>
      <c r="L11" s="107"/>
      <c r="M11" s="106"/>
      <c r="N11" s="71"/>
      <c r="O11" s="27" t="s">
        <v>43</v>
      </c>
      <c r="P11" s="8"/>
      <c r="Q11" s="74"/>
      <c r="R11" s="111"/>
      <c r="S11" s="111"/>
      <c r="T11" s="106"/>
      <c r="U11" s="29"/>
    </row>
    <row r="12" spans="1:21" x14ac:dyDescent="0.3">
      <c r="A12" s="112" t="s">
        <v>21</v>
      </c>
      <c r="B12" s="72" t="s">
        <v>44</v>
      </c>
      <c r="C12" s="72"/>
      <c r="D12" s="2" t="s">
        <v>22</v>
      </c>
      <c r="E12" s="2" t="s">
        <v>45</v>
      </c>
      <c r="F12" s="1"/>
      <c r="G12" s="2" t="s">
        <v>46</v>
      </c>
      <c r="H12" s="73" t="s">
        <v>23</v>
      </c>
      <c r="I12" s="7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4"/>
    </row>
    <row r="13" spans="1:21" x14ac:dyDescent="0.3">
      <c r="A13" s="114"/>
      <c r="B13" s="72"/>
      <c r="C13" s="72"/>
      <c r="D13" s="2" t="s">
        <v>27</v>
      </c>
      <c r="E13" s="2" t="s">
        <v>28</v>
      </c>
      <c r="F13" s="2" t="s">
        <v>47</v>
      </c>
      <c r="G13" s="2" t="s">
        <v>29</v>
      </c>
      <c r="H13" s="2" t="s">
        <v>30</v>
      </c>
      <c r="I13" s="2" t="s">
        <v>31</v>
      </c>
      <c r="J13" s="75" t="s">
        <v>32</v>
      </c>
      <c r="K13" s="75"/>
      <c r="L13" s="75"/>
      <c r="M13" s="75" t="s">
        <v>33</v>
      </c>
      <c r="N13" s="75"/>
      <c r="O13" s="75"/>
      <c r="P13" s="75" t="s">
        <v>34</v>
      </c>
      <c r="Q13" s="75"/>
      <c r="R13" s="75"/>
      <c r="S13" s="75" t="s">
        <v>35</v>
      </c>
      <c r="T13" s="75"/>
      <c r="U13" s="76"/>
    </row>
    <row r="14" spans="1:21" x14ac:dyDescent="0.3">
      <c r="A14" s="115"/>
      <c r="B14" s="77"/>
      <c r="C14" s="78"/>
      <c r="D14" s="7"/>
      <c r="E14" s="7"/>
      <c r="F14" s="7"/>
      <c r="G14" s="8"/>
      <c r="H14" s="8"/>
      <c r="I14" s="8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0"/>
    </row>
    <row r="15" spans="1:21" x14ac:dyDescent="0.3">
      <c r="A15" s="115"/>
      <c r="B15" s="77"/>
      <c r="C15" s="78"/>
      <c r="D15" s="7"/>
      <c r="E15" s="7"/>
      <c r="F15" s="7"/>
      <c r="G15" s="8"/>
      <c r="H15" s="8"/>
      <c r="I15" s="8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0"/>
    </row>
    <row r="16" spans="1:21" x14ac:dyDescent="0.3">
      <c r="A16" s="115"/>
      <c r="B16" s="77"/>
      <c r="C16" s="78"/>
      <c r="D16" s="7"/>
      <c r="E16" s="7"/>
      <c r="F16" s="7"/>
      <c r="G16" s="8"/>
      <c r="H16" s="8"/>
      <c r="I16" s="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0"/>
    </row>
    <row r="17" spans="1:21" x14ac:dyDescent="0.3">
      <c r="A17" s="115"/>
      <c r="B17" s="77"/>
      <c r="C17" s="78"/>
      <c r="D17" s="7"/>
      <c r="E17" s="7"/>
      <c r="F17" s="7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0"/>
    </row>
    <row r="18" spans="1:21" x14ac:dyDescent="0.3">
      <c r="A18" s="115"/>
      <c r="B18" s="77"/>
      <c r="C18" s="78"/>
      <c r="D18" s="7"/>
      <c r="E18" s="7"/>
      <c r="F18" s="7"/>
      <c r="G18" s="8"/>
      <c r="H18" s="8"/>
      <c r="I18" s="8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10"/>
    </row>
    <row r="19" spans="1:21" x14ac:dyDescent="0.3">
      <c r="A19" s="115"/>
      <c r="B19" s="77"/>
      <c r="C19" s="78"/>
      <c r="D19" s="7"/>
      <c r="E19" s="7"/>
      <c r="F19" s="7"/>
      <c r="G19" s="8"/>
      <c r="H19" s="8"/>
      <c r="I19" s="8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0"/>
    </row>
    <row r="20" spans="1:21" x14ac:dyDescent="0.3">
      <c r="A20" s="115"/>
      <c r="B20" s="77"/>
      <c r="C20" s="78"/>
      <c r="D20" s="7"/>
      <c r="E20" s="7"/>
      <c r="F20" s="7"/>
      <c r="G20" s="8"/>
      <c r="H20" s="8"/>
      <c r="I20" s="8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0"/>
    </row>
    <row r="21" spans="1:21" x14ac:dyDescent="0.3">
      <c r="A21" s="115"/>
      <c r="B21" s="77"/>
      <c r="C21" s="78"/>
      <c r="D21" s="7"/>
      <c r="E21" s="7"/>
      <c r="F21" s="7"/>
      <c r="G21" s="8"/>
      <c r="H21" s="8"/>
      <c r="I21" s="8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0"/>
    </row>
    <row r="22" spans="1:21" x14ac:dyDescent="0.3">
      <c r="A22" s="115"/>
      <c r="B22" s="77"/>
      <c r="C22" s="78"/>
      <c r="D22" s="7"/>
      <c r="E22" s="7"/>
      <c r="F22" s="7"/>
      <c r="G22" s="8"/>
      <c r="H22" s="8"/>
      <c r="I22" s="8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</row>
    <row r="23" spans="1:21" x14ac:dyDescent="0.3">
      <c r="A23" s="115"/>
      <c r="B23" s="77"/>
      <c r="C23" s="78"/>
      <c r="D23" s="7"/>
      <c r="E23" s="7"/>
      <c r="F23" s="7"/>
      <c r="G23" s="8"/>
      <c r="H23" s="8"/>
      <c r="I23" s="8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0"/>
    </row>
    <row r="24" spans="1:21" x14ac:dyDescent="0.3">
      <c r="A24" s="115"/>
      <c r="B24" s="77"/>
      <c r="C24" s="78"/>
      <c r="D24" s="7"/>
      <c r="E24" s="7"/>
      <c r="F24" s="7"/>
      <c r="G24" s="8"/>
      <c r="H24" s="8"/>
      <c r="I24" s="8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0"/>
    </row>
    <row r="25" spans="1:21" x14ac:dyDescent="0.3">
      <c r="A25" s="115"/>
      <c r="B25" s="77"/>
      <c r="C25" s="78"/>
      <c r="D25" s="7"/>
      <c r="E25" s="7"/>
      <c r="F25" s="7"/>
      <c r="G25" s="8"/>
      <c r="H25" s="8"/>
      <c r="I25" s="8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0"/>
    </row>
    <row r="26" spans="1:21" x14ac:dyDescent="0.3">
      <c r="A26" s="116" t="s">
        <v>36</v>
      </c>
      <c r="B26" s="82"/>
      <c r="C26" s="82"/>
      <c r="D26" s="83" t="s">
        <v>37</v>
      </c>
      <c r="E26" s="82"/>
      <c r="F26" s="82"/>
      <c r="G26" s="83" t="s">
        <v>38</v>
      </c>
      <c r="H26" s="82"/>
      <c r="I26" s="84"/>
      <c r="J26" s="79" t="s">
        <v>39</v>
      </c>
      <c r="K26" s="80"/>
      <c r="L26" s="80"/>
      <c r="M26" s="79" t="s">
        <v>40</v>
      </c>
      <c r="N26" s="80"/>
      <c r="O26" s="80"/>
      <c r="P26" s="79" t="s">
        <v>41</v>
      </c>
      <c r="Q26" s="80"/>
      <c r="R26" s="80"/>
      <c r="S26" s="79" t="s">
        <v>42</v>
      </c>
      <c r="T26" s="80"/>
      <c r="U26" s="81"/>
    </row>
    <row r="27" spans="1:21" x14ac:dyDescent="0.3">
      <c r="A27" s="11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0"/>
    </row>
    <row r="28" spans="1:21" x14ac:dyDescent="0.3">
      <c r="A28" s="11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10"/>
    </row>
    <row r="29" spans="1:21" x14ac:dyDescent="0.3">
      <c r="A29" s="11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10"/>
    </row>
    <row r="30" spans="1:21" x14ac:dyDescent="0.3">
      <c r="A30" s="118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12"/>
    </row>
    <row r="31" spans="1:21" x14ac:dyDescent="0.3">
      <c r="A31" s="118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12"/>
    </row>
    <row r="32" spans="1:21" x14ac:dyDescent="0.3">
      <c r="A32" s="117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12"/>
    </row>
    <row r="33" spans="1:21" x14ac:dyDescent="0.3">
      <c r="A33" s="117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12"/>
    </row>
    <row r="34" spans="1:21" x14ac:dyDescent="0.3">
      <c r="A34" s="117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12"/>
    </row>
    <row r="35" spans="1:21" x14ac:dyDescent="0.3">
      <c r="A35" s="117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12"/>
    </row>
    <row r="36" spans="1:21" x14ac:dyDescent="0.3">
      <c r="A36" s="117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12"/>
    </row>
    <row r="37" spans="1:21" x14ac:dyDescent="0.3">
      <c r="A37" s="117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12"/>
    </row>
    <row r="38" spans="1:21" x14ac:dyDescent="0.3">
      <c r="A38" s="117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12"/>
    </row>
    <row r="39" spans="1:21" ht="15" thickBot="1" x14ac:dyDescent="0.35">
      <c r="A39" s="119" t="s">
        <v>48</v>
      </c>
      <c r="B39" s="120"/>
      <c r="C39" s="120"/>
      <c r="D39" s="120"/>
      <c r="E39" s="120"/>
      <c r="F39" s="120"/>
      <c r="G39" s="120"/>
      <c r="H39" s="120"/>
      <c r="I39" s="85"/>
      <c r="J39" s="85"/>
      <c r="K39" s="85"/>
      <c r="L39" s="85"/>
      <c r="M39" s="85"/>
      <c r="N39" s="85"/>
      <c r="O39" s="85"/>
      <c r="P39" s="86"/>
      <c r="Q39" s="121"/>
      <c r="R39" s="121"/>
      <c r="S39" s="121"/>
      <c r="T39" s="121"/>
      <c r="U39" s="3"/>
    </row>
    <row r="40" spans="1:21" x14ac:dyDescent="0.3">
      <c r="A40" s="13"/>
      <c r="B40" s="14" t="s">
        <v>49</v>
      </c>
      <c r="C40" s="14" t="s">
        <v>50</v>
      </c>
      <c r="D40" s="14" t="s">
        <v>51</v>
      </c>
      <c r="E40" s="14" t="s">
        <v>52</v>
      </c>
      <c r="F40" s="14" t="s">
        <v>53</v>
      </c>
      <c r="G40" s="14" t="s">
        <v>54</v>
      </c>
      <c r="H40" s="15" t="s">
        <v>55</v>
      </c>
      <c r="I40" s="13"/>
      <c r="J40" s="14" t="s">
        <v>49</v>
      </c>
      <c r="K40" s="14" t="s">
        <v>50</v>
      </c>
      <c r="L40" s="14" t="s">
        <v>51</v>
      </c>
      <c r="M40" s="14" t="s">
        <v>52</v>
      </c>
      <c r="N40" s="14" t="s">
        <v>53</v>
      </c>
      <c r="O40" s="14" t="s">
        <v>54</v>
      </c>
      <c r="P40" s="15" t="s">
        <v>55</v>
      </c>
      <c r="Q40" s="34"/>
      <c r="R40" s="122"/>
      <c r="S40" s="122"/>
      <c r="T40" s="122"/>
      <c r="U40" s="3"/>
    </row>
    <row r="41" spans="1:21" x14ac:dyDescent="0.3">
      <c r="A41" s="11" t="str">
        <f>IF(ISBLANK(A14),"",A14)</f>
        <v/>
      </c>
      <c r="B41" s="8" t="str" cm="1">
        <f t="array" ref="B41">IF(D14="", "", IF(AND(D14&lt;=MIN(J14:U14,A27:U27),E14&gt;=MAX(J14:U14,A27:U27)),"ACCEPT",IF(AND(J14:U14,A27:U27="OK"),"ACCEPT","REJECT")))</f>
        <v/>
      </c>
      <c r="C41" s="8" t="str">
        <f t="shared" ref="C41:C46" si="0">IF(TRIM(B41)="", "", MAX(J14:U14,A27:U27))</f>
        <v/>
      </c>
      <c r="D41" s="8" t="str">
        <f t="shared" ref="D41:D46" si="1">IF(TRIM(B41)="", "", MIN(J14:U14,A27:U27))</f>
        <v/>
      </c>
      <c r="E41" s="8">
        <f t="shared" ref="E41:E46" si="2">IF(COUNT(J14:U14,A27:U27)=0,0,AVERAGE(J14:U14,A27:U27))</f>
        <v>0</v>
      </c>
      <c r="F41" s="8">
        <f t="shared" ref="F41:F46" si="3">MAX(J14:U14,A27:U27)-MIN(J14:U14,A27:U27)</f>
        <v>0</v>
      </c>
      <c r="G41" s="8">
        <f t="shared" ref="G41:G46" si="4">IF(COUNT(J14:U14,A27:U27)=0,0,_xlfn.STDEV.S(J14:U14,A27:U27))</f>
        <v>0</v>
      </c>
      <c r="H41" s="17" t="str">
        <f t="shared" ref="H41:H46" si="5">IF(E41=0,"-",IF(E41-D14&lt;E14-E41,E41-D14,E14-E41)/(G41*3))</f>
        <v>-</v>
      </c>
      <c r="I41" s="11" t="str">
        <f>IF(ISBLANK(A20),"",A20)</f>
        <v/>
      </c>
      <c r="J41" s="8" t="str" cm="1">
        <f t="array" ref="J41">IF(D20="", "", IF(AND(D20&lt;=MIN(J20:U20,A33:U33),E20&gt;=MAX(J20:U20,A33:U33)),"ACCEPT",IF(AND(J20:U20,A33:U33="OK"),"ACCEPT","REJECT")))</f>
        <v/>
      </c>
      <c r="K41" s="8" t="str">
        <f t="shared" ref="K41:K46" si="6">IF(TRIM(J41)="", "", MAX(J20:U20,A33:U33))</f>
        <v/>
      </c>
      <c r="L41" s="8" t="str">
        <f t="shared" ref="L41:L46" si="7">IF(TRIM(J41)="", "", MIN(J20:U20,A33:U33))</f>
        <v/>
      </c>
      <c r="M41" s="8">
        <f t="shared" ref="M41:M46" si="8">IF(COUNT(J20:U20,A33:U33)=0,0,AVERAGE(J20:U20,A33:U33))</f>
        <v>0</v>
      </c>
      <c r="N41" s="8">
        <f t="shared" ref="N41:N46" si="9">MAX(J20:U20,A33:U33)-MIN(J20:U20,A33:U33)</f>
        <v>0</v>
      </c>
      <c r="O41" s="8">
        <f t="shared" ref="O41:O46" si="10">IF(COUNT(J20:U20,A33:U33)=0,0,_xlfn.STDEV.S(J20:U20,A33:U33))</f>
        <v>0</v>
      </c>
      <c r="P41" s="17" t="str">
        <f t="shared" ref="P41:P46" si="11">IF(M41=0,"-",IF(M41-D20&lt;E20-M41,M41-D20,E20-M41)/(O41*3))</f>
        <v>-</v>
      </c>
      <c r="Q41" s="35"/>
      <c r="R41" s="36"/>
      <c r="S41" s="36"/>
      <c r="T41" s="36"/>
      <c r="U41" s="3"/>
    </row>
    <row r="42" spans="1:21" x14ac:dyDescent="0.3">
      <c r="A42" s="11" t="str">
        <f t="shared" ref="A42:A46" si="12">IF(ISBLANK(A15),"",A15)</f>
        <v/>
      </c>
      <c r="B42" s="8" t="str" cm="1">
        <f t="array" ref="B42">IF(D15="", "", IF(AND(D15&lt;=MIN(J15:U15,A28:U28),E15&gt;=MAX(J15:U15,A28:U28)),"ACCEPT",IF(AND(J15:U15,A28:U28="OK"),"ACCEPT","REJECT")))</f>
        <v/>
      </c>
      <c r="C42" s="8" t="str">
        <f t="shared" si="0"/>
        <v/>
      </c>
      <c r="D42" s="8" t="str">
        <f t="shared" si="1"/>
        <v/>
      </c>
      <c r="E42" s="8">
        <f t="shared" si="2"/>
        <v>0</v>
      </c>
      <c r="F42" s="8">
        <f t="shared" si="3"/>
        <v>0</v>
      </c>
      <c r="G42" s="8">
        <f t="shared" si="4"/>
        <v>0</v>
      </c>
      <c r="H42" s="17" t="str">
        <f t="shared" si="5"/>
        <v>-</v>
      </c>
      <c r="I42" s="11" t="str">
        <f t="shared" ref="I42:I46" si="13">IF(ISBLANK(A21),"",A21)</f>
        <v/>
      </c>
      <c r="J42" s="8" t="str" cm="1">
        <f t="array" ref="J42">IF(D21="", "", IF(AND(D21&lt;=MIN(J21:U21,A34:U34),E21&gt;=MAX(J21:U21,A34:U34)),"ACCEPT",IF(AND(J21:U21,A34:U34="OK"),"ACCEPT","REJECT")))</f>
        <v/>
      </c>
      <c r="K42" s="8" t="str">
        <f t="shared" si="6"/>
        <v/>
      </c>
      <c r="L42" s="8" t="str">
        <f t="shared" si="7"/>
        <v/>
      </c>
      <c r="M42" s="8">
        <f t="shared" si="8"/>
        <v>0</v>
      </c>
      <c r="N42" s="8">
        <f t="shared" si="9"/>
        <v>0</v>
      </c>
      <c r="O42" s="8">
        <f t="shared" si="10"/>
        <v>0</v>
      </c>
      <c r="P42" s="17" t="str">
        <f t="shared" si="11"/>
        <v>-</v>
      </c>
      <c r="Q42" s="20" t="s">
        <v>56</v>
      </c>
      <c r="R42" s="19"/>
      <c r="S42" s="18" t="s">
        <v>4</v>
      </c>
      <c r="T42" s="19"/>
      <c r="U42" s="3"/>
    </row>
    <row r="43" spans="1:21" x14ac:dyDescent="0.3">
      <c r="A43" s="11" t="str">
        <f t="shared" si="12"/>
        <v/>
      </c>
      <c r="B43" s="8" t="str" cm="1">
        <f t="array" ref="B43">IF(D16="", "", IF(AND(D16&lt;=MIN(J16:U16,A29:U29),E16&gt;=MAX(J16:U16,A29:U29)),"ACCEPT",IF(AND(J16:U16,A29:U29="OK"),"ACCEPT","REJECT")))</f>
        <v/>
      </c>
      <c r="C43" s="8" t="str">
        <f t="shared" si="0"/>
        <v/>
      </c>
      <c r="D43" s="8" t="str">
        <f t="shared" si="1"/>
        <v/>
      </c>
      <c r="E43" s="8">
        <f t="shared" si="2"/>
        <v>0</v>
      </c>
      <c r="F43" s="8">
        <f t="shared" si="3"/>
        <v>0</v>
      </c>
      <c r="G43" s="8">
        <f t="shared" si="4"/>
        <v>0</v>
      </c>
      <c r="H43" s="17" t="str">
        <f t="shared" si="5"/>
        <v>-</v>
      </c>
      <c r="I43" s="11" t="str">
        <f t="shared" si="13"/>
        <v/>
      </c>
      <c r="J43" s="8" t="str" cm="1">
        <f t="array" ref="J43">IF(D22="", "", IF(AND(D22&lt;=MIN(J22:U22,A35:U35),E22&gt;=MAX(J22:U22,A35:U35)),"ACCEPT",IF(AND(J22:U22,A35:U35="OK"),"ACCEPT","REJECT")))</f>
        <v/>
      </c>
      <c r="K43" s="8" t="str">
        <f t="shared" si="6"/>
        <v/>
      </c>
      <c r="L43" s="8" t="str">
        <f t="shared" si="7"/>
        <v/>
      </c>
      <c r="M43" s="8">
        <f t="shared" si="8"/>
        <v>0</v>
      </c>
      <c r="N43" s="8">
        <f t="shared" si="9"/>
        <v>0</v>
      </c>
      <c r="O43" s="8">
        <f t="shared" si="10"/>
        <v>0</v>
      </c>
      <c r="P43" s="17" t="str">
        <f t="shared" si="11"/>
        <v>-</v>
      </c>
      <c r="Q43" s="90"/>
      <c r="R43" s="91"/>
      <c r="S43" s="96"/>
      <c r="T43" s="91"/>
      <c r="U43" s="3"/>
    </row>
    <row r="44" spans="1:21" x14ac:dyDescent="0.3">
      <c r="A44" s="11" t="str">
        <f t="shared" si="12"/>
        <v/>
      </c>
      <c r="B44" s="8" t="str" cm="1">
        <f t="array" ref="B44">IF(D17="", "", IF(AND(D17&lt;=MIN(J17:U17,A30:U30),E17&gt;=MAX(J17:U17,A30:U30)),"ACCEPT",IF(AND(J17:U17,A30:U30="OK"),"ACCEPT","REJECT")))</f>
        <v/>
      </c>
      <c r="C44" s="8" t="str">
        <f t="shared" si="0"/>
        <v/>
      </c>
      <c r="D44" s="8" t="str">
        <f t="shared" si="1"/>
        <v/>
      </c>
      <c r="E44" s="8">
        <f t="shared" si="2"/>
        <v>0</v>
      </c>
      <c r="F44" s="8">
        <f t="shared" si="3"/>
        <v>0</v>
      </c>
      <c r="G44" s="8">
        <f t="shared" si="4"/>
        <v>0</v>
      </c>
      <c r="H44" s="17" t="str">
        <f t="shared" si="5"/>
        <v>-</v>
      </c>
      <c r="I44" s="11" t="str">
        <f t="shared" si="13"/>
        <v/>
      </c>
      <c r="J44" s="8" t="str" cm="1">
        <f t="array" ref="J44">IF(D23="", "", IF(AND(D23&lt;=MIN(J23:U23,A36:U36),E23&gt;=MAX(J23:U23,A36:U36)),"ACCEPT",IF(AND(J23:U23,A36:U36="OK"),"ACCEPT","REJECT")))</f>
        <v/>
      </c>
      <c r="K44" s="8" t="str">
        <f t="shared" si="6"/>
        <v/>
      </c>
      <c r="L44" s="8" t="str">
        <f t="shared" si="7"/>
        <v/>
      </c>
      <c r="M44" s="8">
        <f t="shared" si="8"/>
        <v>0</v>
      </c>
      <c r="N44" s="8">
        <f t="shared" si="9"/>
        <v>0</v>
      </c>
      <c r="O44" s="8">
        <f t="shared" si="10"/>
        <v>0</v>
      </c>
      <c r="P44" s="17" t="str">
        <f t="shared" si="11"/>
        <v>-</v>
      </c>
      <c r="Q44" s="92"/>
      <c r="R44" s="93"/>
      <c r="S44" s="97"/>
      <c r="T44" s="93"/>
      <c r="U44" s="3"/>
    </row>
    <row r="45" spans="1:21" x14ac:dyDescent="0.3">
      <c r="A45" s="11" t="str">
        <f t="shared" si="12"/>
        <v/>
      </c>
      <c r="B45" s="8" t="str" cm="1">
        <f t="array" ref="B45">IF(D18="", "", IF(AND(D18&lt;=MIN(J18:U18,A31:U31),E18&gt;=MAX(J18:U18,A31:U31)),"ACCEPT",IF(AND(J18:U18,A31:U31="OK"),"ACCEPT","REJECT")))</f>
        <v/>
      </c>
      <c r="C45" s="8" t="str">
        <f t="shared" si="0"/>
        <v/>
      </c>
      <c r="D45" s="8" t="str">
        <f t="shared" si="1"/>
        <v/>
      </c>
      <c r="E45" s="8">
        <f t="shared" si="2"/>
        <v>0</v>
      </c>
      <c r="F45" s="8">
        <f t="shared" si="3"/>
        <v>0</v>
      </c>
      <c r="G45" s="8">
        <f t="shared" si="4"/>
        <v>0</v>
      </c>
      <c r="H45" s="17" t="str">
        <f t="shared" si="5"/>
        <v>-</v>
      </c>
      <c r="I45" s="11" t="str">
        <f t="shared" si="13"/>
        <v/>
      </c>
      <c r="J45" s="8" t="str" cm="1">
        <f t="array" ref="J45">IF(D24="", "", IF(AND(D24&lt;=MIN(J24:U24,A37:U37),E24&gt;=MAX(J24:U24,A37:U37)),"ACCEPT",IF(AND(J24:U24,A37:U37="OK"),"ACCEPT","REJECT")))</f>
        <v/>
      </c>
      <c r="K45" s="8" t="str">
        <f t="shared" si="6"/>
        <v/>
      </c>
      <c r="L45" s="8" t="str">
        <f t="shared" si="7"/>
        <v/>
      </c>
      <c r="M45" s="8">
        <f t="shared" si="8"/>
        <v>0</v>
      </c>
      <c r="N45" s="8">
        <f t="shared" si="9"/>
        <v>0</v>
      </c>
      <c r="O45" s="8">
        <f t="shared" si="10"/>
        <v>0</v>
      </c>
      <c r="P45" s="17" t="str">
        <f t="shared" si="11"/>
        <v>-</v>
      </c>
      <c r="Q45" s="94"/>
      <c r="R45" s="95"/>
      <c r="S45" s="98"/>
      <c r="T45" s="95"/>
      <c r="U45" s="3"/>
    </row>
    <row r="46" spans="1:21" ht="15" thickBot="1" x14ac:dyDescent="0.35">
      <c r="A46" s="11" t="str">
        <f t="shared" si="12"/>
        <v/>
      </c>
      <c r="B46" s="8" t="str" cm="1">
        <f t="array" ref="B46">IF(D19="", "", IF(AND(D19&lt;=MIN(J19:U19,A32:U32),E19&gt;=MAX(J19:U19,A32:U32)),"ACCEPT",IF(AND(J19:U19,A32:U32="OK"),"ACCEPT","REJECT")))</f>
        <v/>
      </c>
      <c r="C46" s="8" t="str">
        <f t="shared" si="0"/>
        <v/>
      </c>
      <c r="D46" s="8" t="str">
        <f t="shared" si="1"/>
        <v/>
      </c>
      <c r="E46" s="8">
        <f t="shared" si="2"/>
        <v>0</v>
      </c>
      <c r="F46" s="8">
        <f t="shared" si="3"/>
        <v>0</v>
      </c>
      <c r="G46" s="8">
        <f t="shared" si="4"/>
        <v>0</v>
      </c>
      <c r="H46" s="22" t="str">
        <f t="shared" si="5"/>
        <v>-</v>
      </c>
      <c r="I46" s="11" t="str">
        <f t="shared" si="13"/>
        <v/>
      </c>
      <c r="J46" s="8" t="str" cm="1">
        <f t="array" ref="J46">IF(D25="", "", IF(AND(D25&lt;=MIN(J25:U25,A38:U38),E25&gt;=MAX(J25:U25,A38:U38)),"ACCEPT",IF(AND(J25:U25,A38:U38="OK"),"ACCEPT","REJECT")))</f>
        <v/>
      </c>
      <c r="K46" s="21" t="str">
        <f t="shared" si="6"/>
        <v/>
      </c>
      <c r="L46" s="21" t="str">
        <f t="shared" si="7"/>
        <v/>
      </c>
      <c r="M46" s="21">
        <f t="shared" si="8"/>
        <v>0</v>
      </c>
      <c r="N46" s="21">
        <f t="shared" si="9"/>
        <v>0</v>
      </c>
      <c r="O46" s="21">
        <f t="shared" si="10"/>
        <v>0</v>
      </c>
      <c r="P46" s="22" t="str">
        <f t="shared" si="11"/>
        <v>-</v>
      </c>
      <c r="Q46" s="20" t="s">
        <v>20</v>
      </c>
      <c r="R46" s="6"/>
      <c r="S46" s="18" t="s">
        <v>20</v>
      </c>
      <c r="T46" s="6"/>
      <c r="U46" s="3"/>
    </row>
    <row r="47" spans="1:21" x14ac:dyDescent="0.3">
      <c r="A47" s="123"/>
      <c r="B47" s="24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23"/>
    </row>
    <row r="48" spans="1:21" ht="15" thickBot="1" x14ac:dyDescent="0.35">
      <c r="A48" s="1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89" t="s">
        <v>58</v>
      </c>
      <c r="M48" s="89"/>
      <c r="N48" s="89"/>
      <c r="O48" s="87" t="s">
        <v>57</v>
      </c>
      <c r="P48" s="87"/>
      <c r="Q48" s="87"/>
      <c r="R48" s="87"/>
      <c r="S48" s="87" t="s">
        <v>59</v>
      </c>
      <c r="T48" s="87"/>
      <c r="U48" s="88"/>
    </row>
  </sheetData>
  <protectedRanges>
    <protectedRange algorithmName="SHA-512" hashValue="e8n0DY2l0+gBcmtbdmdOldou2feyh808cNYkqqQvqM4Cxw3lge815bmlq59VAVuRm9kfLOFkgitWSyXhyj/Q5Q==" saltValue="kF6gufaZSgPuxk6T2iYUWA==" spinCount="100000" sqref="I6 K6 M6 O6 S7 P9 L9 J9" name="WORKINSTRUCTION_EDITRANGE_1"/>
    <protectedRange algorithmName="SHA-512" hashValue="YrFhROLDD5jOGTRCiqJ4P5er6/CR5vEaYX7Pzp+9fY7EmPEASJhfIv1Ui3ockLk1g4gNGdmazNbyESfxKzE7hQ==" saltValue="mudhKlzvxzTwFuCj6VIXiA==" spinCount="100000" sqref="S4:U6" name="BUYOFF_EDITRANGE_1"/>
  </protectedRanges>
  <mergeCells count="73">
    <mergeCell ref="A39:P39"/>
    <mergeCell ref="S48:U48"/>
    <mergeCell ref="L48:N48"/>
    <mergeCell ref="O48:R48"/>
    <mergeCell ref="Q43:R45"/>
    <mergeCell ref="S43:T45"/>
    <mergeCell ref="M26:O26"/>
    <mergeCell ref="P26:R26"/>
    <mergeCell ref="S26:U26"/>
    <mergeCell ref="A26:C26"/>
    <mergeCell ref="D26:F26"/>
    <mergeCell ref="G26:I26"/>
    <mergeCell ref="J26:L26"/>
    <mergeCell ref="B25:C25"/>
    <mergeCell ref="B22:C22"/>
    <mergeCell ref="B23:C23"/>
    <mergeCell ref="B16:C16"/>
    <mergeCell ref="B17:C17"/>
    <mergeCell ref="B20:C20"/>
    <mergeCell ref="B21:C21"/>
    <mergeCell ref="B18:C18"/>
    <mergeCell ref="B19:C19"/>
    <mergeCell ref="B24:C24"/>
    <mergeCell ref="B14:C14"/>
    <mergeCell ref="B15:C15"/>
    <mergeCell ref="J13:L13"/>
    <mergeCell ref="M13:O13"/>
    <mergeCell ref="P13:R13"/>
    <mergeCell ref="A10:B10"/>
    <mergeCell ref="N10:N11"/>
    <mergeCell ref="Q10:R10"/>
    <mergeCell ref="A12:A13"/>
    <mergeCell ref="B12:C13"/>
    <mergeCell ref="H12:I12"/>
    <mergeCell ref="Q11:S11"/>
    <mergeCell ref="S13:U13"/>
    <mergeCell ref="A9:B9"/>
    <mergeCell ref="C9:E9"/>
    <mergeCell ref="I9:J9"/>
    <mergeCell ref="L9:M9"/>
    <mergeCell ref="O9:P9"/>
    <mergeCell ref="H5:J5"/>
    <mergeCell ref="K5:M5"/>
    <mergeCell ref="S6:U6"/>
    <mergeCell ref="A7:B7"/>
    <mergeCell ref="C7:G7"/>
    <mergeCell ref="Q7:R7"/>
    <mergeCell ref="S7:U7"/>
    <mergeCell ref="A6:B6"/>
    <mergeCell ref="C6:G6"/>
    <mergeCell ref="H6:J8"/>
    <mergeCell ref="K6:M8"/>
    <mergeCell ref="N6:P8"/>
    <mergeCell ref="A8:B8"/>
    <mergeCell ref="C8:G8"/>
    <mergeCell ref="Q8:R8"/>
    <mergeCell ref="Q6:R6"/>
    <mergeCell ref="N5:P5"/>
    <mergeCell ref="Q40:T41"/>
    <mergeCell ref="K1:R3"/>
    <mergeCell ref="S1:U3"/>
    <mergeCell ref="A4:B4"/>
    <mergeCell ref="A1:B3"/>
    <mergeCell ref="C1:J3"/>
    <mergeCell ref="C4:G4"/>
    <mergeCell ref="H4:J4"/>
    <mergeCell ref="K4:M4"/>
    <mergeCell ref="N4:P4"/>
    <mergeCell ref="Q4:R5"/>
    <mergeCell ref="S4:U4"/>
    <mergeCell ref="S5:U5"/>
    <mergeCell ref="A5:B5"/>
    <mergeCell ref="C5:G5"/>
  </mergeCells>
  <conditionalFormatting sqref="B41:B47">
    <cfRule type="cellIs" dxfId="11" priority="3" operator="equal">
      <formula>"REJECT"</formula>
    </cfRule>
    <cfRule type="cellIs" dxfId="10" priority="4" operator="equal">
      <formula>"ACCEPT"</formula>
    </cfRule>
  </conditionalFormatting>
  <conditionalFormatting sqref="J41:J46">
    <cfRule type="cellIs" dxfId="9" priority="1" operator="equal">
      <formula>"REJECT"</formula>
    </cfRule>
    <cfRule type="cellIs" dxfId="8" priority="2" operator="equal">
      <formula>"ACCEPT"</formula>
    </cfRule>
  </conditionalFormatting>
  <pageMargins left="0.7" right="0.7" top="0.75" bottom="0.75" header="0.3" footer="0.3"/>
  <pageSetup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IPQC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microsoft-2</dc:creator>
  <cp:lastModifiedBy>Faiz Fazli</cp:lastModifiedBy>
  <cp:lastPrinted>2025-05-23T07:18:49Z</cp:lastPrinted>
  <dcterms:created xsi:type="dcterms:W3CDTF">2024-10-09T01:45:06Z</dcterms:created>
  <dcterms:modified xsi:type="dcterms:W3CDTF">2026-02-03T04:50:07Z</dcterms:modified>
</cp:coreProperties>
</file>