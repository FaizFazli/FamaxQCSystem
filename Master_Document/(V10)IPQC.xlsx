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192.168.0.5\Users\Acer\IPQC_Project\FamaxQCSystem\Master_Document\"/>
    </mc:Choice>
  </mc:AlternateContent>
  <xr:revisionPtr revIDLastSave="0" documentId="13_ncr:1_{7DBCCB9B-7432-4D44-A756-CCE4FD9CFF09}" xr6:coauthVersionLast="47" xr6:coauthVersionMax="47" xr10:uidLastSave="{00000000-0000-0000-0000-000000000000}"/>
  <bookViews>
    <workbookView xWindow="-108" yWindow="-108" windowWidth="23256" windowHeight="13896" xr2:uid="{00000000-000D-0000-FFFF-FFFF00000000}"/>
  </bookViews>
  <sheets>
    <sheet name="WI,BUYOFF,IPQC" sheetId="1" r:id="rId1"/>
  </sheets>
  <externalReferences>
    <externalReference r:id="rId2"/>
  </externalReferences>
  <definedNames>
    <definedName name="AppCRange">#REF!</definedName>
    <definedName name="NumAppraisers">[1]Setup!$G$21</definedName>
    <definedName name="NumTrials">[1]Setup!$J$21</definedName>
    <definedName name="_xlnm.Print_Area" localSheetId="0">'WI,BUYOFF,IPQC'!$A$1:$CF$480</definedName>
    <definedName name="SampSize">[1]Setup!$D$21</definedName>
    <definedName name="XBarA">#REF!</definedName>
    <definedName name="XBarB">#REF!</definedName>
    <definedName name="XBar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8" i="1" l="1"/>
  <c r="AP440" i="1"/>
  <c r="AP392" i="1"/>
  <c r="AP344" i="1"/>
  <c r="AP296" i="1"/>
  <c r="AP248" i="1"/>
  <c r="AP200" i="1"/>
  <c r="AP152" i="1"/>
  <c r="AP104" i="1"/>
  <c r="AP56" i="1"/>
  <c r="S10" i="1"/>
  <c r="BN393" i="1" s="1"/>
  <c r="U11" i="1"/>
  <c r="AY447" i="1"/>
  <c r="AY448" i="1"/>
  <c r="AY449" i="1"/>
  <c r="AY450" i="1"/>
  <c r="AY451" i="1"/>
  <c r="AY452" i="1"/>
  <c r="AY453" i="1"/>
  <c r="AY454" i="1"/>
  <c r="AY455" i="1"/>
  <c r="AY456" i="1"/>
  <c r="AY457" i="1"/>
  <c r="AX447" i="1"/>
  <c r="AX448" i="1"/>
  <c r="AX449" i="1"/>
  <c r="AX450" i="1"/>
  <c r="AX451" i="1"/>
  <c r="AX452" i="1"/>
  <c r="AX453" i="1"/>
  <c r="AX454" i="1"/>
  <c r="AX455" i="1"/>
  <c r="AX456" i="1"/>
  <c r="AX457" i="1"/>
  <c r="AY446" i="1"/>
  <c r="AX446" i="1"/>
  <c r="AY399" i="1"/>
  <c r="AY400" i="1"/>
  <c r="AY401" i="1"/>
  <c r="AY402" i="1"/>
  <c r="AY403" i="1"/>
  <c r="AY404" i="1"/>
  <c r="AY405" i="1"/>
  <c r="AY406" i="1"/>
  <c r="AY407" i="1"/>
  <c r="AY408" i="1"/>
  <c r="AY409" i="1"/>
  <c r="AX399" i="1"/>
  <c r="AX400" i="1"/>
  <c r="AX401" i="1"/>
  <c r="AX402" i="1"/>
  <c r="AX403" i="1"/>
  <c r="AX404" i="1"/>
  <c r="AX405" i="1"/>
  <c r="AX406" i="1"/>
  <c r="AX407" i="1"/>
  <c r="AX408" i="1"/>
  <c r="AX409" i="1"/>
  <c r="AY398" i="1"/>
  <c r="AX398" i="1"/>
  <c r="AY351" i="1"/>
  <c r="AY352" i="1"/>
  <c r="AY353" i="1"/>
  <c r="AY354" i="1"/>
  <c r="AY355" i="1"/>
  <c r="AY356" i="1"/>
  <c r="AY357" i="1"/>
  <c r="AY358" i="1"/>
  <c r="AY359" i="1"/>
  <c r="AY360" i="1"/>
  <c r="AY361" i="1"/>
  <c r="AX351" i="1"/>
  <c r="AX352" i="1"/>
  <c r="AX353" i="1"/>
  <c r="AX354" i="1"/>
  <c r="AX355" i="1"/>
  <c r="AX356" i="1"/>
  <c r="AX357" i="1"/>
  <c r="AX358" i="1"/>
  <c r="AX359" i="1"/>
  <c r="AX360" i="1"/>
  <c r="AX361" i="1"/>
  <c r="AY350" i="1"/>
  <c r="AX350" i="1"/>
  <c r="AY303" i="1"/>
  <c r="AY304" i="1"/>
  <c r="AY305" i="1"/>
  <c r="AY306" i="1"/>
  <c r="AY307" i="1"/>
  <c r="AY308" i="1"/>
  <c r="AY309" i="1"/>
  <c r="AY310" i="1"/>
  <c r="AY311" i="1"/>
  <c r="AY312" i="1"/>
  <c r="AY313" i="1"/>
  <c r="AX303" i="1"/>
  <c r="AX304" i="1"/>
  <c r="AX305" i="1"/>
  <c r="AX306" i="1"/>
  <c r="AX307" i="1"/>
  <c r="AX308" i="1"/>
  <c r="AX309" i="1"/>
  <c r="AX310" i="1"/>
  <c r="AX311" i="1"/>
  <c r="AX312" i="1"/>
  <c r="AX313" i="1"/>
  <c r="AY302" i="1"/>
  <c r="AX302" i="1"/>
  <c r="AY255" i="1"/>
  <c r="AY256" i="1"/>
  <c r="AY257" i="1"/>
  <c r="AY258" i="1"/>
  <c r="AY259" i="1"/>
  <c r="AY260" i="1"/>
  <c r="AY261" i="1"/>
  <c r="AY262" i="1"/>
  <c r="AY263" i="1"/>
  <c r="AY264" i="1"/>
  <c r="AY265" i="1"/>
  <c r="AX255" i="1"/>
  <c r="AX256" i="1"/>
  <c r="AX257" i="1"/>
  <c r="AX258" i="1"/>
  <c r="AX259" i="1"/>
  <c r="AX260" i="1"/>
  <c r="AX261" i="1"/>
  <c r="AX262" i="1"/>
  <c r="AX263" i="1"/>
  <c r="AX264" i="1"/>
  <c r="AX265" i="1"/>
  <c r="AY254" i="1"/>
  <c r="AX254" i="1"/>
  <c r="AY207" i="1"/>
  <c r="AY208" i="1"/>
  <c r="AY209" i="1"/>
  <c r="AY210" i="1"/>
  <c r="AY211" i="1"/>
  <c r="AY212" i="1"/>
  <c r="AY213" i="1"/>
  <c r="AY214" i="1"/>
  <c r="AY215" i="1"/>
  <c r="AY216" i="1"/>
  <c r="AY217" i="1"/>
  <c r="AX215" i="1"/>
  <c r="AX207" i="1"/>
  <c r="AX208" i="1"/>
  <c r="AX209" i="1"/>
  <c r="AX210" i="1"/>
  <c r="AX211" i="1"/>
  <c r="AX212" i="1"/>
  <c r="AX213" i="1"/>
  <c r="AX214" i="1"/>
  <c r="AX216" i="1"/>
  <c r="AX217" i="1"/>
  <c r="AY206" i="1"/>
  <c r="AX206" i="1"/>
  <c r="AY159" i="1"/>
  <c r="AY160" i="1"/>
  <c r="AY161" i="1"/>
  <c r="AY162" i="1"/>
  <c r="AY163" i="1"/>
  <c r="AY164" i="1"/>
  <c r="AY165" i="1"/>
  <c r="AY166" i="1"/>
  <c r="AY167" i="1"/>
  <c r="AY168" i="1"/>
  <c r="AY169" i="1"/>
  <c r="AX159" i="1"/>
  <c r="AX160" i="1"/>
  <c r="AX161" i="1"/>
  <c r="AX162" i="1"/>
  <c r="AX163" i="1"/>
  <c r="AX164" i="1"/>
  <c r="AX165" i="1"/>
  <c r="AX166" i="1"/>
  <c r="AX167" i="1"/>
  <c r="AX168" i="1"/>
  <c r="AX169" i="1"/>
  <c r="AY158" i="1"/>
  <c r="AX158" i="1"/>
  <c r="AY111" i="1"/>
  <c r="AY112" i="1"/>
  <c r="AY113" i="1"/>
  <c r="AY114" i="1"/>
  <c r="AY115" i="1"/>
  <c r="AY116" i="1"/>
  <c r="AY117" i="1"/>
  <c r="AY118" i="1"/>
  <c r="AY119" i="1"/>
  <c r="AY120" i="1"/>
  <c r="AY121" i="1"/>
  <c r="AX111" i="1"/>
  <c r="AX112" i="1"/>
  <c r="AX113" i="1"/>
  <c r="AX114" i="1"/>
  <c r="AX115" i="1"/>
  <c r="AX116" i="1"/>
  <c r="AX117" i="1"/>
  <c r="AX118" i="1"/>
  <c r="AX119" i="1"/>
  <c r="AX120" i="1"/>
  <c r="AX121" i="1"/>
  <c r="AY110" i="1"/>
  <c r="AX110" i="1"/>
  <c r="AY63" i="1"/>
  <c r="AY64" i="1"/>
  <c r="AY65" i="1"/>
  <c r="AY66" i="1"/>
  <c r="AY67" i="1"/>
  <c r="AY68" i="1"/>
  <c r="AY69" i="1"/>
  <c r="AY70" i="1"/>
  <c r="AY71" i="1"/>
  <c r="AY72" i="1"/>
  <c r="AY73" i="1"/>
  <c r="AX63" i="1"/>
  <c r="AX64" i="1"/>
  <c r="AX65" i="1"/>
  <c r="AX66" i="1"/>
  <c r="AX67" i="1"/>
  <c r="AX68" i="1"/>
  <c r="AX69" i="1"/>
  <c r="AX70" i="1"/>
  <c r="AX71" i="1"/>
  <c r="AX72" i="1"/>
  <c r="AX73" i="1"/>
  <c r="AY62" i="1"/>
  <c r="AX62" i="1"/>
  <c r="AY17" i="1"/>
  <c r="AY15" i="1"/>
  <c r="AY16" i="1"/>
  <c r="AY18" i="1"/>
  <c r="AY19" i="1"/>
  <c r="AY20" i="1"/>
  <c r="AY21" i="1"/>
  <c r="AY22" i="1"/>
  <c r="AY23" i="1"/>
  <c r="AY24" i="1"/>
  <c r="AY25" i="1"/>
  <c r="AY14" i="1"/>
  <c r="AN439" i="1"/>
  <c r="AN391" i="1"/>
  <c r="AN343" i="1"/>
  <c r="AN295" i="1"/>
  <c r="AN247" i="1"/>
  <c r="AN199" i="1"/>
  <c r="AN151" i="1"/>
  <c r="AN103" i="1"/>
  <c r="AN55" i="1"/>
  <c r="BI439" i="1"/>
  <c r="BI391" i="1"/>
  <c r="BI343" i="1"/>
  <c r="BI295" i="1"/>
  <c r="BI247" i="1"/>
  <c r="BI199" i="1"/>
  <c r="BI151" i="1"/>
  <c r="BI103" i="1"/>
  <c r="BI55" i="1"/>
  <c r="BI7" i="1"/>
  <c r="AN7" i="1"/>
  <c r="S7" i="1"/>
  <c r="CD199" i="1" s="1"/>
  <c r="AQ14" i="1"/>
  <c r="X4" i="1"/>
  <c r="BZ441" i="1"/>
  <c r="BW441" i="1"/>
  <c r="BT441" i="1"/>
  <c r="CF440" i="1"/>
  <c r="BN440" i="1"/>
  <c r="BN439" i="1"/>
  <c r="CD438" i="1"/>
  <c r="BN438" i="1"/>
  <c r="CD437" i="1"/>
  <c r="BN437" i="1"/>
  <c r="CD436" i="1"/>
  <c r="BN436" i="1"/>
  <c r="BZ393" i="1"/>
  <c r="BW393" i="1"/>
  <c r="BT393" i="1"/>
  <c r="CF392" i="1"/>
  <c r="BN392" i="1"/>
  <c r="BN391" i="1"/>
  <c r="CD390" i="1"/>
  <c r="BN390" i="1"/>
  <c r="CD389" i="1"/>
  <c r="BN389" i="1"/>
  <c r="CD388" i="1"/>
  <c r="BN388" i="1"/>
  <c r="BZ345" i="1"/>
  <c r="BW345" i="1"/>
  <c r="BT345" i="1"/>
  <c r="CF344" i="1"/>
  <c r="BN344" i="1"/>
  <c r="BN343" i="1"/>
  <c r="CD342" i="1"/>
  <c r="BN342" i="1"/>
  <c r="CD341" i="1"/>
  <c r="BN341" i="1"/>
  <c r="CD340" i="1"/>
  <c r="BN340" i="1"/>
  <c r="BZ297" i="1"/>
  <c r="BW297" i="1"/>
  <c r="BT297" i="1"/>
  <c r="CF296" i="1"/>
  <c r="BN296" i="1"/>
  <c r="BN295" i="1"/>
  <c r="CD294" i="1"/>
  <c r="BN294" i="1"/>
  <c r="CD293" i="1"/>
  <c r="BN293" i="1"/>
  <c r="CD292" i="1"/>
  <c r="BN292" i="1"/>
  <c r="BZ249" i="1"/>
  <c r="BW249" i="1"/>
  <c r="BT249" i="1"/>
  <c r="CF248" i="1"/>
  <c r="BN248" i="1"/>
  <c r="BN247" i="1"/>
  <c r="CD246" i="1"/>
  <c r="BN246" i="1"/>
  <c r="CD245" i="1"/>
  <c r="BN245" i="1"/>
  <c r="CD244" i="1"/>
  <c r="BN244" i="1"/>
  <c r="BZ201" i="1"/>
  <c r="BW201" i="1"/>
  <c r="BT201" i="1"/>
  <c r="CF200" i="1"/>
  <c r="BN200" i="1"/>
  <c r="BN199" i="1"/>
  <c r="CD198" i="1"/>
  <c r="BN198" i="1"/>
  <c r="CD197" i="1"/>
  <c r="BN197" i="1"/>
  <c r="CD196" i="1"/>
  <c r="BN196" i="1"/>
  <c r="BZ153" i="1"/>
  <c r="BW153" i="1"/>
  <c r="BT153" i="1"/>
  <c r="CF152" i="1"/>
  <c r="BN152" i="1"/>
  <c r="BN151" i="1"/>
  <c r="CD150" i="1"/>
  <c r="BN150" i="1"/>
  <c r="CD149" i="1"/>
  <c r="BN149" i="1"/>
  <c r="CD148" i="1"/>
  <c r="BN148" i="1"/>
  <c r="BZ105" i="1"/>
  <c r="BW105" i="1"/>
  <c r="BT105" i="1"/>
  <c r="CF104" i="1"/>
  <c r="BN104" i="1"/>
  <c r="BN103" i="1"/>
  <c r="CD102" i="1"/>
  <c r="BN102" i="1"/>
  <c r="CD101" i="1"/>
  <c r="BN101" i="1"/>
  <c r="CD100" i="1"/>
  <c r="BN100" i="1"/>
  <c r="BZ57" i="1"/>
  <c r="BW57" i="1"/>
  <c r="BT57" i="1"/>
  <c r="CF56" i="1"/>
  <c r="BN56" i="1"/>
  <c r="BN55" i="1"/>
  <c r="CD54" i="1"/>
  <c r="BN54" i="1"/>
  <c r="CD53" i="1"/>
  <c r="BN53" i="1"/>
  <c r="CD52" i="1"/>
  <c r="BN52" i="1"/>
  <c r="CD6" i="1"/>
  <c r="CD5" i="1"/>
  <c r="CD4" i="1"/>
  <c r="BN442" i="1"/>
  <c r="BN394" i="1"/>
  <c r="BN346" i="1"/>
  <c r="BN298" i="1"/>
  <c r="BN250" i="1"/>
  <c r="BN202" i="1"/>
  <c r="BN154" i="1"/>
  <c r="BN106" i="1"/>
  <c r="BN58" i="1"/>
  <c r="BN10" i="1"/>
  <c r="X10" i="1"/>
  <c r="AS10" i="1"/>
  <c r="BN8" i="1"/>
  <c r="BN7" i="1"/>
  <c r="BN6" i="1"/>
  <c r="BN5" i="1"/>
  <c r="BN4" i="1"/>
  <c r="CF8" i="1"/>
  <c r="BT9" i="1"/>
  <c r="BW9" i="1"/>
  <c r="BZ9" i="1"/>
  <c r="W225" i="1" a="1"/>
  <c r="W225" i="1" s="1"/>
  <c r="W224" i="1" a="1"/>
  <c r="W224" i="1" s="1"/>
  <c r="W223" i="1" a="1"/>
  <c r="W223" i="1" s="1"/>
  <c r="W222" i="1" a="1"/>
  <c r="W222" i="1" s="1"/>
  <c r="W221" i="1" a="1"/>
  <c r="W221" i="1" s="1"/>
  <c r="X176" i="1"/>
  <c r="X175" i="1"/>
  <c r="W184" i="1" a="1"/>
  <c r="W184" i="1"/>
  <c r="W183" i="1" a="1"/>
  <c r="W183" i="1" s="1"/>
  <c r="W182" i="1" a="1"/>
  <c r="W182" i="1" s="1"/>
  <c r="W181" i="1" a="1"/>
  <c r="W181" i="1" s="1"/>
  <c r="W180" i="1" a="1"/>
  <c r="W180" i="1" s="1"/>
  <c r="W179" i="1" a="1"/>
  <c r="W179" i="1" s="1"/>
  <c r="W178" i="1" a="1"/>
  <c r="W178" i="1" s="1"/>
  <c r="X178" i="1" s="1"/>
  <c r="W177" i="1" a="1"/>
  <c r="W177" i="1" s="1"/>
  <c r="X177" i="1" s="1"/>
  <c r="W176" i="1" a="1"/>
  <c r="W176" i="1" s="1"/>
  <c r="W175" i="1" a="1"/>
  <c r="W175" i="1" s="1"/>
  <c r="W174" i="1" a="1"/>
  <c r="W174" i="1" s="1"/>
  <c r="X174" i="1" s="1"/>
  <c r="W173" i="1" a="1"/>
  <c r="W173" i="1" s="1"/>
  <c r="X173" i="1" s="1"/>
  <c r="BE474" i="1"/>
  <c r="BE475" i="1"/>
  <c r="BE476" i="1"/>
  <c r="BE477" i="1"/>
  <c r="BE478" i="1"/>
  <c r="BD474" i="1"/>
  <c r="BD475" i="1"/>
  <c r="BD476" i="1"/>
  <c r="BD477" i="1"/>
  <c r="BD478" i="1"/>
  <c r="BC474" i="1"/>
  <c r="BF474" i="1" s="1"/>
  <c r="BC475" i="1"/>
  <c r="BF475" i="1" s="1"/>
  <c r="BC476" i="1"/>
  <c r="BF476" i="1" s="1"/>
  <c r="BC477" i="1"/>
  <c r="BF477" i="1" s="1"/>
  <c r="BC478" i="1"/>
  <c r="BF478" i="1" s="1"/>
  <c r="BC473" i="1"/>
  <c r="BF473" i="1" s="1"/>
  <c r="AX476" i="1"/>
  <c r="AX477" i="1"/>
  <c r="AX478" i="1"/>
  <c r="AW474" i="1"/>
  <c r="AW475" i="1"/>
  <c r="AW476" i="1"/>
  <c r="AW477" i="1"/>
  <c r="AW478" i="1"/>
  <c r="AW473" i="1"/>
  <c r="AV474" i="1"/>
  <c r="AV475" i="1"/>
  <c r="AV476" i="1"/>
  <c r="AV477" i="1"/>
  <c r="AV478" i="1"/>
  <c r="AV473" i="1"/>
  <c r="AU473" i="1"/>
  <c r="AX473" i="1" s="1"/>
  <c r="AU474" i="1"/>
  <c r="AX474" i="1" s="1"/>
  <c r="AU475" i="1"/>
  <c r="AX475" i="1" s="1"/>
  <c r="AU476" i="1"/>
  <c r="AU477" i="1"/>
  <c r="AU478" i="1"/>
  <c r="BE426" i="1"/>
  <c r="BE427" i="1"/>
  <c r="BE428" i="1"/>
  <c r="BE429" i="1"/>
  <c r="BE430" i="1"/>
  <c r="BE425" i="1"/>
  <c r="BD426" i="1"/>
  <c r="BD427" i="1"/>
  <c r="BD428" i="1"/>
  <c r="BD429" i="1"/>
  <c r="BD430" i="1"/>
  <c r="BD425" i="1"/>
  <c r="BC425" i="1"/>
  <c r="BF425" i="1" s="1"/>
  <c r="BC426" i="1"/>
  <c r="BF426" i="1" s="1"/>
  <c r="BC427" i="1"/>
  <c r="BF427" i="1" s="1"/>
  <c r="BC428" i="1"/>
  <c r="BF428" i="1" s="1"/>
  <c r="BC429" i="1"/>
  <c r="BF429" i="1" s="1"/>
  <c r="BC430" i="1"/>
  <c r="BF430" i="1" s="1"/>
  <c r="AX426" i="1"/>
  <c r="AX427" i="1"/>
  <c r="AW425" i="1"/>
  <c r="AW426" i="1"/>
  <c r="AW427" i="1"/>
  <c r="AW428" i="1"/>
  <c r="AW429" i="1"/>
  <c r="AW430" i="1"/>
  <c r="AV426" i="1"/>
  <c r="AV427" i="1"/>
  <c r="AV428" i="1"/>
  <c r="AV429" i="1"/>
  <c r="AV430" i="1"/>
  <c r="AU426" i="1"/>
  <c r="AU427" i="1"/>
  <c r="AU428" i="1"/>
  <c r="AX428" i="1" s="1"/>
  <c r="AU429" i="1"/>
  <c r="AX429" i="1" s="1"/>
  <c r="AU430" i="1"/>
  <c r="AX430" i="1" s="1"/>
  <c r="AU425" i="1"/>
  <c r="AX425" i="1" s="1"/>
  <c r="BE382" i="1"/>
  <c r="BE381" i="1"/>
  <c r="BE380" i="1"/>
  <c r="BE379" i="1"/>
  <c r="BE378" i="1"/>
  <c r="BE377" i="1"/>
  <c r="BD382" i="1"/>
  <c r="BD381" i="1"/>
  <c r="BD380" i="1"/>
  <c r="BD379" i="1"/>
  <c r="BD378" i="1"/>
  <c r="BD377" i="1"/>
  <c r="BC382" i="1"/>
  <c r="BF382" i="1" s="1"/>
  <c r="BC381" i="1"/>
  <c r="BF381" i="1" s="1"/>
  <c r="BC380" i="1"/>
  <c r="BF380" i="1" s="1"/>
  <c r="BC379" i="1"/>
  <c r="BF379" i="1" s="1"/>
  <c r="BC378" i="1"/>
  <c r="BF378" i="1" s="1"/>
  <c r="BC377" i="1"/>
  <c r="BF377" i="1" s="1"/>
  <c r="AX382" i="1"/>
  <c r="AW382" i="1"/>
  <c r="AW381" i="1"/>
  <c r="AW380" i="1"/>
  <c r="AW379" i="1"/>
  <c r="AW378" i="1"/>
  <c r="AW377" i="1"/>
  <c r="AV382" i="1"/>
  <c r="AV381" i="1"/>
  <c r="AV380" i="1"/>
  <c r="AV379" i="1"/>
  <c r="AV378" i="1"/>
  <c r="AV377" i="1"/>
  <c r="AU382" i="1"/>
  <c r="AU381" i="1"/>
  <c r="AX381" i="1" s="1"/>
  <c r="AU380" i="1"/>
  <c r="AX380" i="1" s="1"/>
  <c r="AU379" i="1"/>
  <c r="AX379" i="1" s="1"/>
  <c r="AU378" i="1"/>
  <c r="AX378" i="1" s="1"/>
  <c r="AU377" i="1"/>
  <c r="AX377" i="1" s="1"/>
  <c r="BE334" i="1"/>
  <c r="BE333" i="1"/>
  <c r="BE332" i="1"/>
  <c r="BE331" i="1"/>
  <c r="BE330" i="1"/>
  <c r="BE329" i="1"/>
  <c r="BD334" i="1"/>
  <c r="BD333" i="1"/>
  <c r="BD332" i="1"/>
  <c r="BD331" i="1"/>
  <c r="BD330" i="1"/>
  <c r="BD329" i="1"/>
  <c r="BC334" i="1"/>
  <c r="BF334" i="1" s="1"/>
  <c r="BC333" i="1"/>
  <c r="BF333" i="1" s="1"/>
  <c r="BC332" i="1"/>
  <c r="BF332" i="1" s="1"/>
  <c r="BC331" i="1"/>
  <c r="BF331" i="1" s="1"/>
  <c r="BC330" i="1"/>
  <c r="BF330" i="1" s="1"/>
  <c r="BC329" i="1"/>
  <c r="BF329" i="1" s="1"/>
  <c r="AX334" i="1"/>
  <c r="AW334" i="1"/>
  <c r="AW333" i="1"/>
  <c r="AW332" i="1"/>
  <c r="AW331" i="1"/>
  <c r="AW330" i="1"/>
  <c r="AW329" i="1"/>
  <c r="AV334" i="1"/>
  <c r="AV333" i="1"/>
  <c r="AV332" i="1"/>
  <c r="AV331" i="1"/>
  <c r="AV330" i="1"/>
  <c r="AV329" i="1"/>
  <c r="AU334" i="1"/>
  <c r="AU333" i="1"/>
  <c r="AX333" i="1" s="1"/>
  <c r="AU332" i="1"/>
  <c r="AX332" i="1" s="1"/>
  <c r="AU331" i="1"/>
  <c r="AX331" i="1" s="1"/>
  <c r="AU330" i="1"/>
  <c r="AX330" i="1" s="1"/>
  <c r="AU329" i="1"/>
  <c r="AX329" i="1" s="1"/>
  <c r="BF281" i="1"/>
  <c r="BE286" i="1"/>
  <c r="BE285" i="1"/>
  <c r="BE284" i="1"/>
  <c r="BE283" i="1"/>
  <c r="BE282" i="1"/>
  <c r="BE281" i="1"/>
  <c r="BD286" i="1"/>
  <c r="BD285" i="1"/>
  <c r="BD284" i="1"/>
  <c r="BD283" i="1"/>
  <c r="BD282" i="1"/>
  <c r="BD281" i="1"/>
  <c r="BC286" i="1"/>
  <c r="BF286" i="1" s="1"/>
  <c r="BC285" i="1"/>
  <c r="BF285" i="1" s="1"/>
  <c r="BC284" i="1"/>
  <c r="BF284" i="1" s="1"/>
  <c r="BC283" i="1"/>
  <c r="BF283" i="1" s="1"/>
  <c r="BC282" i="1"/>
  <c r="BF282" i="1" s="1"/>
  <c r="BC281" i="1"/>
  <c r="AW286" i="1"/>
  <c r="AW285" i="1"/>
  <c r="AW284" i="1"/>
  <c r="AW283" i="1"/>
  <c r="AW282" i="1"/>
  <c r="AW281" i="1"/>
  <c r="AV286" i="1"/>
  <c r="AV285" i="1"/>
  <c r="AV284" i="1"/>
  <c r="AV283" i="1"/>
  <c r="AV282" i="1"/>
  <c r="AV281" i="1"/>
  <c r="AU286" i="1"/>
  <c r="AX286" i="1" s="1"/>
  <c r="AU285" i="1"/>
  <c r="AX285" i="1" s="1"/>
  <c r="AU284" i="1"/>
  <c r="AX284" i="1" s="1"/>
  <c r="AU283" i="1"/>
  <c r="AX283" i="1" s="1"/>
  <c r="AU282" i="1"/>
  <c r="AX282" i="1" s="1"/>
  <c r="AU281" i="1"/>
  <c r="AX281" i="1" s="1"/>
  <c r="BF235" i="1"/>
  <c r="BE238" i="1"/>
  <c r="BE237" i="1"/>
  <c r="BE236" i="1"/>
  <c r="BE235" i="1"/>
  <c r="BE234" i="1"/>
  <c r="BE233" i="1"/>
  <c r="BD238" i="1"/>
  <c r="BD237" i="1"/>
  <c r="BD236" i="1"/>
  <c r="BD235" i="1"/>
  <c r="BD234" i="1"/>
  <c r="BD233" i="1"/>
  <c r="BC238" i="1"/>
  <c r="BF238" i="1" s="1"/>
  <c r="BC237" i="1"/>
  <c r="BF237" i="1" s="1"/>
  <c r="BC236" i="1"/>
  <c r="BF236" i="1" s="1"/>
  <c r="BC235" i="1"/>
  <c r="BC234" i="1"/>
  <c r="BF234" i="1" s="1"/>
  <c r="BC233" i="1"/>
  <c r="BF233" i="1" s="1"/>
  <c r="AW234" i="1"/>
  <c r="AW235" i="1"/>
  <c r="AW236" i="1"/>
  <c r="AW237" i="1"/>
  <c r="AW238" i="1"/>
  <c r="AV234" i="1"/>
  <c r="AV235" i="1"/>
  <c r="AV236" i="1"/>
  <c r="AV237" i="1"/>
  <c r="AV238" i="1"/>
  <c r="AU234" i="1"/>
  <c r="AX234" i="1" s="1"/>
  <c r="AU235" i="1"/>
  <c r="AX235" i="1" s="1"/>
  <c r="AU236" i="1"/>
  <c r="AX236" i="1" s="1"/>
  <c r="AU237" i="1"/>
  <c r="AX237" i="1" s="1"/>
  <c r="AU238" i="1"/>
  <c r="AX238" i="1" s="1"/>
  <c r="AU233" i="1"/>
  <c r="AX233" i="1" s="1"/>
  <c r="BF186" i="1"/>
  <c r="BE190" i="1"/>
  <c r="BE189" i="1"/>
  <c r="BE188" i="1"/>
  <c r="BE187" i="1"/>
  <c r="BE186" i="1"/>
  <c r="BE185" i="1"/>
  <c r="BD190" i="1"/>
  <c r="BD189" i="1"/>
  <c r="BD188" i="1"/>
  <c r="BD187" i="1"/>
  <c r="BD186" i="1"/>
  <c r="BD185" i="1"/>
  <c r="BC190" i="1"/>
  <c r="BF190" i="1" s="1"/>
  <c r="BC189" i="1"/>
  <c r="BF189" i="1" s="1"/>
  <c r="BC188" i="1"/>
  <c r="BF188" i="1" s="1"/>
  <c r="BC187" i="1"/>
  <c r="BF187" i="1" s="1"/>
  <c r="BC186" i="1"/>
  <c r="BC185" i="1"/>
  <c r="BF185" i="1" s="1"/>
  <c r="AX187" i="1"/>
  <c r="AW186" i="1"/>
  <c r="AW187" i="1"/>
  <c r="AW188" i="1"/>
  <c r="AW189" i="1"/>
  <c r="AW190" i="1"/>
  <c r="AW185" i="1"/>
  <c r="AV190" i="1"/>
  <c r="AV189" i="1"/>
  <c r="AV188" i="1"/>
  <c r="AV187" i="1"/>
  <c r="AV186" i="1"/>
  <c r="AV185" i="1"/>
  <c r="AU186" i="1"/>
  <c r="AX186" i="1" s="1"/>
  <c r="AU187" i="1"/>
  <c r="AU188" i="1"/>
  <c r="AX188" i="1" s="1"/>
  <c r="AU189" i="1"/>
  <c r="AX189" i="1" s="1"/>
  <c r="AU190" i="1"/>
  <c r="AX190" i="1" s="1"/>
  <c r="AU185" i="1"/>
  <c r="AX185" i="1" s="1"/>
  <c r="BE142" i="1"/>
  <c r="BE141" i="1"/>
  <c r="BE140" i="1"/>
  <c r="BE139" i="1"/>
  <c r="BE138" i="1"/>
  <c r="BE137" i="1"/>
  <c r="BD142" i="1"/>
  <c r="BD141" i="1"/>
  <c r="BD140" i="1"/>
  <c r="BD139" i="1"/>
  <c r="BD138" i="1"/>
  <c r="BD137" i="1"/>
  <c r="BC142" i="1"/>
  <c r="BF142" i="1" s="1"/>
  <c r="BC141" i="1"/>
  <c r="BF141" i="1" s="1"/>
  <c r="BC140" i="1"/>
  <c r="BF140" i="1" s="1"/>
  <c r="BC139" i="1"/>
  <c r="BF139" i="1" s="1"/>
  <c r="BC138" i="1"/>
  <c r="BF138" i="1" s="1"/>
  <c r="BC137" i="1"/>
  <c r="BF137" i="1" s="1"/>
  <c r="BF93" i="1"/>
  <c r="BE94" i="1"/>
  <c r="BE93" i="1"/>
  <c r="BE92" i="1"/>
  <c r="BE91" i="1"/>
  <c r="BE90" i="1"/>
  <c r="BE89" i="1"/>
  <c r="BD94" i="1"/>
  <c r="BD93" i="1"/>
  <c r="BD92" i="1"/>
  <c r="BD91" i="1"/>
  <c r="BD90" i="1"/>
  <c r="BD89" i="1"/>
  <c r="BC94" i="1"/>
  <c r="BF94" i="1" s="1"/>
  <c r="BC93" i="1"/>
  <c r="BC92" i="1"/>
  <c r="BF92" i="1" s="1"/>
  <c r="BC91" i="1"/>
  <c r="BF91" i="1" s="1"/>
  <c r="BC90" i="1"/>
  <c r="BF90" i="1" s="1"/>
  <c r="BC89" i="1"/>
  <c r="BF89" i="1" s="1"/>
  <c r="AW90" i="1"/>
  <c r="AW91" i="1"/>
  <c r="AW92" i="1"/>
  <c r="AW93" i="1"/>
  <c r="AW94" i="1"/>
  <c r="AW89" i="1"/>
  <c r="AV89" i="1"/>
  <c r="AV90" i="1"/>
  <c r="AV91" i="1"/>
  <c r="AV92" i="1"/>
  <c r="AV93" i="1"/>
  <c r="AV94" i="1"/>
  <c r="AU90" i="1"/>
  <c r="AX90" i="1" s="1"/>
  <c r="AU91" i="1"/>
  <c r="AX91" i="1" s="1"/>
  <c r="AU92" i="1"/>
  <c r="AX92" i="1" s="1"/>
  <c r="AU93" i="1"/>
  <c r="AX93" i="1" s="1"/>
  <c r="AU94" i="1"/>
  <c r="AX94" i="1" s="1"/>
  <c r="AU89" i="1"/>
  <c r="AX89" i="1" s="1"/>
  <c r="BF46" i="1"/>
  <c r="BF41" i="1"/>
  <c r="BE46" i="1"/>
  <c r="BE45" i="1"/>
  <c r="BE44" i="1"/>
  <c r="BE43" i="1"/>
  <c r="BE42" i="1"/>
  <c r="BE41" i="1"/>
  <c r="BD46" i="1"/>
  <c r="BD45" i="1"/>
  <c r="BD44" i="1"/>
  <c r="BD43" i="1"/>
  <c r="BD42" i="1"/>
  <c r="BD41" i="1"/>
  <c r="BC46" i="1"/>
  <c r="BC45" i="1"/>
  <c r="BF45" i="1" s="1"/>
  <c r="BC44" i="1"/>
  <c r="BF44" i="1" s="1"/>
  <c r="BC43" i="1"/>
  <c r="BF43" i="1" s="1"/>
  <c r="BC42" i="1"/>
  <c r="BF42" i="1" s="1"/>
  <c r="BC41" i="1"/>
  <c r="AW46" i="1"/>
  <c r="AW45" i="1"/>
  <c r="AW43" i="1"/>
  <c r="AW42" i="1"/>
  <c r="AW41" i="1"/>
  <c r="AV46" i="1"/>
  <c r="AV45" i="1"/>
  <c r="AV44" i="1"/>
  <c r="AV43" i="1"/>
  <c r="AV42" i="1"/>
  <c r="AV41" i="1"/>
  <c r="AU46" i="1"/>
  <c r="AU45" i="1"/>
  <c r="AU44" i="1"/>
  <c r="AU43" i="1"/>
  <c r="AX43" i="1" s="1"/>
  <c r="AU42" i="1"/>
  <c r="AU41" i="1"/>
  <c r="AW142" i="1"/>
  <c r="AW141" i="1"/>
  <c r="AW140" i="1"/>
  <c r="AW139" i="1"/>
  <c r="AW138" i="1"/>
  <c r="AW137" i="1"/>
  <c r="AV142" i="1"/>
  <c r="AV141" i="1"/>
  <c r="AV140" i="1"/>
  <c r="AV139" i="1"/>
  <c r="AV138" i="1"/>
  <c r="AV137" i="1"/>
  <c r="AX140" i="1"/>
  <c r="AU138" i="1"/>
  <c r="AX138" i="1" s="1"/>
  <c r="AU139" i="1"/>
  <c r="AX139" i="1" s="1"/>
  <c r="AU140" i="1"/>
  <c r="AU141" i="1"/>
  <c r="AX141" i="1" s="1"/>
  <c r="AU142" i="1"/>
  <c r="AX142" i="1" s="1"/>
  <c r="AU137" i="1"/>
  <c r="AX46" i="1"/>
  <c r="AX45" i="1"/>
  <c r="AX44" i="1"/>
  <c r="AX42" i="1"/>
  <c r="AX41" i="1"/>
  <c r="AW44" i="1"/>
  <c r="W280" i="1" a="1"/>
  <c r="W280" i="1" s="1"/>
  <c r="W279" i="1" a="1"/>
  <c r="W279" i="1" s="1"/>
  <c r="W278" i="1" a="1"/>
  <c r="W278" i="1" s="1"/>
  <c r="W277" i="1" a="1"/>
  <c r="W277" i="1" s="1"/>
  <c r="W276" i="1" a="1"/>
  <c r="W276" i="1" s="1"/>
  <c r="W275" i="1" a="1"/>
  <c r="W275" i="1" s="1"/>
  <c r="W274" i="1" a="1"/>
  <c r="W274" i="1" s="1"/>
  <c r="W273" i="1" a="1"/>
  <c r="W273" i="1" s="1"/>
  <c r="W272" i="1" a="1"/>
  <c r="W272" i="1" s="1"/>
  <c r="W271" i="1" a="1"/>
  <c r="W271" i="1" s="1"/>
  <c r="W270" i="1" a="1"/>
  <c r="W270" i="1" s="1"/>
  <c r="BI438" i="1"/>
  <c r="BI437" i="1"/>
  <c r="BI436" i="1"/>
  <c r="BI390" i="1"/>
  <c r="BI389" i="1"/>
  <c r="BI388" i="1"/>
  <c r="BI342" i="1"/>
  <c r="BI341" i="1"/>
  <c r="BI340" i="1"/>
  <c r="BI294" i="1"/>
  <c r="BI293" i="1"/>
  <c r="BI292" i="1"/>
  <c r="BI246" i="1"/>
  <c r="BI245" i="1"/>
  <c r="BI244" i="1"/>
  <c r="BI198" i="1"/>
  <c r="BI197" i="1"/>
  <c r="BI196" i="1"/>
  <c r="BI150" i="1"/>
  <c r="BI149" i="1"/>
  <c r="BI148" i="1"/>
  <c r="BI102" i="1"/>
  <c r="BI101" i="1"/>
  <c r="BI100" i="1"/>
  <c r="BI54" i="1"/>
  <c r="BI53" i="1"/>
  <c r="BI52" i="1"/>
  <c r="BI6" i="1"/>
  <c r="BI5" i="1"/>
  <c r="BI4" i="1"/>
  <c r="BN57" i="1" l="1"/>
  <c r="BN153" i="1"/>
  <c r="BN105" i="1"/>
  <c r="BN201" i="1"/>
  <c r="BN249" i="1"/>
  <c r="BN297" i="1"/>
  <c r="BN345" i="1"/>
  <c r="BN441" i="1"/>
  <c r="BN9" i="1"/>
  <c r="CD391" i="1"/>
  <c r="CD55" i="1"/>
  <c r="CD439" i="1"/>
  <c r="CD103" i="1"/>
  <c r="CD7" i="1"/>
  <c r="CD343" i="1"/>
  <c r="CD295" i="1"/>
  <c r="CD151" i="1"/>
  <c r="CD247" i="1"/>
  <c r="W40" i="1" a="1"/>
  <c r="W40" i="1" s="1"/>
  <c r="W39" i="1" a="1"/>
  <c r="W39" i="1" s="1"/>
  <c r="W38" i="1" a="1"/>
  <c r="W38" i="1"/>
  <c r="W37" i="1" a="1"/>
  <c r="W37" i="1" s="1"/>
  <c r="W36" i="1" a="1"/>
  <c r="W36" i="1"/>
  <c r="W35" i="1" a="1"/>
  <c r="W35" i="1" s="1"/>
  <c r="W34" i="1" a="1"/>
  <c r="W34" i="1" s="1"/>
  <c r="W33" i="1" a="1"/>
  <c r="W33" i="1" s="1"/>
  <c r="W32" i="1" a="1"/>
  <c r="W32" i="1" s="1"/>
  <c r="W31" i="1" a="1"/>
  <c r="W31" i="1" s="1"/>
  <c r="W30" i="1" a="1"/>
  <c r="W30" i="1" s="1"/>
  <c r="W29" i="1" a="1"/>
  <c r="W29" i="1" s="1"/>
  <c r="AN438" i="1"/>
  <c r="AN437" i="1"/>
  <c r="AN436" i="1"/>
  <c r="AN390" i="1"/>
  <c r="AN389" i="1"/>
  <c r="AN388" i="1"/>
  <c r="AN342" i="1"/>
  <c r="AN341" i="1"/>
  <c r="AN340" i="1"/>
  <c r="AN294" i="1"/>
  <c r="AN293" i="1"/>
  <c r="AN292" i="1"/>
  <c r="AN246" i="1"/>
  <c r="AN245" i="1"/>
  <c r="AN244" i="1"/>
  <c r="AN198" i="1"/>
  <c r="AN197" i="1"/>
  <c r="AN196" i="1"/>
  <c r="AN150" i="1"/>
  <c r="AN149" i="1"/>
  <c r="AN148" i="1"/>
  <c r="AN102" i="1"/>
  <c r="AN101" i="1"/>
  <c r="AN100" i="1"/>
  <c r="AN54" i="1"/>
  <c r="AN53" i="1"/>
  <c r="AN52" i="1"/>
  <c r="AN6" i="1"/>
  <c r="AN5" i="1"/>
  <c r="AN4" i="1"/>
  <c r="AS440" i="1"/>
  <c r="AS439" i="1"/>
  <c r="AS438" i="1"/>
  <c r="AS437" i="1"/>
  <c r="AS436" i="1"/>
  <c r="AS392" i="1"/>
  <c r="AS391" i="1"/>
  <c r="AS390" i="1"/>
  <c r="AS389" i="1"/>
  <c r="AS388" i="1"/>
  <c r="AS344" i="1"/>
  <c r="AS343" i="1"/>
  <c r="AS342" i="1"/>
  <c r="AS341" i="1"/>
  <c r="AS340" i="1"/>
  <c r="AS296" i="1"/>
  <c r="AS295" i="1"/>
  <c r="AS294" i="1"/>
  <c r="AS293" i="1"/>
  <c r="AS292" i="1"/>
  <c r="AS248" i="1"/>
  <c r="AS247" i="1"/>
  <c r="AS246" i="1"/>
  <c r="AS245" i="1"/>
  <c r="AS244" i="1"/>
  <c r="AS200" i="1"/>
  <c r="AS199" i="1"/>
  <c r="AS198" i="1"/>
  <c r="AS197" i="1"/>
  <c r="AS196" i="1"/>
  <c r="AS152" i="1"/>
  <c r="AS151" i="1"/>
  <c r="AS150" i="1"/>
  <c r="AS149" i="1"/>
  <c r="AS148" i="1"/>
  <c r="AS104" i="1"/>
  <c r="AS103" i="1"/>
  <c r="AS102" i="1"/>
  <c r="AS101" i="1"/>
  <c r="AS100" i="1"/>
  <c r="AS56" i="1"/>
  <c r="AS55" i="1"/>
  <c r="AS54" i="1"/>
  <c r="AS53" i="1"/>
  <c r="AS52" i="1"/>
  <c r="AS8" i="1"/>
  <c r="AS7" i="1"/>
  <c r="AS6" i="1"/>
  <c r="AS5" i="1"/>
  <c r="AS4" i="1"/>
  <c r="X440" i="1"/>
  <c r="X439" i="1"/>
  <c r="X438" i="1"/>
  <c r="X437" i="1"/>
  <c r="X436" i="1"/>
  <c r="X392" i="1"/>
  <c r="X391" i="1"/>
  <c r="X390" i="1"/>
  <c r="X389" i="1"/>
  <c r="X388" i="1"/>
  <c r="X344" i="1"/>
  <c r="X343" i="1"/>
  <c r="X342" i="1"/>
  <c r="X341" i="1"/>
  <c r="X340" i="1"/>
  <c r="X296" i="1"/>
  <c r="X295" i="1"/>
  <c r="X294" i="1"/>
  <c r="X293" i="1"/>
  <c r="X292" i="1"/>
  <c r="X248" i="1"/>
  <c r="X247" i="1"/>
  <c r="X246" i="1"/>
  <c r="X245" i="1"/>
  <c r="X244" i="1"/>
  <c r="X200" i="1"/>
  <c r="X199" i="1"/>
  <c r="X198" i="1"/>
  <c r="X197" i="1"/>
  <c r="X196" i="1"/>
  <c r="X152" i="1"/>
  <c r="X151" i="1"/>
  <c r="X150" i="1"/>
  <c r="X149" i="1"/>
  <c r="X148" i="1"/>
  <c r="X104" i="1"/>
  <c r="X103" i="1"/>
  <c r="X102" i="1"/>
  <c r="X101" i="1"/>
  <c r="X100" i="1"/>
  <c r="X56" i="1"/>
  <c r="X55" i="1"/>
  <c r="X54" i="1"/>
  <c r="X53" i="1"/>
  <c r="X52" i="1"/>
  <c r="X57" i="1"/>
  <c r="BK8" i="1"/>
  <c r="X9" i="1"/>
  <c r="X8" i="1"/>
  <c r="X7" i="1"/>
  <c r="X6" i="1"/>
  <c r="Z10" i="1" l="1"/>
  <c r="BP298" i="1"/>
  <c r="BP250" i="1"/>
  <c r="AU10" i="1"/>
  <c r="BP10" i="1"/>
  <c r="BP202" i="1"/>
  <c r="BP58" i="1"/>
  <c r="BP442" i="1"/>
  <c r="BP154" i="1"/>
  <c r="BP346" i="1"/>
  <c r="BP394" i="1"/>
  <c r="BP106" i="1"/>
  <c r="AY478" i="1"/>
  <c r="AQ478" i="1"/>
  <c r="AY477" i="1"/>
  <c r="AQ477" i="1"/>
  <c r="AY476" i="1"/>
  <c r="AQ476" i="1"/>
  <c r="AY475" i="1"/>
  <c r="AQ475" i="1"/>
  <c r="AY474" i="1"/>
  <c r="AQ474" i="1"/>
  <c r="BE473" i="1"/>
  <c r="BD473" i="1"/>
  <c r="AY473" i="1"/>
  <c r="AQ473" i="1"/>
  <c r="AD472" i="1"/>
  <c r="AC472" i="1"/>
  <c r="AB472" i="1"/>
  <c r="AE472" i="1" s="1"/>
  <c r="AA472" i="1"/>
  <c r="Z472" i="1"/>
  <c r="W472" i="1" a="1"/>
  <c r="W472" i="1" s="1"/>
  <c r="Y472" i="1" s="1"/>
  <c r="V472" i="1"/>
  <c r="AD471" i="1"/>
  <c r="AC471" i="1"/>
  <c r="AB471" i="1"/>
  <c r="AE471" i="1" s="1"/>
  <c r="AA471" i="1"/>
  <c r="Z471" i="1"/>
  <c r="AV456" i="1" s="1"/>
  <c r="W471" i="1" a="1"/>
  <c r="W471" i="1" s="1"/>
  <c r="V471" i="1"/>
  <c r="AD470" i="1"/>
  <c r="AC470" i="1"/>
  <c r="AB470" i="1"/>
  <c r="AE470" i="1" s="1"/>
  <c r="AA470" i="1"/>
  <c r="Z470" i="1"/>
  <c r="AV455" i="1" s="1"/>
  <c r="W470" i="1" a="1"/>
  <c r="W470" i="1" s="1"/>
  <c r="V470" i="1"/>
  <c r="AD469" i="1"/>
  <c r="AC469" i="1"/>
  <c r="AB469" i="1"/>
  <c r="AE469" i="1" s="1"/>
  <c r="AA469" i="1"/>
  <c r="Z469" i="1"/>
  <c r="W469" i="1" a="1"/>
  <c r="W469" i="1" s="1"/>
  <c r="V469" i="1"/>
  <c r="AD468" i="1"/>
  <c r="AC468" i="1"/>
  <c r="AB468" i="1"/>
  <c r="AE468" i="1" s="1"/>
  <c r="AA468" i="1"/>
  <c r="Z468" i="1"/>
  <c r="AV453" i="1" s="1"/>
  <c r="W468" i="1" a="1"/>
  <c r="W468" i="1" s="1"/>
  <c r="V468" i="1"/>
  <c r="AD467" i="1"/>
  <c r="AC467" i="1"/>
  <c r="AB467" i="1"/>
  <c r="AE467" i="1" s="1"/>
  <c r="AA467" i="1"/>
  <c r="Z467" i="1"/>
  <c r="W467" i="1" a="1"/>
  <c r="W467" i="1" s="1"/>
  <c r="V467" i="1"/>
  <c r="AD466" i="1"/>
  <c r="AC466" i="1"/>
  <c r="AB466" i="1"/>
  <c r="AE466" i="1" s="1"/>
  <c r="AA466" i="1"/>
  <c r="Z466" i="1"/>
  <c r="AV451" i="1" s="1"/>
  <c r="W466" i="1" a="1"/>
  <c r="W466" i="1" s="1"/>
  <c r="V466" i="1"/>
  <c r="AD465" i="1"/>
  <c r="AC465" i="1"/>
  <c r="AB465" i="1"/>
  <c r="AE465" i="1" s="1"/>
  <c r="AA465" i="1"/>
  <c r="Z465" i="1"/>
  <c r="AV450" i="1" s="1"/>
  <c r="W465" i="1" a="1"/>
  <c r="W465" i="1" s="1"/>
  <c r="Y465" i="1" s="1"/>
  <c r="V465" i="1"/>
  <c r="AD464" i="1"/>
  <c r="AC464" i="1"/>
  <c r="AB464" i="1"/>
  <c r="AE464" i="1" s="1"/>
  <c r="AA464" i="1"/>
  <c r="Z464" i="1"/>
  <c r="AV449" i="1" s="1"/>
  <c r="W464" i="1" a="1"/>
  <c r="W464" i="1" s="1"/>
  <c r="V464" i="1"/>
  <c r="AD463" i="1"/>
  <c r="AC463" i="1"/>
  <c r="AB463" i="1"/>
  <c r="AE463" i="1" s="1"/>
  <c r="AA463" i="1"/>
  <c r="Z463" i="1"/>
  <c r="AV448" i="1" s="1"/>
  <c r="W463" i="1" a="1"/>
  <c r="W463" i="1" s="1"/>
  <c r="X463" i="1" s="1"/>
  <c r="V463" i="1"/>
  <c r="AD462" i="1"/>
  <c r="AC462" i="1"/>
  <c r="AB462" i="1"/>
  <c r="AE462" i="1" s="1"/>
  <c r="AA462" i="1"/>
  <c r="Z462" i="1"/>
  <c r="AV447" i="1" s="1"/>
  <c r="W462" i="1" a="1"/>
  <c r="W462" i="1" s="1"/>
  <c r="Y462" i="1" s="1"/>
  <c r="V462" i="1"/>
  <c r="AD461" i="1"/>
  <c r="AC461" i="1"/>
  <c r="AB461" i="1"/>
  <c r="AE461" i="1" s="1"/>
  <c r="AA461" i="1"/>
  <c r="Z461" i="1"/>
  <c r="AV446" i="1" s="1"/>
  <c r="W461" i="1" a="1"/>
  <c r="W461" i="1" s="1"/>
  <c r="V461" i="1"/>
  <c r="AC458" i="1"/>
  <c r="AB458" i="1"/>
  <c r="AW457" i="1"/>
  <c r="AU457" i="1" s="1"/>
  <c r="AV457" i="1"/>
  <c r="AQ457" i="1"/>
  <c r="AC457" i="1"/>
  <c r="CM129" i="1" s="1"/>
  <c r="AB457" i="1"/>
  <c r="CL129" i="1" s="1"/>
  <c r="AW456" i="1"/>
  <c r="AQ456" i="1"/>
  <c r="AC456" i="1"/>
  <c r="AB456" i="1"/>
  <c r="AW455" i="1"/>
  <c r="AQ455" i="1"/>
  <c r="AC455" i="1"/>
  <c r="AB455" i="1"/>
  <c r="CL127" i="1" s="1"/>
  <c r="AW454" i="1"/>
  <c r="AT454" i="1" s="1"/>
  <c r="AZ475" i="1" s="1" a="1"/>
  <c r="AZ475" i="1" s="1"/>
  <c r="AV454" i="1"/>
  <c r="AQ454" i="1"/>
  <c r="AC454" i="1"/>
  <c r="AB454" i="1"/>
  <c r="CL126" i="1" s="1"/>
  <c r="AW453" i="1"/>
  <c r="AQ453" i="1"/>
  <c r="AC453" i="1"/>
  <c r="CM125" i="1" s="1"/>
  <c r="AB453" i="1"/>
  <c r="CL125" i="1" s="1"/>
  <c r="AW452" i="1"/>
  <c r="AV452" i="1"/>
  <c r="AQ452" i="1"/>
  <c r="AC452" i="1"/>
  <c r="CM124" i="1" s="1"/>
  <c r="AB452" i="1"/>
  <c r="CL124" i="1" s="1"/>
  <c r="AW451" i="1"/>
  <c r="AU451" i="1" s="1"/>
  <c r="AQ451" i="1"/>
  <c r="AC451" i="1"/>
  <c r="CM123" i="1" s="1"/>
  <c r="AB451" i="1"/>
  <c r="CL123" i="1" s="1"/>
  <c r="AW450" i="1"/>
  <c r="AQ450" i="1"/>
  <c r="AC450" i="1"/>
  <c r="CM122" i="1" s="1"/>
  <c r="AB450" i="1"/>
  <c r="CL122" i="1" s="1"/>
  <c r="AW449" i="1"/>
  <c r="AQ449" i="1"/>
  <c r="AC449" i="1"/>
  <c r="CM121" i="1" s="1"/>
  <c r="AB449" i="1"/>
  <c r="AW448" i="1"/>
  <c r="AT448" i="1" s="1"/>
  <c r="AR475" i="1" s="1" a="1"/>
  <c r="AR475" i="1" s="1"/>
  <c r="AQ448" i="1"/>
  <c r="AC448" i="1"/>
  <c r="CM120" i="1" s="1"/>
  <c r="AB448" i="1"/>
  <c r="AW447" i="1"/>
  <c r="AU447" i="1"/>
  <c r="AT447" i="1"/>
  <c r="AR474" i="1" s="1" a="1"/>
  <c r="AR474" i="1" s="1"/>
  <c r="AQ447" i="1"/>
  <c r="AC447" i="1"/>
  <c r="CM119" i="1" s="1"/>
  <c r="AB447" i="1"/>
  <c r="CL119" i="1" s="1"/>
  <c r="AW446" i="1"/>
  <c r="AU446" i="1" s="1"/>
  <c r="AQ446" i="1"/>
  <c r="BF443" i="1"/>
  <c r="BI442" i="1"/>
  <c r="BF442" i="1"/>
  <c r="AS442" i="1"/>
  <c r="X442" i="1"/>
  <c r="AY430" i="1"/>
  <c r="AQ430" i="1"/>
  <c r="AY429" i="1"/>
  <c r="AQ429" i="1"/>
  <c r="AY428" i="1"/>
  <c r="AQ428" i="1"/>
  <c r="AY427" i="1"/>
  <c r="AQ427" i="1"/>
  <c r="AY426" i="1"/>
  <c r="AQ426" i="1"/>
  <c r="AY425" i="1"/>
  <c r="AV425" i="1"/>
  <c r="AQ425" i="1"/>
  <c r="AD424" i="1"/>
  <c r="AC424" i="1"/>
  <c r="AB424" i="1"/>
  <c r="AE424" i="1" s="1"/>
  <c r="AA424" i="1"/>
  <c r="Z424" i="1"/>
  <c r="AV409" i="1" s="1"/>
  <c r="W424" i="1" a="1"/>
  <c r="W424" i="1" s="1"/>
  <c r="V424" i="1"/>
  <c r="AD423" i="1"/>
  <c r="AC423" i="1"/>
  <c r="AB423" i="1"/>
  <c r="AE423" i="1" s="1"/>
  <c r="AA423" i="1"/>
  <c r="Z423" i="1"/>
  <c r="AV408" i="1" s="1"/>
  <c r="W423" i="1" a="1"/>
  <c r="W423" i="1" s="1"/>
  <c r="Y423" i="1" s="1"/>
  <c r="V423" i="1"/>
  <c r="AD422" i="1"/>
  <c r="AC422" i="1"/>
  <c r="AB422" i="1"/>
  <c r="AE422" i="1" s="1"/>
  <c r="AA422" i="1"/>
  <c r="Z422" i="1"/>
  <c r="AV407" i="1" s="1"/>
  <c r="W422" i="1" a="1"/>
  <c r="W422" i="1" s="1"/>
  <c r="V422" i="1"/>
  <c r="AD421" i="1"/>
  <c r="AC421" i="1"/>
  <c r="AB421" i="1"/>
  <c r="AE421" i="1" s="1"/>
  <c r="AA421" i="1"/>
  <c r="Z421" i="1"/>
  <c r="AV406" i="1" s="1"/>
  <c r="W421" i="1" a="1"/>
  <c r="W421" i="1" s="1"/>
  <c r="X421" i="1" s="1"/>
  <c r="V421" i="1"/>
  <c r="AD420" i="1"/>
  <c r="AC420" i="1"/>
  <c r="AB420" i="1"/>
  <c r="AE420" i="1" s="1"/>
  <c r="AA420" i="1"/>
  <c r="Z420" i="1"/>
  <c r="AV405" i="1" s="1"/>
  <c r="W420" i="1" a="1"/>
  <c r="W420" i="1" s="1"/>
  <c r="Y420" i="1" s="1"/>
  <c r="V420" i="1"/>
  <c r="AD419" i="1"/>
  <c r="AC419" i="1"/>
  <c r="AB419" i="1"/>
  <c r="AE419" i="1" s="1"/>
  <c r="AA419" i="1"/>
  <c r="Z419" i="1"/>
  <c r="AV404" i="1" s="1"/>
  <c r="W419" i="1" a="1"/>
  <c r="W419" i="1" s="1"/>
  <c r="X419" i="1" s="1"/>
  <c r="V419" i="1"/>
  <c r="AD418" i="1"/>
  <c r="AC418" i="1"/>
  <c r="AB418" i="1"/>
  <c r="AE418" i="1" s="1"/>
  <c r="AA418" i="1"/>
  <c r="Z418" i="1"/>
  <c r="AV403" i="1" s="1"/>
  <c r="W418" i="1" a="1"/>
  <c r="W418" i="1" s="1"/>
  <c r="Y418" i="1" s="1"/>
  <c r="V418" i="1"/>
  <c r="AD417" i="1"/>
  <c r="AC417" i="1"/>
  <c r="AB417" i="1"/>
  <c r="AE417" i="1" s="1"/>
  <c r="AA417" i="1"/>
  <c r="Z417" i="1"/>
  <c r="W417" i="1" a="1"/>
  <c r="W417" i="1" s="1"/>
  <c r="V417" i="1"/>
  <c r="AD416" i="1"/>
  <c r="AC416" i="1"/>
  <c r="AB416" i="1"/>
  <c r="AE416" i="1" s="1"/>
  <c r="AA416" i="1"/>
  <c r="Z416" i="1"/>
  <c r="W416" i="1" a="1"/>
  <c r="W416" i="1" s="1"/>
  <c r="V416" i="1"/>
  <c r="AD415" i="1"/>
  <c r="AC415" i="1"/>
  <c r="AB415" i="1"/>
  <c r="AE415" i="1" s="1"/>
  <c r="AA415" i="1"/>
  <c r="Z415" i="1"/>
  <c r="AV400" i="1" s="1"/>
  <c r="W415" i="1" a="1"/>
  <c r="W415" i="1" s="1"/>
  <c r="X415" i="1" s="1"/>
  <c r="V415" i="1"/>
  <c r="AD414" i="1"/>
  <c r="AC414" i="1"/>
  <c r="AB414" i="1"/>
  <c r="AE414" i="1" s="1"/>
  <c r="AA414" i="1"/>
  <c r="Z414" i="1"/>
  <c r="W414" i="1" a="1"/>
  <c r="W414" i="1" s="1"/>
  <c r="V414" i="1"/>
  <c r="AD413" i="1"/>
  <c r="AC413" i="1"/>
  <c r="AB413" i="1"/>
  <c r="AE413" i="1" s="1"/>
  <c r="AA413" i="1"/>
  <c r="Z413" i="1"/>
  <c r="AV398" i="1" s="1"/>
  <c r="W413" i="1" a="1"/>
  <c r="W413" i="1" s="1"/>
  <c r="Y413" i="1" s="1"/>
  <c r="V413" i="1"/>
  <c r="AC410" i="1"/>
  <c r="CM118" i="1" s="1"/>
  <c r="AB410" i="1"/>
  <c r="AW409" i="1"/>
  <c r="AT409" i="1" s="1"/>
  <c r="AZ430" i="1" s="1" a="1"/>
  <c r="AZ430" i="1" s="1"/>
  <c r="AQ409" i="1"/>
  <c r="AC409" i="1"/>
  <c r="AB409" i="1"/>
  <c r="AW408" i="1"/>
  <c r="AQ408" i="1"/>
  <c r="AC408" i="1"/>
  <c r="CM116" i="1" s="1"/>
  <c r="AB408" i="1"/>
  <c r="CL116" i="1" s="1"/>
  <c r="AW407" i="1"/>
  <c r="AU407" i="1" s="1"/>
  <c r="AQ407" i="1"/>
  <c r="AC407" i="1"/>
  <c r="AB407" i="1"/>
  <c r="AW406" i="1"/>
  <c r="AU406" i="1" s="1"/>
  <c r="AQ406" i="1"/>
  <c r="AC406" i="1"/>
  <c r="AB406" i="1"/>
  <c r="CL114" i="1" s="1"/>
  <c r="AW405" i="1"/>
  <c r="AQ405" i="1"/>
  <c r="AC405" i="1"/>
  <c r="CM113" i="1" s="1"/>
  <c r="AB405" i="1"/>
  <c r="CL113" i="1" s="1"/>
  <c r="AW404" i="1"/>
  <c r="AQ404" i="1"/>
  <c r="AC404" i="1"/>
  <c r="AB404" i="1"/>
  <c r="AW403" i="1"/>
  <c r="AT403" i="1" s="1"/>
  <c r="AR430" i="1" s="1" a="1"/>
  <c r="AR430" i="1" s="1"/>
  <c r="AR403" i="1"/>
  <c r="AQ403" i="1"/>
  <c r="AC403" i="1"/>
  <c r="CM111" i="1" s="1"/>
  <c r="AB403" i="1"/>
  <c r="AW402" i="1"/>
  <c r="AV402" i="1"/>
  <c r="AQ402" i="1"/>
  <c r="AC402" i="1"/>
  <c r="AB402" i="1"/>
  <c r="AW401" i="1"/>
  <c r="AV401" i="1"/>
  <c r="AU401" i="1"/>
  <c r="AQ401" i="1"/>
  <c r="AC401" i="1"/>
  <c r="AB401" i="1"/>
  <c r="AW400" i="1"/>
  <c r="AU400" i="1" s="1"/>
  <c r="AQ400" i="1"/>
  <c r="AC400" i="1"/>
  <c r="AB400" i="1"/>
  <c r="AW399" i="1"/>
  <c r="AV399" i="1"/>
  <c r="AQ399" i="1"/>
  <c r="AC399" i="1"/>
  <c r="AB399" i="1"/>
  <c r="AW398" i="1"/>
  <c r="AQ398" i="1"/>
  <c r="BF395" i="1"/>
  <c r="BI394" i="1"/>
  <c r="BF394" i="1"/>
  <c r="AS394" i="1"/>
  <c r="X394" i="1"/>
  <c r="AY382" i="1"/>
  <c r="AQ382" i="1"/>
  <c r="AY381" i="1"/>
  <c r="AQ381" i="1"/>
  <c r="AY380" i="1"/>
  <c r="AQ380" i="1"/>
  <c r="AY379" i="1"/>
  <c r="AQ379" i="1"/>
  <c r="AY378" i="1"/>
  <c r="AQ378" i="1"/>
  <c r="AY377" i="1"/>
  <c r="AQ377" i="1"/>
  <c r="AD376" i="1"/>
  <c r="AC376" i="1"/>
  <c r="AB376" i="1"/>
  <c r="AE376" i="1" s="1"/>
  <c r="AA376" i="1"/>
  <c r="Z376" i="1"/>
  <c r="AV361" i="1" s="1"/>
  <c r="W376" i="1" a="1"/>
  <c r="W376" i="1" s="1"/>
  <c r="V376" i="1"/>
  <c r="AD375" i="1"/>
  <c r="AC375" i="1"/>
  <c r="AB375" i="1"/>
  <c r="AE375" i="1" s="1"/>
  <c r="AA375" i="1"/>
  <c r="Z375" i="1"/>
  <c r="AV360" i="1" s="1"/>
  <c r="W375" i="1" a="1"/>
  <c r="W375" i="1" s="1"/>
  <c r="V375" i="1"/>
  <c r="AD374" i="1"/>
  <c r="AC374" i="1"/>
  <c r="AB374" i="1"/>
  <c r="AE374" i="1" s="1"/>
  <c r="AA374" i="1"/>
  <c r="Z374" i="1"/>
  <c r="AV359" i="1" s="1"/>
  <c r="W374" i="1" a="1"/>
  <c r="W374" i="1" s="1"/>
  <c r="V374" i="1"/>
  <c r="AD373" i="1"/>
  <c r="AC373" i="1"/>
  <c r="AB373" i="1"/>
  <c r="AE373" i="1" s="1"/>
  <c r="AA373" i="1"/>
  <c r="Z373" i="1"/>
  <c r="AV358" i="1" s="1"/>
  <c r="W373" i="1" a="1"/>
  <c r="W373" i="1" s="1"/>
  <c r="Y373" i="1" s="1"/>
  <c r="V373" i="1"/>
  <c r="AD372" i="1"/>
  <c r="AC372" i="1"/>
  <c r="AB372" i="1"/>
  <c r="AE372" i="1" s="1"/>
  <c r="AA372" i="1"/>
  <c r="Z372" i="1"/>
  <c r="AV357" i="1" s="1"/>
  <c r="W372" i="1" a="1"/>
  <c r="W372" i="1" s="1"/>
  <c r="Y372" i="1" s="1"/>
  <c r="V372" i="1"/>
  <c r="AD371" i="1"/>
  <c r="AC371" i="1"/>
  <c r="AB371" i="1"/>
  <c r="AE371" i="1" s="1"/>
  <c r="AA371" i="1"/>
  <c r="Z371" i="1"/>
  <c r="AV356" i="1" s="1"/>
  <c r="W371" i="1" a="1"/>
  <c r="W371" i="1" s="1"/>
  <c r="Y371" i="1" s="1"/>
  <c r="V371" i="1"/>
  <c r="AD370" i="1"/>
  <c r="AC370" i="1"/>
  <c r="AB370" i="1"/>
  <c r="AE370" i="1" s="1"/>
  <c r="AA370" i="1"/>
  <c r="Z370" i="1"/>
  <c r="AV355" i="1" s="1"/>
  <c r="W370" i="1" a="1"/>
  <c r="W370" i="1" s="1"/>
  <c r="V370" i="1"/>
  <c r="AD369" i="1"/>
  <c r="AC369" i="1"/>
  <c r="AB369" i="1"/>
  <c r="AE369" i="1" s="1"/>
  <c r="AA369" i="1"/>
  <c r="Z369" i="1"/>
  <c r="AV354" i="1" s="1"/>
  <c r="W369" i="1" a="1"/>
  <c r="W369" i="1" s="1"/>
  <c r="Y369" i="1" s="1"/>
  <c r="V369" i="1"/>
  <c r="AD368" i="1"/>
  <c r="AC368" i="1"/>
  <c r="AB368" i="1"/>
  <c r="AE368" i="1" s="1"/>
  <c r="AA368" i="1"/>
  <c r="Z368" i="1"/>
  <c r="AV353" i="1" s="1"/>
  <c r="W368" i="1"/>
  <c r="W368" i="1" a="1"/>
  <c r="V368" i="1"/>
  <c r="AD367" i="1"/>
  <c r="AC367" i="1"/>
  <c r="AB367" i="1"/>
  <c r="AE367" i="1" s="1"/>
  <c r="AA367" i="1"/>
  <c r="Z367" i="1"/>
  <c r="AV352" i="1" s="1"/>
  <c r="W367" i="1" a="1"/>
  <c r="W367" i="1" s="1"/>
  <c r="X367" i="1" s="1"/>
  <c r="V367" i="1"/>
  <c r="AD366" i="1"/>
  <c r="AC366" i="1"/>
  <c r="AB366" i="1"/>
  <c r="AE366" i="1" s="1"/>
  <c r="AA366" i="1"/>
  <c r="Z366" i="1"/>
  <c r="AV351" i="1" s="1"/>
  <c r="W366" i="1" a="1"/>
  <c r="W366" i="1" s="1"/>
  <c r="Y366" i="1" s="1"/>
  <c r="V366" i="1"/>
  <c r="AD365" i="1"/>
  <c r="AC365" i="1"/>
  <c r="AB365" i="1"/>
  <c r="AE365" i="1" s="1"/>
  <c r="AA365" i="1"/>
  <c r="Z365" i="1"/>
  <c r="AV350" i="1" s="1"/>
  <c r="W365" i="1" a="1"/>
  <c r="W365" i="1" s="1"/>
  <c r="V365" i="1"/>
  <c r="AC362" i="1"/>
  <c r="AB362" i="1"/>
  <c r="AW361" i="1"/>
  <c r="AU361" i="1" s="1"/>
  <c r="AQ361" i="1"/>
  <c r="AC361" i="1"/>
  <c r="CM105" i="1" s="1"/>
  <c r="AB361" i="1"/>
  <c r="CL105" i="1" s="1"/>
  <c r="AW360" i="1"/>
  <c r="AQ360" i="1"/>
  <c r="AC360" i="1"/>
  <c r="AB360" i="1"/>
  <c r="CL104" i="1" s="1"/>
  <c r="AW359" i="1"/>
  <c r="AQ359" i="1"/>
  <c r="AC359" i="1"/>
  <c r="AB359" i="1"/>
  <c r="CL103" i="1" s="1"/>
  <c r="AW358" i="1"/>
  <c r="AT358" i="1" s="1"/>
  <c r="AZ379" i="1" s="1" a="1"/>
  <c r="AZ379" i="1" s="1"/>
  <c r="AQ358" i="1"/>
  <c r="AC358" i="1"/>
  <c r="AB358" i="1"/>
  <c r="AW357" i="1"/>
  <c r="AQ357" i="1"/>
  <c r="AC357" i="1"/>
  <c r="CM101" i="1" s="1"/>
  <c r="AB357" i="1"/>
  <c r="CL101" i="1" s="1"/>
  <c r="AW356" i="1"/>
  <c r="AU356" i="1" s="1"/>
  <c r="AQ356" i="1"/>
  <c r="AC356" i="1"/>
  <c r="CM100" i="1" s="1"/>
  <c r="AB356" i="1"/>
  <c r="CL100" i="1" s="1"/>
  <c r="AW355" i="1"/>
  <c r="AU355" i="1" s="1"/>
  <c r="AQ355" i="1"/>
  <c r="AC355" i="1"/>
  <c r="AB355" i="1"/>
  <c r="CL99" i="1" s="1"/>
  <c r="AW354" i="1"/>
  <c r="AQ354" i="1"/>
  <c r="AC354" i="1"/>
  <c r="AB354" i="1"/>
  <c r="AW353" i="1"/>
  <c r="AQ353" i="1"/>
  <c r="AC353" i="1"/>
  <c r="AB353" i="1"/>
  <c r="AW352" i="1"/>
  <c r="AT352" i="1" s="1"/>
  <c r="AR379" i="1" s="1" a="1"/>
  <c r="AR379" i="1" s="1"/>
  <c r="AQ352" i="1"/>
  <c r="AC352" i="1"/>
  <c r="CM96" i="1" s="1"/>
  <c r="AB352" i="1"/>
  <c r="CL96" i="1" s="1"/>
  <c r="AW351" i="1"/>
  <c r="AQ351" i="1"/>
  <c r="AC351" i="1"/>
  <c r="AB351" i="1"/>
  <c r="CL95" i="1" s="1"/>
  <c r="AW350" i="1"/>
  <c r="AR350" i="1"/>
  <c r="AQ350" i="1"/>
  <c r="BF347" i="1"/>
  <c r="BI346" i="1"/>
  <c r="BF346" i="1"/>
  <c r="AS346" i="1"/>
  <c r="X346" i="1"/>
  <c r="AY334" i="1"/>
  <c r="AQ334" i="1"/>
  <c r="AY333" i="1"/>
  <c r="AQ333" i="1"/>
  <c r="AY332" i="1"/>
  <c r="AQ332" i="1"/>
  <c r="AY331" i="1"/>
  <c r="AQ331" i="1"/>
  <c r="AY330" i="1"/>
  <c r="AQ330" i="1"/>
  <c r="AY329" i="1"/>
  <c r="AQ329" i="1"/>
  <c r="AD328" i="1"/>
  <c r="AC328" i="1"/>
  <c r="AB328" i="1"/>
  <c r="AE328" i="1" s="1"/>
  <c r="AA328" i="1"/>
  <c r="Z328" i="1"/>
  <c r="AV313" i="1" s="1"/>
  <c r="W328" i="1" a="1"/>
  <c r="W328" i="1" s="1"/>
  <c r="X328" i="1" s="1"/>
  <c r="V328" i="1"/>
  <c r="AD327" i="1"/>
  <c r="AC327" i="1"/>
  <c r="AB327" i="1"/>
  <c r="AE327" i="1" s="1"/>
  <c r="AA327" i="1"/>
  <c r="Z327" i="1"/>
  <c r="AV312" i="1" s="1"/>
  <c r="W327" i="1" a="1"/>
  <c r="W327" i="1" s="1"/>
  <c r="Y327" i="1" s="1"/>
  <c r="V327" i="1"/>
  <c r="AD326" i="1"/>
  <c r="AC326" i="1"/>
  <c r="AB326" i="1"/>
  <c r="AE326" i="1" s="1"/>
  <c r="AA326" i="1"/>
  <c r="Z326" i="1"/>
  <c r="AV311" i="1" s="1"/>
  <c r="W326" i="1" a="1"/>
  <c r="W326" i="1" s="1"/>
  <c r="Y326" i="1" s="1"/>
  <c r="V326" i="1"/>
  <c r="AD325" i="1"/>
  <c r="AC325" i="1"/>
  <c r="AB325" i="1"/>
  <c r="AE325" i="1" s="1"/>
  <c r="AA325" i="1"/>
  <c r="Z325" i="1"/>
  <c r="AV310" i="1" s="1"/>
  <c r="W325" i="1" a="1"/>
  <c r="W325" i="1" s="1"/>
  <c r="V325" i="1"/>
  <c r="AD324" i="1"/>
  <c r="AC324" i="1"/>
  <c r="AB324" i="1"/>
  <c r="AE324" i="1" s="1"/>
  <c r="AA324" i="1"/>
  <c r="Z324" i="1"/>
  <c r="AV309" i="1" s="1"/>
  <c r="W324" i="1" a="1"/>
  <c r="W324" i="1" s="1"/>
  <c r="Y324" i="1" s="1"/>
  <c r="V324" i="1"/>
  <c r="AD323" i="1"/>
  <c r="AC323" i="1"/>
  <c r="AB323" i="1"/>
  <c r="AE323" i="1" s="1"/>
  <c r="AA323" i="1"/>
  <c r="Z323" i="1"/>
  <c r="AV308" i="1" s="1"/>
  <c r="W323" i="1" a="1"/>
  <c r="W323" i="1" s="1"/>
  <c r="X323" i="1" s="1"/>
  <c r="V323" i="1"/>
  <c r="AD322" i="1"/>
  <c r="AC322" i="1"/>
  <c r="AB322" i="1"/>
  <c r="AE322" i="1" s="1"/>
  <c r="AA322" i="1"/>
  <c r="Z322" i="1"/>
  <c r="AV307" i="1" s="1"/>
  <c r="W322" i="1" a="1"/>
  <c r="W322" i="1" s="1"/>
  <c r="V322" i="1"/>
  <c r="AD321" i="1"/>
  <c r="AC321" i="1"/>
  <c r="AB321" i="1"/>
  <c r="AE321" i="1" s="1"/>
  <c r="AA321" i="1"/>
  <c r="Z321" i="1"/>
  <c r="AV306" i="1" s="1"/>
  <c r="W321" i="1" a="1"/>
  <c r="W321" i="1" s="1"/>
  <c r="V321" i="1"/>
  <c r="AD320" i="1"/>
  <c r="AC320" i="1"/>
  <c r="AB320" i="1"/>
  <c r="AE320" i="1" s="1"/>
  <c r="AA320" i="1"/>
  <c r="Z320" i="1"/>
  <c r="AV305" i="1" s="1"/>
  <c r="W320" i="1" a="1"/>
  <c r="W320" i="1" s="1"/>
  <c r="V320" i="1"/>
  <c r="AD319" i="1"/>
  <c r="AC319" i="1"/>
  <c r="AB319" i="1"/>
  <c r="AE319" i="1" s="1"/>
  <c r="AA319" i="1"/>
  <c r="Z319" i="1"/>
  <c r="AV304" i="1" s="1"/>
  <c r="W319" i="1" a="1"/>
  <c r="W319" i="1" s="1"/>
  <c r="V319" i="1"/>
  <c r="AD318" i="1"/>
  <c r="AC318" i="1"/>
  <c r="AB318" i="1"/>
  <c r="AE318" i="1" s="1"/>
  <c r="AA318" i="1"/>
  <c r="Z318" i="1"/>
  <c r="AV303" i="1" s="1"/>
  <c r="W318" i="1" a="1"/>
  <c r="W318" i="1" s="1"/>
  <c r="V318" i="1"/>
  <c r="AD317" i="1"/>
  <c r="AC317" i="1"/>
  <c r="AB317" i="1"/>
  <c r="AE317" i="1" s="1"/>
  <c r="AA317" i="1"/>
  <c r="Z317" i="1"/>
  <c r="AV302" i="1" s="1"/>
  <c r="W317" i="1" a="1"/>
  <c r="W317" i="1" s="1"/>
  <c r="Y317" i="1" s="1"/>
  <c r="V317" i="1"/>
  <c r="AC314" i="1"/>
  <c r="CM94" i="1" s="1"/>
  <c r="AB314" i="1"/>
  <c r="CL94" i="1" s="1"/>
  <c r="AW313" i="1"/>
  <c r="AT313" i="1" s="1"/>
  <c r="AZ334" i="1" s="1" a="1"/>
  <c r="AZ334" i="1" s="1"/>
  <c r="AQ313" i="1"/>
  <c r="AC313" i="1"/>
  <c r="AB313" i="1"/>
  <c r="AW312" i="1"/>
  <c r="AQ312" i="1"/>
  <c r="AC312" i="1"/>
  <c r="AB312" i="1"/>
  <c r="CL92" i="1" s="1"/>
  <c r="AW311" i="1"/>
  <c r="AU311" i="1" s="1"/>
  <c r="AQ311" i="1"/>
  <c r="AC311" i="1"/>
  <c r="CM91" i="1" s="1"/>
  <c r="AB311" i="1"/>
  <c r="CL91" i="1" s="1"/>
  <c r="AW310" i="1"/>
  <c r="AU310" i="1" s="1"/>
  <c r="AQ310" i="1"/>
  <c r="AC310" i="1"/>
  <c r="CM90" i="1" s="1"/>
  <c r="AB310" i="1"/>
  <c r="CL90" i="1" s="1"/>
  <c r="AW309" i="1"/>
  <c r="AU309" i="1" s="1"/>
  <c r="AQ309" i="1"/>
  <c r="AC309" i="1"/>
  <c r="CM89" i="1" s="1"/>
  <c r="AB309" i="1"/>
  <c r="CL89" i="1" s="1"/>
  <c r="AW308" i="1"/>
  <c r="AQ308" i="1"/>
  <c r="AC308" i="1"/>
  <c r="AB308" i="1"/>
  <c r="AW307" i="1"/>
  <c r="AQ307" i="1"/>
  <c r="AC307" i="1"/>
  <c r="CM87" i="1" s="1"/>
  <c r="AB307" i="1"/>
  <c r="CL87" i="1" s="1"/>
  <c r="AW306" i="1"/>
  <c r="AT306" i="1"/>
  <c r="AR333" i="1" s="1" a="1"/>
  <c r="AR333" i="1" s="1"/>
  <c r="AQ306" i="1"/>
  <c r="AC306" i="1"/>
  <c r="CM86" i="1" s="1"/>
  <c r="AB306" i="1"/>
  <c r="CL86" i="1" s="1"/>
  <c r="AW305" i="1"/>
  <c r="AQ305" i="1"/>
  <c r="AC305" i="1"/>
  <c r="CM85" i="1" s="1"/>
  <c r="AB305" i="1"/>
  <c r="AW304" i="1"/>
  <c r="AU304" i="1" s="1"/>
  <c r="AQ304" i="1"/>
  <c r="AC304" i="1"/>
  <c r="CM84" i="1" s="1"/>
  <c r="AB304" i="1"/>
  <c r="AW303" i="1"/>
  <c r="AU303" i="1" s="1"/>
  <c r="AQ303" i="1"/>
  <c r="AC303" i="1"/>
  <c r="AB303" i="1"/>
  <c r="CL83" i="1" s="1"/>
  <c r="AW302" i="1"/>
  <c r="AQ302" i="1"/>
  <c r="BF299" i="1"/>
  <c r="BI298" i="1"/>
  <c r="BF298" i="1"/>
  <c r="AS298" i="1"/>
  <c r="X298" i="1"/>
  <c r="AY286" i="1"/>
  <c r="AQ286" i="1"/>
  <c r="AY285" i="1"/>
  <c r="AQ285" i="1"/>
  <c r="AY284" i="1"/>
  <c r="AQ284" i="1"/>
  <c r="AY283" i="1"/>
  <c r="AQ283" i="1"/>
  <c r="AY282" i="1"/>
  <c r="AQ282" i="1"/>
  <c r="AY281" i="1"/>
  <c r="AQ281" i="1"/>
  <c r="AD280" i="1"/>
  <c r="AC280" i="1"/>
  <c r="AB280" i="1"/>
  <c r="AE280" i="1" s="1"/>
  <c r="AA280" i="1"/>
  <c r="Z280" i="1"/>
  <c r="AV265" i="1" s="1"/>
  <c r="V280" i="1"/>
  <c r="AD279" i="1"/>
  <c r="AC279" i="1"/>
  <c r="AB279" i="1"/>
  <c r="AE279" i="1" s="1"/>
  <c r="AA279" i="1"/>
  <c r="Z279" i="1"/>
  <c r="AV264" i="1" s="1"/>
  <c r="V279" i="1"/>
  <c r="AD278" i="1"/>
  <c r="AC278" i="1"/>
  <c r="AB278" i="1"/>
  <c r="AE278" i="1" s="1"/>
  <c r="AA278" i="1"/>
  <c r="Z278" i="1"/>
  <c r="AV263" i="1" s="1"/>
  <c r="X278" i="1"/>
  <c r="V278" i="1"/>
  <c r="AD277" i="1"/>
  <c r="AC277" i="1"/>
  <c r="AB277" i="1"/>
  <c r="AE277" i="1" s="1"/>
  <c r="AA277" i="1"/>
  <c r="Z277" i="1"/>
  <c r="AV262" i="1" s="1"/>
  <c r="Y277" i="1"/>
  <c r="V277" i="1"/>
  <c r="AD276" i="1"/>
  <c r="AC276" i="1"/>
  <c r="AB276" i="1"/>
  <c r="AE276" i="1" s="1"/>
  <c r="AA276" i="1"/>
  <c r="Z276" i="1"/>
  <c r="AV261" i="1" s="1"/>
  <c r="V276" i="1"/>
  <c r="AD275" i="1"/>
  <c r="AC275" i="1"/>
  <c r="AB275" i="1"/>
  <c r="AE275" i="1" s="1"/>
  <c r="AA275" i="1"/>
  <c r="Z275" i="1"/>
  <c r="AV260" i="1" s="1"/>
  <c r="V275" i="1"/>
  <c r="AD274" i="1"/>
  <c r="AC274" i="1"/>
  <c r="AB274" i="1"/>
  <c r="AE274" i="1" s="1"/>
  <c r="AA274" i="1"/>
  <c r="Z274" i="1"/>
  <c r="AV259" i="1" s="1"/>
  <c r="V274" i="1"/>
  <c r="AD273" i="1"/>
  <c r="AC273" i="1"/>
  <c r="AB273" i="1"/>
  <c r="AE273" i="1" s="1"/>
  <c r="AA273" i="1"/>
  <c r="Z273" i="1"/>
  <c r="AV258" i="1" s="1"/>
  <c r="X273" i="1"/>
  <c r="V273" i="1"/>
  <c r="AD272" i="1"/>
  <c r="AC272" i="1"/>
  <c r="AB272" i="1"/>
  <c r="AE272" i="1" s="1"/>
  <c r="AA272" i="1"/>
  <c r="Z272" i="1"/>
  <c r="AV257" i="1" s="1"/>
  <c r="V272" i="1"/>
  <c r="AD271" i="1"/>
  <c r="AC271" i="1"/>
  <c r="AB271" i="1"/>
  <c r="AE271" i="1" s="1"/>
  <c r="AA271" i="1"/>
  <c r="Z271" i="1"/>
  <c r="AV256" i="1" s="1"/>
  <c r="V271" i="1"/>
  <c r="AD270" i="1"/>
  <c r="AC270" i="1"/>
  <c r="AB270" i="1"/>
  <c r="AE270" i="1" s="1"/>
  <c r="AA270" i="1"/>
  <c r="Z270" i="1"/>
  <c r="AV255" i="1" s="1"/>
  <c r="Y270" i="1"/>
  <c r="V270" i="1"/>
  <c r="AD269" i="1"/>
  <c r="AC269" i="1"/>
  <c r="AB269" i="1"/>
  <c r="AE269" i="1" s="1"/>
  <c r="AA269" i="1"/>
  <c r="Z269" i="1"/>
  <c r="AV254" i="1" s="1"/>
  <c r="W269" i="1" a="1"/>
  <c r="W269" i="1" s="1"/>
  <c r="V269" i="1"/>
  <c r="AC266" i="1"/>
  <c r="AB266" i="1"/>
  <c r="CL82" i="1" s="1"/>
  <c r="AW265" i="1"/>
  <c r="AQ265" i="1"/>
  <c r="AC265" i="1"/>
  <c r="AB265" i="1"/>
  <c r="AW264" i="1"/>
  <c r="AU264" i="1" s="1"/>
  <c r="AT264" i="1"/>
  <c r="AZ285" i="1" s="1" a="1"/>
  <c r="AZ285" i="1" s="1"/>
  <c r="AQ264" i="1"/>
  <c r="AC264" i="1"/>
  <c r="CM80" i="1" s="1"/>
  <c r="AB264" i="1"/>
  <c r="AW263" i="1"/>
  <c r="AQ263" i="1"/>
  <c r="AC263" i="1"/>
  <c r="CM79" i="1" s="1"/>
  <c r="AB263" i="1"/>
  <c r="CL79" i="1" s="1"/>
  <c r="AW262" i="1"/>
  <c r="AT262" i="1" s="1"/>
  <c r="AZ283" i="1" s="1" a="1"/>
  <c r="AZ283" i="1" s="1"/>
  <c r="AQ262" i="1"/>
  <c r="AC262" i="1"/>
  <c r="AB262" i="1"/>
  <c r="CL78" i="1" s="1"/>
  <c r="AW261" i="1"/>
  <c r="AQ261" i="1"/>
  <c r="AC261" i="1"/>
  <c r="CM77" i="1" s="1"/>
  <c r="AB261" i="1"/>
  <c r="AW260" i="1"/>
  <c r="AU260" i="1" s="1"/>
  <c r="AQ260" i="1"/>
  <c r="AC260" i="1"/>
  <c r="CM76" i="1" s="1"/>
  <c r="AB260" i="1"/>
  <c r="AW259" i="1"/>
  <c r="AU259" i="1" s="1"/>
  <c r="AQ259" i="1"/>
  <c r="AC259" i="1"/>
  <c r="CM75" i="1" s="1"/>
  <c r="AB259" i="1"/>
  <c r="CL75" i="1" s="1"/>
  <c r="AW258" i="1"/>
  <c r="AQ258" i="1"/>
  <c r="AC258" i="1"/>
  <c r="CM74" i="1" s="1"/>
  <c r="AB258" i="1"/>
  <c r="AW257" i="1"/>
  <c r="AU257" i="1" s="1"/>
  <c r="AQ257" i="1"/>
  <c r="AC257" i="1"/>
  <c r="AB257" i="1"/>
  <c r="CL73" i="1" s="1"/>
  <c r="AW256" i="1"/>
  <c r="AT256" i="1" s="1"/>
  <c r="AR283" i="1" s="1" a="1"/>
  <c r="AR283" i="1" s="1"/>
  <c r="AQ256" i="1"/>
  <c r="AC256" i="1"/>
  <c r="CM72" i="1" s="1"/>
  <c r="AB256" i="1"/>
  <c r="CL72" i="1" s="1"/>
  <c r="AW255" i="1"/>
  <c r="AQ255" i="1"/>
  <c r="AC255" i="1"/>
  <c r="CM71" i="1" s="1"/>
  <c r="AB255" i="1"/>
  <c r="AW254" i="1"/>
  <c r="AU254" i="1" s="1"/>
  <c r="AQ254" i="1"/>
  <c r="BF251" i="1"/>
  <c r="BI250" i="1"/>
  <c r="BF250" i="1"/>
  <c r="AS250" i="1"/>
  <c r="X250" i="1"/>
  <c r="AY238" i="1"/>
  <c r="AQ238" i="1"/>
  <c r="AY237" i="1"/>
  <c r="AQ237" i="1"/>
  <c r="AY236" i="1"/>
  <c r="AQ236" i="1"/>
  <c r="AY235" i="1"/>
  <c r="AQ235" i="1"/>
  <c r="AY234" i="1"/>
  <c r="AQ234" i="1"/>
  <c r="AY233" i="1"/>
  <c r="AW233" i="1"/>
  <c r="AV233" i="1"/>
  <c r="AQ233" i="1"/>
  <c r="AD232" i="1"/>
  <c r="AC232" i="1"/>
  <c r="AB232" i="1"/>
  <c r="AE232" i="1" s="1"/>
  <c r="AA232" i="1"/>
  <c r="Z232" i="1"/>
  <c r="AV217" i="1" s="1"/>
  <c r="W232" i="1" a="1"/>
  <c r="W232" i="1" s="1"/>
  <c r="V232" i="1"/>
  <c r="AD231" i="1"/>
  <c r="AC231" i="1"/>
  <c r="AB231" i="1"/>
  <c r="AE231" i="1" s="1"/>
  <c r="AA231" i="1"/>
  <c r="Z231" i="1"/>
  <c r="AV216" i="1" s="1"/>
  <c r="W231" i="1" a="1"/>
  <c r="W231" i="1" s="1"/>
  <c r="Y231" i="1" s="1"/>
  <c r="V231" i="1"/>
  <c r="AD230" i="1"/>
  <c r="AC230" i="1"/>
  <c r="AB230" i="1"/>
  <c r="AE230" i="1" s="1"/>
  <c r="AA230" i="1"/>
  <c r="Z230" i="1"/>
  <c r="AV215" i="1" s="1"/>
  <c r="W230" i="1" a="1"/>
  <c r="W230" i="1" s="1"/>
  <c r="V230" i="1"/>
  <c r="AD229" i="1"/>
  <c r="AC229" i="1"/>
  <c r="AB229" i="1"/>
  <c r="AE229" i="1" s="1"/>
  <c r="AA229" i="1"/>
  <c r="Z229" i="1"/>
  <c r="AV214" i="1" s="1"/>
  <c r="W229" i="1" a="1"/>
  <c r="W229" i="1" s="1"/>
  <c r="X229" i="1" s="1"/>
  <c r="V229" i="1"/>
  <c r="AD228" i="1"/>
  <c r="AC228" i="1"/>
  <c r="AB228" i="1"/>
  <c r="AE228" i="1" s="1"/>
  <c r="AA228" i="1"/>
  <c r="Z228" i="1"/>
  <c r="AV213" i="1" s="1"/>
  <c r="W228" i="1" a="1"/>
  <c r="W228" i="1" s="1"/>
  <c r="V228" i="1"/>
  <c r="AD227" i="1"/>
  <c r="AC227" i="1"/>
  <c r="AB227" i="1"/>
  <c r="AE227" i="1" s="1"/>
  <c r="AA227" i="1"/>
  <c r="Z227" i="1"/>
  <c r="AV212" i="1" s="1"/>
  <c r="W227" i="1" a="1"/>
  <c r="W227" i="1" s="1"/>
  <c r="Y227" i="1" s="1"/>
  <c r="V227" i="1"/>
  <c r="AD226" i="1"/>
  <c r="AC226" i="1"/>
  <c r="AB226" i="1"/>
  <c r="AE226" i="1" s="1"/>
  <c r="AA226" i="1"/>
  <c r="Z226" i="1"/>
  <c r="AV211" i="1" s="1"/>
  <c r="W226" i="1" a="1"/>
  <c r="W226" i="1" s="1"/>
  <c r="X226" i="1" s="1"/>
  <c r="V226" i="1"/>
  <c r="AD225" i="1"/>
  <c r="AC225" i="1"/>
  <c r="AB225" i="1"/>
  <c r="AE225" i="1" s="1"/>
  <c r="AA225" i="1"/>
  <c r="Z225" i="1"/>
  <c r="AV210" i="1" s="1"/>
  <c r="Y225" i="1"/>
  <c r="V225" i="1"/>
  <c r="AD224" i="1"/>
  <c r="AC224" i="1"/>
  <c r="AB224" i="1"/>
  <c r="AE224" i="1" s="1"/>
  <c r="AA224" i="1"/>
  <c r="Z224" i="1"/>
  <c r="AV209" i="1" s="1"/>
  <c r="V224" i="1"/>
  <c r="AD223" i="1"/>
  <c r="AC223" i="1"/>
  <c r="AB223" i="1"/>
  <c r="AE223" i="1" s="1"/>
  <c r="AA223" i="1"/>
  <c r="Z223" i="1"/>
  <c r="AV208" i="1" s="1"/>
  <c r="V223" i="1"/>
  <c r="AD222" i="1"/>
  <c r="AC222" i="1"/>
  <c r="AB222" i="1"/>
  <c r="AE222" i="1" s="1"/>
  <c r="AA222" i="1"/>
  <c r="Z222" i="1"/>
  <c r="AV207" i="1" s="1"/>
  <c r="V222" i="1"/>
  <c r="AD221" i="1"/>
  <c r="AC221" i="1"/>
  <c r="AB221" i="1"/>
  <c r="AE221" i="1" s="1"/>
  <c r="AA221" i="1"/>
  <c r="Z221" i="1"/>
  <c r="AV206" i="1" s="1"/>
  <c r="V221" i="1"/>
  <c r="AC218" i="1"/>
  <c r="CM70" i="1" s="1"/>
  <c r="AB218" i="1"/>
  <c r="CL70" i="1" s="1"/>
  <c r="AW217" i="1"/>
  <c r="AU217" i="1" s="1"/>
  <c r="AQ217" i="1"/>
  <c r="AC217" i="1"/>
  <c r="CM69" i="1" s="1"/>
  <c r="AB217" i="1"/>
  <c r="CL69" i="1" s="1"/>
  <c r="AW216" i="1"/>
  <c r="AQ216" i="1"/>
  <c r="AC216" i="1"/>
  <c r="AB216" i="1"/>
  <c r="AW215" i="1"/>
  <c r="AU215" i="1" s="1"/>
  <c r="AQ215" i="1"/>
  <c r="AC215" i="1"/>
  <c r="CM67" i="1" s="1"/>
  <c r="AB215" i="1"/>
  <c r="AW214" i="1"/>
  <c r="AR214" i="1"/>
  <c r="AQ214" i="1"/>
  <c r="AC214" i="1"/>
  <c r="CM66" i="1" s="1"/>
  <c r="AB214" i="1"/>
  <c r="AW213" i="1"/>
  <c r="AR213" i="1"/>
  <c r="AQ213" i="1"/>
  <c r="AC213" i="1"/>
  <c r="CM65" i="1" s="1"/>
  <c r="AB213" i="1"/>
  <c r="CL65" i="1" s="1"/>
  <c r="AW212" i="1"/>
  <c r="AR212" i="1"/>
  <c r="AQ212" i="1"/>
  <c r="AC212" i="1"/>
  <c r="AB212" i="1"/>
  <c r="AW211" i="1"/>
  <c r="AU211" i="1" s="1"/>
  <c r="AQ211" i="1"/>
  <c r="AC211" i="1"/>
  <c r="CM63" i="1" s="1"/>
  <c r="AB211" i="1"/>
  <c r="AW210" i="1"/>
  <c r="AQ210" i="1"/>
  <c r="AC210" i="1"/>
  <c r="CM62" i="1" s="1"/>
  <c r="AB210" i="1"/>
  <c r="CL62" i="1" s="1"/>
  <c r="AW209" i="1"/>
  <c r="AU209" i="1" s="1"/>
  <c r="AQ209" i="1"/>
  <c r="AC209" i="1"/>
  <c r="AB209" i="1"/>
  <c r="CL61" i="1" s="1"/>
  <c r="AW208" i="1"/>
  <c r="AQ208" i="1"/>
  <c r="AC208" i="1"/>
  <c r="CM60" i="1" s="1"/>
  <c r="AB208" i="1"/>
  <c r="CL60" i="1" s="1"/>
  <c r="AW207" i="1"/>
  <c r="AQ207" i="1"/>
  <c r="AC207" i="1"/>
  <c r="CM59" i="1" s="1"/>
  <c r="AB207" i="1"/>
  <c r="AW206" i="1"/>
  <c r="AQ206" i="1"/>
  <c r="BF203" i="1"/>
  <c r="BI202" i="1"/>
  <c r="BF202" i="1"/>
  <c r="AS202" i="1"/>
  <c r="X202" i="1"/>
  <c r="AY190" i="1"/>
  <c r="AQ190" i="1"/>
  <c r="AY189" i="1"/>
  <c r="AQ189" i="1"/>
  <c r="AY188" i="1"/>
  <c r="AQ188" i="1"/>
  <c r="AY187" i="1"/>
  <c r="AQ187" i="1"/>
  <c r="AY186" i="1"/>
  <c r="AQ186" i="1"/>
  <c r="AY185" i="1"/>
  <c r="AQ185" i="1"/>
  <c r="AD184" i="1"/>
  <c r="AC184" i="1"/>
  <c r="AB184" i="1"/>
  <c r="AE184" i="1" s="1"/>
  <c r="AA184" i="1"/>
  <c r="Z184" i="1"/>
  <c r="AV169" i="1" s="1"/>
  <c r="X184" i="1"/>
  <c r="V184" i="1"/>
  <c r="AD183" i="1"/>
  <c r="AC183" i="1"/>
  <c r="AB183" i="1"/>
  <c r="AE183" i="1" s="1"/>
  <c r="AA183" i="1"/>
  <c r="Z183" i="1"/>
  <c r="AV168" i="1" s="1"/>
  <c r="Y183" i="1"/>
  <c r="V183" i="1"/>
  <c r="AD182" i="1"/>
  <c r="AC182" i="1"/>
  <c r="AB182" i="1"/>
  <c r="AE182" i="1" s="1"/>
  <c r="AA182" i="1"/>
  <c r="Z182" i="1"/>
  <c r="AV167" i="1" s="1"/>
  <c r="V182" i="1"/>
  <c r="AD181" i="1"/>
  <c r="AC181" i="1"/>
  <c r="AB181" i="1"/>
  <c r="AE181" i="1" s="1"/>
  <c r="AA181" i="1"/>
  <c r="Z181" i="1"/>
  <c r="AV166" i="1" s="1"/>
  <c r="V181" i="1"/>
  <c r="AD180" i="1"/>
  <c r="AC180" i="1"/>
  <c r="AB180" i="1"/>
  <c r="AE180" i="1" s="1"/>
  <c r="AA180" i="1"/>
  <c r="Z180" i="1"/>
  <c r="AV165" i="1" s="1"/>
  <c r="Y180" i="1"/>
  <c r="V180" i="1"/>
  <c r="AD179" i="1"/>
  <c r="AC179" i="1"/>
  <c r="AB179" i="1"/>
  <c r="AE179" i="1" s="1"/>
  <c r="AA179" i="1"/>
  <c r="Z179" i="1"/>
  <c r="V179" i="1"/>
  <c r="AD178" i="1"/>
  <c r="AC178" i="1"/>
  <c r="AB178" i="1"/>
  <c r="AE178" i="1" s="1"/>
  <c r="AA178" i="1"/>
  <c r="Z178" i="1"/>
  <c r="AV163" i="1" s="1"/>
  <c r="V178" i="1"/>
  <c r="AD177" i="1"/>
  <c r="AC177" i="1"/>
  <c r="AB177" i="1"/>
  <c r="AE177" i="1" s="1"/>
  <c r="AA177" i="1"/>
  <c r="Z177" i="1"/>
  <c r="AV162" i="1" s="1"/>
  <c r="Y177" i="1"/>
  <c r="V177" i="1"/>
  <c r="AD176" i="1"/>
  <c r="AC176" i="1"/>
  <c r="AB176" i="1"/>
  <c r="AE176" i="1" s="1"/>
  <c r="AA176" i="1"/>
  <c r="Z176" i="1"/>
  <c r="AV161" i="1" s="1"/>
  <c r="V176" i="1"/>
  <c r="AD175" i="1"/>
  <c r="AC175" i="1"/>
  <c r="AB175" i="1"/>
  <c r="AE175" i="1" s="1"/>
  <c r="AA175" i="1"/>
  <c r="Z175" i="1"/>
  <c r="AV160" i="1" s="1"/>
  <c r="V175" i="1"/>
  <c r="AD174" i="1"/>
  <c r="AC174" i="1"/>
  <c r="AB174" i="1"/>
  <c r="AE174" i="1" s="1"/>
  <c r="AA174" i="1"/>
  <c r="Z174" i="1"/>
  <c r="AV159" i="1" s="1"/>
  <c r="V174" i="1"/>
  <c r="AD173" i="1"/>
  <c r="AC173" i="1"/>
  <c r="AB173" i="1"/>
  <c r="AE173" i="1" s="1"/>
  <c r="AA173" i="1"/>
  <c r="Z173" i="1"/>
  <c r="AV158" i="1" s="1"/>
  <c r="Y173" i="1"/>
  <c r="V173" i="1"/>
  <c r="AC170" i="1"/>
  <c r="AB170" i="1"/>
  <c r="CL58" i="1" s="1"/>
  <c r="AW169" i="1"/>
  <c r="AQ169" i="1"/>
  <c r="AC169" i="1"/>
  <c r="CM57" i="1" s="1"/>
  <c r="AB169" i="1"/>
  <c r="CL57" i="1" s="1"/>
  <c r="AW168" i="1"/>
  <c r="AQ168" i="1"/>
  <c r="AC168" i="1"/>
  <c r="CM56" i="1" s="1"/>
  <c r="AB168" i="1"/>
  <c r="CL56" i="1" s="1"/>
  <c r="AW167" i="1"/>
  <c r="AT167" i="1" s="1"/>
  <c r="AZ188" i="1" s="1" a="1"/>
  <c r="AZ188" i="1" s="1"/>
  <c r="AQ167" i="1"/>
  <c r="AC167" i="1"/>
  <c r="CM55" i="1" s="1"/>
  <c r="AB167" i="1"/>
  <c r="AW166" i="1"/>
  <c r="AU166" i="1" s="1"/>
  <c r="AQ166" i="1"/>
  <c r="AC166" i="1"/>
  <c r="CM54" i="1" s="1"/>
  <c r="AB166" i="1"/>
  <c r="CL54" i="1" s="1"/>
  <c r="AW165" i="1"/>
  <c r="AQ165" i="1"/>
  <c r="AC165" i="1"/>
  <c r="CM53" i="1" s="1"/>
  <c r="AB165" i="1"/>
  <c r="AW164" i="1"/>
  <c r="AT164" i="1" s="1"/>
  <c r="AZ185" i="1" s="1" a="1"/>
  <c r="AZ185" i="1" s="1"/>
  <c r="AV164" i="1"/>
  <c r="AQ164" i="1"/>
  <c r="AC164" i="1"/>
  <c r="AB164" i="1"/>
  <c r="AW163" i="1"/>
  <c r="AQ163" i="1"/>
  <c r="AC163" i="1"/>
  <c r="AB163" i="1"/>
  <c r="AW162" i="1"/>
  <c r="AQ162" i="1"/>
  <c r="AC162" i="1"/>
  <c r="AB162" i="1"/>
  <c r="AW161" i="1"/>
  <c r="AU161" i="1" s="1"/>
  <c r="AR161" i="1"/>
  <c r="AQ161" i="1"/>
  <c r="AC161" i="1"/>
  <c r="AB161" i="1"/>
  <c r="AW160" i="1"/>
  <c r="AU160" i="1" s="1"/>
  <c r="AQ160" i="1"/>
  <c r="AC160" i="1"/>
  <c r="CM48" i="1" s="1"/>
  <c r="AB160" i="1"/>
  <c r="CL48" i="1" s="1"/>
  <c r="AW159" i="1"/>
  <c r="AQ159" i="1"/>
  <c r="AC159" i="1"/>
  <c r="AB159" i="1"/>
  <c r="CL47" i="1" s="1"/>
  <c r="AW158" i="1"/>
  <c r="AQ158" i="1"/>
  <c r="BF155" i="1"/>
  <c r="BI154" i="1"/>
  <c r="BF154" i="1"/>
  <c r="AS154" i="1"/>
  <c r="X154" i="1"/>
  <c r="AY142" i="1"/>
  <c r="AQ142" i="1"/>
  <c r="AY141" i="1"/>
  <c r="AQ141" i="1"/>
  <c r="AY140" i="1"/>
  <c r="AQ140" i="1"/>
  <c r="AY139" i="1"/>
  <c r="AQ139" i="1"/>
  <c r="AY138" i="1"/>
  <c r="AQ138" i="1"/>
  <c r="AY137" i="1"/>
  <c r="AX137" i="1"/>
  <c r="AQ137" i="1"/>
  <c r="AD136" i="1"/>
  <c r="AC136" i="1"/>
  <c r="AB136" i="1"/>
  <c r="AE136" i="1" s="1"/>
  <c r="AA136" i="1"/>
  <c r="Z136" i="1"/>
  <c r="AV121" i="1" s="1"/>
  <c r="W136" i="1" a="1"/>
  <c r="W136" i="1" s="1"/>
  <c r="V136" i="1"/>
  <c r="AD135" i="1"/>
  <c r="AC135" i="1"/>
  <c r="AB135" i="1"/>
  <c r="AE135" i="1" s="1"/>
  <c r="AA135" i="1"/>
  <c r="Z135" i="1"/>
  <c r="AV120" i="1" s="1"/>
  <c r="W135" i="1" a="1"/>
  <c r="W135" i="1" s="1"/>
  <c r="Y135" i="1" s="1"/>
  <c r="V135" i="1"/>
  <c r="AD134" i="1"/>
  <c r="AC134" i="1"/>
  <c r="AB134" i="1"/>
  <c r="AE134" i="1" s="1"/>
  <c r="AA134" i="1"/>
  <c r="Z134" i="1"/>
  <c r="AV119" i="1" s="1"/>
  <c r="W134" i="1" a="1"/>
  <c r="W134" i="1" s="1"/>
  <c r="V134" i="1"/>
  <c r="AD133" i="1"/>
  <c r="AC133" i="1"/>
  <c r="AB133" i="1"/>
  <c r="AE133" i="1" s="1"/>
  <c r="AA133" i="1"/>
  <c r="Z133" i="1"/>
  <c r="AV118" i="1" s="1"/>
  <c r="W133" i="1" a="1"/>
  <c r="W133" i="1" s="1"/>
  <c r="X133" i="1" s="1"/>
  <c r="V133" i="1"/>
  <c r="AD132" i="1"/>
  <c r="AC132" i="1"/>
  <c r="AB132" i="1"/>
  <c r="AE132" i="1" s="1"/>
  <c r="AA132" i="1"/>
  <c r="Z132" i="1"/>
  <c r="AV117" i="1" s="1"/>
  <c r="W132" i="1" a="1"/>
  <c r="W132" i="1" s="1"/>
  <c r="V132" i="1"/>
  <c r="AD131" i="1"/>
  <c r="AC131" i="1"/>
  <c r="AB131" i="1"/>
  <c r="AE131" i="1" s="1"/>
  <c r="AA131" i="1"/>
  <c r="Z131" i="1"/>
  <c r="AV116" i="1" s="1"/>
  <c r="W131" i="1" a="1"/>
  <c r="W131" i="1" s="1"/>
  <c r="Y131" i="1" s="1"/>
  <c r="V131" i="1"/>
  <c r="EL130" i="1"/>
  <c r="EK130" i="1"/>
  <c r="EJ130" i="1"/>
  <c r="EI130" i="1"/>
  <c r="EH130" i="1"/>
  <c r="EG130" i="1"/>
  <c r="EF130" i="1"/>
  <c r="EE130" i="1"/>
  <c r="ED130" i="1"/>
  <c r="EC130" i="1"/>
  <c r="EB130" i="1"/>
  <c r="EA130" i="1"/>
  <c r="DZ130" i="1"/>
  <c r="DY130" i="1"/>
  <c r="DX130" i="1"/>
  <c r="DW130" i="1"/>
  <c r="DV130" i="1"/>
  <c r="DU130" i="1"/>
  <c r="DT130" i="1"/>
  <c r="DS130" i="1"/>
  <c r="DR130" i="1"/>
  <c r="DQ130" i="1"/>
  <c r="DP130" i="1"/>
  <c r="DO130" i="1"/>
  <c r="DN130" i="1"/>
  <c r="DM130" i="1"/>
  <c r="DL130" i="1"/>
  <c r="DK130" i="1"/>
  <c r="DJ130" i="1"/>
  <c r="DI130" i="1"/>
  <c r="DH130" i="1"/>
  <c r="DG130" i="1"/>
  <c r="DF130" i="1"/>
  <c r="CX130" i="1"/>
  <c r="CW130" i="1"/>
  <c r="CV130" i="1"/>
  <c r="CU130" i="1"/>
  <c r="CT130" i="1"/>
  <c r="CS130" i="1"/>
  <c r="CR130" i="1"/>
  <c r="CQ130" i="1"/>
  <c r="CP130" i="1"/>
  <c r="CO130" i="1"/>
  <c r="CN130" i="1"/>
  <c r="CM130" i="1"/>
  <c r="CL130" i="1"/>
  <c r="CK130" i="1"/>
  <c r="CJ130" i="1"/>
  <c r="CI130" i="1"/>
  <c r="CH130" i="1"/>
  <c r="CG130" i="1"/>
  <c r="AD130" i="1"/>
  <c r="AC130" i="1"/>
  <c r="AB130" i="1"/>
  <c r="AE130" i="1" s="1"/>
  <c r="AA130" i="1"/>
  <c r="Z130" i="1"/>
  <c r="AV115" i="1" s="1"/>
  <c r="W130" i="1" a="1"/>
  <c r="W130" i="1" s="1"/>
  <c r="X130" i="1" s="1"/>
  <c r="V130" i="1"/>
  <c r="EL129" i="1"/>
  <c r="EK129" i="1"/>
  <c r="EJ129" i="1"/>
  <c r="EI129" i="1"/>
  <c r="EH129" i="1"/>
  <c r="EG129" i="1"/>
  <c r="EF129" i="1"/>
  <c r="EE129" i="1"/>
  <c r="ED129" i="1"/>
  <c r="EC129" i="1"/>
  <c r="EB129" i="1"/>
  <c r="EA129" i="1"/>
  <c r="DZ129" i="1"/>
  <c r="DY129" i="1"/>
  <c r="DX129" i="1"/>
  <c r="DW129" i="1"/>
  <c r="DV129" i="1"/>
  <c r="DU129" i="1"/>
  <c r="DT129" i="1"/>
  <c r="DS129" i="1"/>
  <c r="DR129" i="1"/>
  <c r="DQ129" i="1"/>
  <c r="DP129" i="1"/>
  <c r="DO129" i="1"/>
  <c r="DN129" i="1"/>
  <c r="DM129" i="1"/>
  <c r="DL129" i="1"/>
  <c r="DK129" i="1"/>
  <c r="DJ129" i="1"/>
  <c r="DI129" i="1"/>
  <c r="DH129" i="1"/>
  <c r="DG129" i="1"/>
  <c r="DF129" i="1"/>
  <c r="CX129" i="1"/>
  <c r="CW129" i="1"/>
  <c r="CV129" i="1"/>
  <c r="CU129" i="1"/>
  <c r="CT129" i="1"/>
  <c r="CS129" i="1"/>
  <c r="CR129" i="1"/>
  <c r="CQ129" i="1"/>
  <c r="CP129" i="1"/>
  <c r="CO129" i="1"/>
  <c r="CN129" i="1"/>
  <c r="CK129" i="1"/>
  <c r="CJ129" i="1"/>
  <c r="CI129" i="1"/>
  <c r="CH129" i="1"/>
  <c r="CG129" i="1"/>
  <c r="AD129" i="1"/>
  <c r="AC129" i="1"/>
  <c r="AB129" i="1"/>
  <c r="AE129" i="1" s="1"/>
  <c r="AA129" i="1"/>
  <c r="Z129" i="1"/>
  <c r="AV114" i="1" s="1"/>
  <c r="W129" i="1" a="1"/>
  <c r="W129" i="1" s="1"/>
  <c r="V129" i="1"/>
  <c r="EL128" i="1"/>
  <c r="EK128" i="1"/>
  <c r="EJ128" i="1"/>
  <c r="EI128" i="1"/>
  <c r="EH128" i="1"/>
  <c r="EG128" i="1"/>
  <c r="EF128" i="1"/>
  <c r="EE128" i="1"/>
  <c r="ED128" i="1"/>
  <c r="EC128" i="1"/>
  <c r="EB128" i="1"/>
  <c r="EA128" i="1"/>
  <c r="DZ128" i="1"/>
  <c r="DY128" i="1"/>
  <c r="DX128" i="1"/>
  <c r="DW128" i="1"/>
  <c r="DV128" i="1"/>
  <c r="DU128" i="1"/>
  <c r="DT128" i="1"/>
  <c r="DS128" i="1"/>
  <c r="DR128" i="1"/>
  <c r="DQ128" i="1"/>
  <c r="DP128" i="1"/>
  <c r="DO128" i="1"/>
  <c r="DN128" i="1"/>
  <c r="DM128" i="1"/>
  <c r="DL128" i="1"/>
  <c r="DK128" i="1"/>
  <c r="DJ128" i="1"/>
  <c r="DI128" i="1"/>
  <c r="DH128" i="1"/>
  <c r="DG128" i="1"/>
  <c r="DF128" i="1"/>
  <c r="CX128" i="1"/>
  <c r="CW128" i="1"/>
  <c r="CV128" i="1"/>
  <c r="CU128" i="1"/>
  <c r="CT128" i="1"/>
  <c r="CS128" i="1"/>
  <c r="CR128" i="1"/>
  <c r="CQ128" i="1"/>
  <c r="CP128" i="1"/>
  <c r="CO128" i="1"/>
  <c r="CN128" i="1"/>
  <c r="CM128" i="1"/>
  <c r="CL128" i="1"/>
  <c r="CK128" i="1"/>
  <c r="CJ128" i="1"/>
  <c r="CI128" i="1"/>
  <c r="CH128" i="1"/>
  <c r="CG128" i="1"/>
  <c r="AD128" i="1"/>
  <c r="AC128" i="1"/>
  <c r="AB128" i="1"/>
  <c r="AE128" i="1" s="1"/>
  <c r="AA128" i="1"/>
  <c r="Z128" i="1"/>
  <c r="W128" i="1" a="1"/>
  <c r="W128" i="1" s="1"/>
  <c r="X128" i="1" s="1"/>
  <c r="V128" i="1"/>
  <c r="EL127" i="1"/>
  <c r="EK127" i="1"/>
  <c r="EJ127" i="1"/>
  <c r="EI127" i="1"/>
  <c r="EH127" i="1"/>
  <c r="EG127" i="1"/>
  <c r="EF127" i="1"/>
  <c r="EE127" i="1"/>
  <c r="ED127" i="1"/>
  <c r="EC127" i="1"/>
  <c r="EB127" i="1"/>
  <c r="EA127" i="1"/>
  <c r="DZ127" i="1"/>
  <c r="DY127" i="1"/>
  <c r="DX127" i="1"/>
  <c r="DW127" i="1"/>
  <c r="DV127" i="1"/>
  <c r="DU127" i="1"/>
  <c r="DT127" i="1"/>
  <c r="DS127" i="1"/>
  <c r="DR127" i="1"/>
  <c r="DQ127" i="1"/>
  <c r="DP127" i="1"/>
  <c r="DO127" i="1"/>
  <c r="DN127" i="1"/>
  <c r="DM127" i="1"/>
  <c r="DL127" i="1"/>
  <c r="DK127" i="1"/>
  <c r="DJ127" i="1"/>
  <c r="DI127" i="1"/>
  <c r="DH127" i="1"/>
  <c r="DG127" i="1"/>
  <c r="DF127" i="1"/>
  <c r="CX127" i="1"/>
  <c r="CW127" i="1"/>
  <c r="CV127" i="1"/>
  <c r="CU127" i="1"/>
  <c r="CT127" i="1"/>
  <c r="CS127" i="1"/>
  <c r="CR127" i="1"/>
  <c r="CQ127" i="1"/>
  <c r="CP127" i="1"/>
  <c r="CO127" i="1"/>
  <c r="CN127" i="1"/>
  <c r="CM127" i="1"/>
  <c r="CK127" i="1"/>
  <c r="CJ127" i="1"/>
  <c r="CI127" i="1"/>
  <c r="CH127" i="1"/>
  <c r="CG127" i="1"/>
  <c r="AD127" i="1"/>
  <c r="AC127" i="1"/>
  <c r="AB127" i="1"/>
  <c r="AE127" i="1" s="1"/>
  <c r="AA127" i="1"/>
  <c r="Z127" i="1"/>
  <c r="AV112" i="1" s="1"/>
  <c r="W127" i="1" a="1"/>
  <c r="W127" i="1" s="1"/>
  <c r="V127" i="1"/>
  <c r="EL126" i="1"/>
  <c r="EK126" i="1"/>
  <c r="EJ126" i="1"/>
  <c r="EI126" i="1"/>
  <c r="EH126" i="1"/>
  <c r="EG126" i="1"/>
  <c r="EF126" i="1"/>
  <c r="EE126" i="1"/>
  <c r="ED126" i="1"/>
  <c r="EC126" i="1"/>
  <c r="EB126" i="1"/>
  <c r="EA126" i="1"/>
  <c r="DZ126" i="1"/>
  <c r="DY126" i="1"/>
  <c r="DX126" i="1"/>
  <c r="DW126" i="1"/>
  <c r="DV126" i="1"/>
  <c r="DU126" i="1"/>
  <c r="DT126" i="1"/>
  <c r="DS126" i="1"/>
  <c r="DR126" i="1"/>
  <c r="DQ126" i="1"/>
  <c r="DP126" i="1"/>
  <c r="DO126" i="1"/>
  <c r="DN126" i="1"/>
  <c r="DM126" i="1"/>
  <c r="DL126" i="1"/>
  <c r="DK126" i="1"/>
  <c r="DJ126" i="1"/>
  <c r="DI126" i="1"/>
  <c r="DH126" i="1"/>
  <c r="DG126" i="1"/>
  <c r="DF126" i="1"/>
  <c r="CX126" i="1"/>
  <c r="CW126" i="1"/>
  <c r="CV126" i="1"/>
  <c r="CU126" i="1"/>
  <c r="CT126" i="1"/>
  <c r="CS126" i="1"/>
  <c r="CR126" i="1"/>
  <c r="CQ126" i="1"/>
  <c r="CP126" i="1"/>
  <c r="CO126" i="1"/>
  <c r="CN126" i="1"/>
  <c r="CM126" i="1"/>
  <c r="CK126" i="1"/>
  <c r="CJ126" i="1"/>
  <c r="CI126" i="1"/>
  <c r="CH126" i="1"/>
  <c r="CG126" i="1"/>
  <c r="AD126" i="1"/>
  <c r="AC126" i="1"/>
  <c r="AB126" i="1"/>
  <c r="AE126" i="1" s="1"/>
  <c r="AA126" i="1"/>
  <c r="Z126" i="1"/>
  <c r="AV111" i="1" s="1"/>
  <c r="W126" i="1" a="1"/>
  <c r="W126" i="1" s="1"/>
  <c r="Y126" i="1" s="1"/>
  <c r="V126" i="1"/>
  <c r="EL125" i="1"/>
  <c r="EK125" i="1"/>
  <c r="EJ125" i="1"/>
  <c r="EI125" i="1"/>
  <c r="EH125" i="1"/>
  <c r="EG125" i="1"/>
  <c r="EF125" i="1"/>
  <c r="EE125" i="1"/>
  <c r="ED125" i="1"/>
  <c r="EC125" i="1"/>
  <c r="EB125" i="1"/>
  <c r="EA125" i="1"/>
  <c r="DZ125" i="1"/>
  <c r="DY125" i="1"/>
  <c r="DX125" i="1"/>
  <c r="DW125" i="1"/>
  <c r="DV125" i="1"/>
  <c r="DU125" i="1"/>
  <c r="DT125" i="1"/>
  <c r="DS125" i="1"/>
  <c r="DR125" i="1"/>
  <c r="DQ125" i="1"/>
  <c r="DP125" i="1"/>
  <c r="DO125" i="1"/>
  <c r="DN125" i="1"/>
  <c r="DM125" i="1"/>
  <c r="DL125" i="1"/>
  <c r="DK125" i="1"/>
  <c r="DJ125" i="1"/>
  <c r="DI125" i="1"/>
  <c r="DH125" i="1"/>
  <c r="DG125" i="1"/>
  <c r="DF125" i="1"/>
  <c r="CX125" i="1"/>
  <c r="CW125" i="1"/>
  <c r="CV125" i="1"/>
  <c r="CU125" i="1"/>
  <c r="CT125" i="1"/>
  <c r="CS125" i="1"/>
  <c r="CR125" i="1"/>
  <c r="CQ125" i="1"/>
  <c r="CP125" i="1"/>
  <c r="CO125" i="1"/>
  <c r="CN125" i="1"/>
  <c r="CK125" i="1"/>
  <c r="CJ125" i="1"/>
  <c r="CI125" i="1"/>
  <c r="CH125" i="1"/>
  <c r="CG125" i="1"/>
  <c r="AD125" i="1"/>
  <c r="AC125" i="1"/>
  <c r="AB125" i="1"/>
  <c r="AE125" i="1" s="1"/>
  <c r="AA125" i="1"/>
  <c r="Z125" i="1"/>
  <c r="AV110" i="1" s="1"/>
  <c r="W125" i="1" a="1"/>
  <c r="W125" i="1" s="1"/>
  <c r="Y125" i="1" s="1"/>
  <c r="V125" i="1"/>
  <c r="EL124" i="1"/>
  <c r="EK124" i="1"/>
  <c r="EJ124" i="1"/>
  <c r="EI124" i="1"/>
  <c r="EH124" i="1"/>
  <c r="EG124" i="1"/>
  <c r="EF124" i="1"/>
  <c r="EE124" i="1"/>
  <c r="ED124" i="1"/>
  <c r="EC124" i="1"/>
  <c r="EB124" i="1"/>
  <c r="EA124" i="1"/>
  <c r="DZ124" i="1"/>
  <c r="DY124" i="1"/>
  <c r="DX124" i="1"/>
  <c r="DW124" i="1"/>
  <c r="DV124" i="1"/>
  <c r="DU124" i="1"/>
  <c r="DT124" i="1"/>
  <c r="DS124" i="1"/>
  <c r="DR124" i="1"/>
  <c r="DQ124" i="1"/>
  <c r="DP124" i="1"/>
  <c r="DO124" i="1"/>
  <c r="DN124" i="1"/>
  <c r="DM124" i="1"/>
  <c r="DL124" i="1"/>
  <c r="DK124" i="1"/>
  <c r="DJ124" i="1"/>
  <c r="DI124" i="1"/>
  <c r="DH124" i="1"/>
  <c r="DG124" i="1"/>
  <c r="DF124" i="1"/>
  <c r="CX124" i="1"/>
  <c r="CW124" i="1"/>
  <c r="CV124" i="1"/>
  <c r="CU124" i="1"/>
  <c r="CT124" i="1"/>
  <c r="CS124" i="1"/>
  <c r="CR124" i="1"/>
  <c r="CQ124" i="1"/>
  <c r="CP124" i="1"/>
  <c r="CO124" i="1"/>
  <c r="CN124" i="1"/>
  <c r="CK124" i="1"/>
  <c r="CJ124" i="1"/>
  <c r="CI124" i="1"/>
  <c r="CH124" i="1"/>
  <c r="CG124" i="1"/>
  <c r="EL123" i="1"/>
  <c r="EK123" i="1"/>
  <c r="EJ123" i="1"/>
  <c r="EI123" i="1"/>
  <c r="EH123" i="1"/>
  <c r="EG123" i="1"/>
  <c r="EF123" i="1"/>
  <c r="EE123" i="1"/>
  <c r="ED123" i="1"/>
  <c r="EC123" i="1"/>
  <c r="EB123" i="1"/>
  <c r="EA123" i="1"/>
  <c r="DZ123" i="1"/>
  <c r="DY123" i="1"/>
  <c r="DX123" i="1"/>
  <c r="DW123" i="1"/>
  <c r="DV123" i="1"/>
  <c r="DU123" i="1"/>
  <c r="DT123" i="1"/>
  <c r="DS123" i="1"/>
  <c r="DR123" i="1"/>
  <c r="DQ123" i="1"/>
  <c r="DP123" i="1"/>
  <c r="DO123" i="1"/>
  <c r="DN123" i="1"/>
  <c r="DM123" i="1"/>
  <c r="DL123" i="1"/>
  <c r="DK123" i="1"/>
  <c r="DJ123" i="1"/>
  <c r="DI123" i="1"/>
  <c r="DH123" i="1"/>
  <c r="DG123" i="1"/>
  <c r="DF123" i="1"/>
  <c r="CX123" i="1"/>
  <c r="CW123" i="1"/>
  <c r="CV123" i="1"/>
  <c r="CU123" i="1"/>
  <c r="CT123" i="1"/>
  <c r="CS123" i="1"/>
  <c r="CR123" i="1"/>
  <c r="CQ123" i="1"/>
  <c r="CP123" i="1"/>
  <c r="CO123" i="1"/>
  <c r="CN123" i="1"/>
  <c r="CK123" i="1"/>
  <c r="CJ123" i="1"/>
  <c r="CI123" i="1"/>
  <c r="CH123" i="1"/>
  <c r="CG123" i="1"/>
  <c r="EL122" i="1"/>
  <c r="EK122" i="1"/>
  <c r="EJ122" i="1"/>
  <c r="EI122" i="1"/>
  <c r="EH122" i="1"/>
  <c r="EG122" i="1"/>
  <c r="EF122" i="1"/>
  <c r="EE122" i="1"/>
  <c r="ED122" i="1"/>
  <c r="EC122" i="1"/>
  <c r="EB122" i="1"/>
  <c r="EA122" i="1"/>
  <c r="DZ122" i="1"/>
  <c r="DY122" i="1"/>
  <c r="DX122" i="1"/>
  <c r="DW122" i="1"/>
  <c r="DV122" i="1"/>
  <c r="DU122" i="1"/>
  <c r="DT122" i="1"/>
  <c r="DS122" i="1"/>
  <c r="DR122" i="1"/>
  <c r="DQ122" i="1"/>
  <c r="DP122" i="1"/>
  <c r="DO122" i="1"/>
  <c r="DN122" i="1"/>
  <c r="DM122" i="1"/>
  <c r="DL122" i="1"/>
  <c r="DK122" i="1"/>
  <c r="DJ122" i="1"/>
  <c r="DI122" i="1"/>
  <c r="DH122" i="1"/>
  <c r="DG122" i="1"/>
  <c r="DF122" i="1"/>
  <c r="CX122" i="1"/>
  <c r="CW122" i="1"/>
  <c r="CV122" i="1"/>
  <c r="CU122" i="1"/>
  <c r="CT122" i="1"/>
  <c r="CS122" i="1"/>
  <c r="CR122" i="1"/>
  <c r="CQ122" i="1"/>
  <c r="CP122" i="1"/>
  <c r="CO122" i="1"/>
  <c r="CN122" i="1"/>
  <c r="CK122" i="1"/>
  <c r="CJ122" i="1"/>
  <c r="CI122" i="1"/>
  <c r="CH122" i="1"/>
  <c r="CG122" i="1"/>
  <c r="AC122" i="1"/>
  <c r="CM46" i="1" s="1"/>
  <c r="AB122" i="1"/>
  <c r="EL121" i="1"/>
  <c r="EK121" i="1"/>
  <c r="EJ121" i="1"/>
  <c r="EI121" i="1"/>
  <c r="EH121" i="1"/>
  <c r="EG121" i="1"/>
  <c r="EF121" i="1"/>
  <c r="EE121" i="1"/>
  <c r="ED121" i="1"/>
  <c r="EC121" i="1"/>
  <c r="EB121" i="1"/>
  <c r="EA121" i="1"/>
  <c r="DZ121" i="1"/>
  <c r="DY121" i="1"/>
  <c r="DX121" i="1"/>
  <c r="DW121" i="1"/>
  <c r="DV121" i="1"/>
  <c r="DU121" i="1"/>
  <c r="DT121" i="1"/>
  <c r="DS121" i="1"/>
  <c r="DR121" i="1"/>
  <c r="DQ121" i="1"/>
  <c r="DP121" i="1"/>
  <c r="DO121" i="1"/>
  <c r="DN121" i="1"/>
  <c r="DM121" i="1"/>
  <c r="DL121" i="1"/>
  <c r="DK121" i="1"/>
  <c r="DJ121" i="1"/>
  <c r="DI121" i="1"/>
  <c r="DH121" i="1"/>
  <c r="DG121" i="1"/>
  <c r="DF121" i="1"/>
  <c r="CX121" i="1"/>
  <c r="CW121" i="1"/>
  <c r="CV121" i="1"/>
  <c r="CU121" i="1"/>
  <c r="CT121" i="1"/>
  <c r="CS121" i="1"/>
  <c r="CR121" i="1"/>
  <c r="CQ121" i="1"/>
  <c r="CP121" i="1"/>
  <c r="CO121" i="1"/>
  <c r="CN121" i="1"/>
  <c r="CL121" i="1"/>
  <c r="CK121" i="1"/>
  <c r="CJ121" i="1"/>
  <c r="CI121" i="1"/>
  <c r="CH121" i="1"/>
  <c r="CG121" i="1"/>
  <c r="AW121" i="1"/>
  <c r="AQ121" i="1"/>
  <c r="AC121" i="1"/>
  <c r="CM45" i="1" s="1"/>
  <c r="AB121" i="1"/>
  <c r="EL120" i="1"/>
  <c r="EK120" i="1"/>
  <c r="EJ120" i="1"/>
  <c r="EI120" i="1"/>
  <c r="EH120" i="1"/>
  <c r="EG120" i="1"/>
  <c r="EF120" i="1"/>
  <c r="EE120" i="1"/>
  <c r="ED120" i="1"/>
  <c r="EC120" i="1"/>
  <c r="EB120" i="1"/>
  <c r="EA120" i="1"/>
  <c r="DZ120" i="1"/>
  <c r="DY120" i="1"/>
  <c r="DX120" i="1"/>
  <c r="DW120" i="1"/>
  <c r="DV120" i="1"/>
  <c r="DU120" i="1"/>
  <c r="DT120" i="1"/>
  <c r="DS120" i="1"/>
  <c r="DR120" i="1"/>
  <c r="DQ120" i="1"/>
  <c r="DP120" i="1"/>
  <c r="DO120" i="1"/>
  <c r="DN120" i="1"/>
  <c r="DM120" i="1"/>
  <c r="DL120" i="1"/>
  <c r="DK120" i="1"/>
  <c r="DJ120" i="1"/>
  <c r="DI120" i="1"/>
  <c r="DH120" i="1"/>
  <c r="DG120" i="1"/>
  <c r="DF120" i="1"/>
  <c r="CX120" i="1"/>
  <c r="CW120" i="1"/>
  <c r="CV120" i="1"/>
  <c r="CU120" i="1"/>
  <c r="CT120" i="1"/>
  <c r="CS120" i="1"/>
  <c r="CR120" i="1"/>
  <c r="CQ120" i="1"/>
  <c r="CP120" i="1"/>
  <c r="CO120" i="1"/>
  <c r="CN120" i="1"/>
  <c r="CL120" i="1"/>
  <c r="CK120" i="1"/>
  <c r="CJ120" i="1"/>
  <c r="CI120" i="1"/>
  <c r="CH120" i="1"/>
  <c r="CG120" i="1"/>
  <c r="AW120" i="1"/>
  <c r="AU120" i="1" s="1"/>
  <c r="AQ120" i="1"/>
  <c r="AC120" i="1"/>
  <c r="CM44" i="1" s="1"/>
  <c r="AB120" i="1"/>
  <c r="CL44" i="1" s="1"/>
  <c r="EL119" i="1"/>
  <c r="EK119" i="1"/>
  <c r="EJ119" i="1"/>
  <c r="EI119" i="1"/>
  <c r="EH119" i="1"/>
  <c r="EG119" i="1"/>
  <c r="EF119" i="1"/>
  <c r="EE119" i="1"/>
  <c r="ED119" i="1"/>
  <c r="EC119" i="1"/>
  <c r="EB119" i="1"/>
  <c r="EA119" i="1"/>
  <c r="DZ119" i="1"/>
  <c r="DY119" i="1"/>
  <c r="DX119" i="1"/>
  <c r="DW119" i="1"/>
  <c r="DV119" i="1"/>
  <c r="DU119" i="1"/>
  <c r="DT119" i="1"/>
  <c r="DS119" i="1"/>
  <c r="DR119" i="1"/>
  <c r="DQ119" i="1"/>
  <c r="DP119" i="1"/>
  <c r="DO119" i="1"/>
  <c r="DN119" i="1"/>
  <c r="DM119" i="1"/>
  <c r="DL119" i="1"/>
  <c r="DK119" i="1"/>
  <c r="DJ119" i="1"/>
  <c r="DI119" i="1"/>
  <c r="DH119" i="1"/>
  <c r="DG119" i="1"/>
  <c r="DF119" i="1"/>
  <c r="CX119" i="1"/>
  <c r="CW119" i="1"/>
  <c r="CV119" i="1"/>
  <c r="CU119" i="1"/>
  <c r="CT119" i="1"/>
  <c r="CS119" i="1"/>
  <c r="CR119" i="1"/>
  <c r="CQ119" i="1"/>
  <c r="CP119" i="1"/>
  <c r="CO119" i="1"/>
  <c r="CN119" i="1"/>
  <c r="CK119" i="1"/>
  <c r="CJ119" i="1"/>
  <c r="CI119" i="1"/>
  <c r="CH119" i="1"/>
  <c r="CG119" i="1"/>
  <c r="AW119" i="1"/>
  <c r="AU119" i="1" s="1"/>
  <c r="AQ119" i="1"/>
  <c r="AC119" i="1"/>
  <c r="CM43" i="1" s="1"/>
  <c r="AB119" i="1"/>
  <c r="CL43" i="1" s="1"/>
  <c r="EL118" i="1"/>
  <c r="EK118" i="1"/>
  <c r="EJ118" i="1"/>
  <c r="EI118" i="1"/>
  <c r="EH118" i="1"/>
  <c r="EG118" i="1"/>
  <c r="EF118" i="1"/>
  <c r="EE118" i="1"/>
  <c r="ED118" i="1"/>
  <c r="EC118" i="1"/>
  <c r="EB118" i="1"/>
  <c r="EA118" i="1"/>
  <c r="DZ118" i="1"/>
  <c r="DY118" i="1"/>
  <c r="DX118" i="1"/>
  <c r="DW118" i="1"/>
  <c r="DV118" i="1"/>
  <c r="DU118" i="1"/>
  <c r="DT118" i="1"/>
  <c r="DS118" i="1"/>
  <c r="DR118" i="1"/>
  <c r="DQ118" i="1"/>
  <c r="DP118" i="1"/>
  <c r="DO118" i="1"/>
  <c r="DN118" i="1"/>
  <c r="DM118" i="1"/>
  <c r="DL118" i="1"/>
  <c r="DK118" i="1"/>
  <c r="DJ118" i="1"/>
  <c r="DI118" i="1"/>
  <c r="DH118" i="1"/>
  <c r="DG118" i="1"/>
  <c r="DF118" i="1"/>
  <c r="CX118" i="1"/>
  <c r="CW118" i="1"/>
  <c r="CV118" i="1"/>
  <c r="CU118" i="1"/>
  <c r="CT118" i="1"/>
  <c r="CS118" i="1"/>
  <c r="CR118" i="1"/>
  <c r="CQ118" i="1"/>
  <c r="CP118" i="1"/>
  <c r="CO118" i="1"/>
  <c r="CN118" i="1"/>
  <c r="CL118" i="1"/>
  <c r="CK118" i="1"/>
  <c r="CJ118" i="1"/>
  <c r="CI118" i="1"/>
  <c r="CH118" i="1"/>
  <c r="CG118" i="1"/>
  <c r="AW118" i="1"/>
  <c r="AQ118" i="1"/>
  <c r="AC118" i="1"/>
  <c r="CM42" i="1" s="1"/>
  <c r="AB118" i="1"/>
  <c r="CL42" i="1" s="1"/>
  <c r="EL117" i="1"/>
  <c r="EK117" i="1"/>
  <c r="EJ117" i="1"/>
  <c r="EI117" i="1"/>
  <c r="EH117" i="1"/>
  <c r="EG117" i="1"/>
  <c r="EF117" i="1"/>
  <c r="EE117" i="1"/>
  <c r="ED117" i="1"/>
  <c r="EC117" i="1"/>
  <c r="EB117" i="1"/>
  <c r="EA117" i="1"/>
  <c r="DZ117" i="1"/>
  <c r="DY117" i="1"/>
  <c r="DX117" i="1"/>
  <c r="DW117" i="1"/>
  <c r="DV117" i="1"/>
  <c r="DU117" i="1"/>
  <c r="DT117" i="1"/>
  <c r="DS117" i="1"/>
  <c r="DR117" i="1"/>
  <c r="DQ117" i="1"/>
  <c r="DP117" i="1"/>
  <c r="DO117" i="1"/>
  <c r="DN117" i="1"/>
  <c r="DM117" i="1"/>
  <c r="DL117" i="1"/>
  <c r="DK117" i="1"/>
  <c r="DJ117" i="1"/>
  <c r="DI117" i="1"/>
  <c r="DH117" i="1"/>
  <c r="DG117" i="1"/>
  <c r="DF117" i="1"/>
  <c r="CX117" i="1"/>
  <c r="CW117" i="1"/>
  <c r="CV117" i="1"/>
  <c r="CU117" i="1"/>
  <c r="CT117" i="1"/>
  <c r="CS117" i="1"/>
  <c r="CR117" i="1"/>
  <c r="CQ117" i="1"/>
  <c r="CP117" i="1"/>
  <c r="CO117" i="1"/>
  <c r="CN117" i="1"/>
  <c r="CM117" i="1"/>
  <c r="CL117" i="1"/>
  <c r="CK117" i="1"/>
  <c r="CJ117" i="1"/>
  <c r="CI117" i="1"/>
  <c r="CH117" i="1"/>
  <c r="CG117" i="1"/>
  <c r="AW117" i="1"/>
  <c r="AQ117" i="1"/>
  <c r="AC117" i="1"/>
  <c r="AB117" i="1"/>
  <c r="EL116" i="1"/>
  <c r="EK116" i="1"/>
  <c r="EJ116" i="1"/>
  <c r="EI116" i="1"/>
  <c r="EH116" i="1"/>
  <c r="EG116" i="1"/>
  <c r="EF116" i="1"/>
  <c r="EE116" i="1"/>
  <c r="ED116" i="1"/>
  <c r="EC116" i="1"/>
  <c r="EB116" i="1"/>
  <c r="EA116" i="1"/>
  <c r="DZ116" i="1"/>
  <c r="DY116" i="1"/>
  <c r="DX116" i="1"/>
  <c r="DW116" i="1"/>
  <c r="DV116" i="1"/>
  <c r="DU116" i="1"/>
  <c r="DT116" i="1"/>
  <c r="DS116" i="1"/>
  <c r="DR116" i="1"/>
  <c r="DQ116" i="1"/>
  <c r="DP116" i="1"/>
  <c r="DO116" i="1"/>
  <c r="DN116" i="1"/>
  <c r="DM116" i="1"/>
  <c r="DL116" i="1"/>
  <c r="DK116" i="1"/>
  <c r="DJ116" i="1"/>
  <c r="DI116" i="1"/>
  <c r="DH116" i="1"/>
  <c r="DG116" i="1"/>
  <c r="DF116" i="1"/>
  <c r="CX116" i="1"/>
  <c r="CW116" i="1"/>
  <c r="CV116" i="1"/>
  <c r="CU116" i="1"/>
  <c r="CT116" i="1"/>
  <c r="CS116" i="1"/>
  <c r="CR116" i="1"/>
  <c r="CQ116" i="1"/>
  <c r="CP116" i="1"/>
  <c r="CO116" i="1"/>
  <c r="CN116" i="1"/>
  <c r="CK116" i="1"/>
  <c r="CJ116" i="1"/>
  <c r="CI116" i="1"/>
  <c r="CH116" i="1"/>
  <c r="CG116" i="1"/>
  <c r="AW116" i="1"/>
  <c r="AQ116" i="1"/>
  <c r="AC116" i="1"/>
  <c r="CM40" i="1" s="1"/>
  <c r="AB116" i="1"/>
  <c r="EL115" i="1"/>
  <c r="EK115" i="1"/>
  <c r="EJ115" i="1"/>
  <c r="EI115" i="1"/>
  <c r="EH115" i="1"/>
  <c r="EG115" i="1"/>
  <c r="EF115" i="1"/>
  <c r="EE115" i="1"/>
  <c r="ED115" i="1"/>
  <c r="EC115" i="1"/>
  <c r="EB115" i="1"/>
  <c r="EA115" i="1"/>
  <c r="DZ115" i="1"/>
  <c r="DY115" i="1"/>
  <c r="DX115" i="1"/>
  <c r="DW115" i="1"/>
  <c r="DV115" i="1"/>
  <c r="DU115" i="1"/>
  <c r="DT115" i="1"/>
  <c r="DS115" i="1"/>
  <c r="DR115" i="1"/>
  <c r="DQ115" i="1"/>
  <c r="DP115" i="1"/>
  <c r="DO115" i="1"/>
  <c r="DN115" i="1"/>
  <c r="DM115" i="1"/>
  <c r="DL115" i="1"/>
  <c r="DK115" i="1"/>
  <c r="DJ115" i="1"/>
  <c r="DI115" i="1"/>
  <c r="DH115" i="1"/>
  <c r="DG115" i="1"/>
  <c r="DF115" i="1"/>
  <c r="CX115" i="1"/>
  <c r="CW115" i="1"/>
  <c r="CV115" i="1"/>
  <c r="CU115" i="1"/>
  <c r="CT115" i="1"/>
  <c r="CS115" i="1"/>
  <c r="CR115" i="1"/>
  <c r="CQ115" i="1"/>
  <c r="CP115" i="1"/>
  <c r="CO115" i="1"/>
  <c r="CN115" i="1"/>
  <c r="CM115" i="1"/>
  <c r="CL115" i="1"/>
  <c r="CK115" i="1"/>
  <c r="CJ115" i="1"/>
  <c r="CI115" i="1"/>
  <c r="CH115" i="1"/>
  <c r="CG115" i="1"/>
  <c r="AW115" i="1"/>
  <c r="AU115" i="1" s="1"/>
  <c r="AQ115" i="1"/>
  <c r="AC115" i="1"/>
  <c r="CM39" i="1" s="1"/>
  <c r="AB115" i="1"/>
  <c r="CL39" i="1" s="1"/>
  <c r="EL114" i="1"/>
  <c r="EK114" i="1"/>
  <c r="EJ114" i="1"/>
  <c r="EI114" i="1"/>
  <c r="EH114" i="1"/>
  <c r="EG114" i="1"/>
  <c r="EF114" i="1"/>
  <c r="EE114" i="1"/>
  <c r="ED114" i="1"/>
  <c r="EC114" i="1"/>
  <c r="EB114" i="1"/>
  <c r="EA114" i="1"/>
  <c r="DZ114" i="1"/>
  <c r="DY114" i="1"/>
  <c r="DX114" i="1"/>
  <c r="DW114" i="1"/>
  <c r="DV114" i="1"/>
  <c r="DU114" i="1"/>
  <c r="DT114" i="1"/>
  <c r="DS114" i="1"/>
  <c r="DR114" i="1"/>
  <c r="DQ114" i="1"/>
  <c r="DP114" i="1"/>
  <c r="DO114" i="1"/>
  <c r="DN114" i="1"/>
  <c r="DM114" i="1"/>
  <c r="DL114" i="1"/>
  <c r="DK114" i="1"/>
  <c r="DJ114" i="1"/>
  <c r="DI114" i="1"/>
  <c r="DH114" i="1"/>
  <c r="DG114" i="1"/>
  <c r="DF114" i="1"/>
  <c r="CX114" i="1"/>
  <c r="CW114" i="1"/>
  <c r="CV114" i="1"/>
  <c r="CU114" i="1"/>
  <c r="CT114" i="1"/>
  <c r="CS114" i="1"/>
  <c r="CR114" i="1"/>
  <c r="CQ114" i="1"/>
  <c r="CP114" i="1"/>
  <c r="CO114" i="1"/>
  <c r="CN114" i="1"/>
  <c r="CM114" i="1"/>
  <c r="CK114" i="1"/>
  <c r="CJ114" i="1"/>
  <c r="CI114" i="1"/>
  <c r="CH114" i="1"/>
  <c r="CG114" i="1"/>
  <c r="AW114" i="1"/>
  <c r="AT114" i="1" s="1"/>
  <c r="AR141" i="1" s="1" a="1"/>
  <c r="AR141" i="1" s="1"/>
  <c r="AQ114" i="1"/>
  <c r="AC114" i="1"/>
  <c r="CM38" i="1" s="1"/>
  <c r="AB114" i="1"/>
  <c r="CL38" i="1" s="1"/>
  <c r="EL113" i="1"/>
  <c r="EK113" i="1"/>
  <c r="EJ113" i="1"/>
  <c r="EI113" i="1"/>
  <c r="EH113" i="1"/>
  <c r="EG113" i="1"/>
  <c r="EF113" i="1"/>
  <c r="EE113" i="1"/>
  <c r="ED113" i="1"/>
  <c r="EC113" i="1"/>
  <c r="EB113" i="1"/>
  <c r="EA113" i="1"/>
  <c r="DZ113" i="1"/>
  <c r="DY113" i="1"/>
  <c r="DX113" i="1"/>
  <c r="DW113" i="1"/>
  <c r="DV113" i="1"/>
  <c r="DU113" i="1"/>
  <c r="DT113" i="1"/>
  <c r="DS113" i="1"/>
  <c r="DR113" i="1"/>
  <c r="DQ113" i="1"/>
  <c r="DP113" i="1"/>
  <c r="DO113" i="1"/>
  <c r="DN113" i="1"/>
  <c r="DM113" i="1"/>
  <c r="DL113" i="1"/>
  <c r="DK113" i="1"/>
  <c r="DJ113" i="1"/>
  <c r="DI113" i="1"/>
  <c r="DH113" i="1"/>
  <c r="DG113" i="1"/>
  <c r="DF113" i="1"/>
  <c r="CX113" i="1"/>
  <c r="CW113" i="1"/>
  <c r="CV113" i="1"/>
  <c r="CU113" i="1"/>
  <c r="CT113" i="1"/>
  <c r="CS113" i="1"/>
  <c r="CR113" i="1"/>
  <c r="CQ113" i="1"/>
  <c r="CP113" i="1"/>
  <c r="CO113" i="1"/>
  <c r="CN113" i="1"/>
  <c r="CK113" i="1"/>
  <c r="CJ113" i="1"/>
  <c r="CI113" i="1"/>
  <c r="CH113" i="1"/>
  <c r="CG113" i="1"/>
  <c r="AW113" i="1"/>
  <c r="AU113" i="1" s="1"/>
  <c r="AV113" i="1"/>
  <c r="AQ113" i="1"/>
  <c r="AC113" i="1"/>
  <c r="CM37" i="1" s="1"/>
  <c r="AB113" i="1"/>
  <c r="CL37" i="1" s="1"/>
  <c r="EL112" i="1"/>
  <c r="EK112" i="1"/>
  <c r="EJ112" i="1"/>
  <c r="EI112" i="1"/>
  <c r="EH112" i="1"/>
  <c r="EG112" i="1"/>
  <c r="EF112" i="1"/>
  <c r="EE112" i="1"/>
  <c r="ED112" i="1"/>
  <c r="EC112" i="1"/>
  <c r="EB112" i="1"/>
  <c r="EA112" i="1"/>
  <c r="DZ112" i="1"/>
  <c r="DY112" i="1"/>
  <c r="DX112" i="1"/>
  <c r="DW112" i="1"/>
  <c r="DV112" i="1"/>
  <c r="DU112" i="1"/>
  <c r="DT112" i="1"/>
  <c r="DS112" i="1"/>
  <c r="DR112" i="1"/>
  <c r="DQ112" i="1"/>
  <c r="DP112" i="1"/>
  <c r="DO112" i="1"/>
  <c r="DN112" i="1"/>
  <c r="DM112" i="1"/>
  <c r="DL112" i="1"/>
  <c r="DK112" i="1"/>
  <c r="DJ112" i="1"/>
  <c r="DI112" i="1"/>
  <c r="DH112" i="1"/>
  <c r="DG112" i="1"/>
  <c r="DF112" i="1"/>
  <c r="CX112" i="1"/>
  <c r="CW112" i="1"/>
  <c r="CV112" i="1"/>
  <c r="CU112" i="1"/>
  <c r="CT112" i="1"/>
  <c r="CS112" i="1"/>
  <c r="CR112" i="1"/>
  <c r="CQ112" i="1"/>
  <c r="CP112" i="1"/>
  <c r="CO112" i="1"/>
  <c r="CN112" i="1"/>
  <c r="CM112" i="1"/>
  <c r="CL112" i="1"/>
  <c r="CK112" i="1"/>
  <c r="CJ112" i="1"/>
  <c r="CI112" i="1"/>
  <c r="CH112" i="1"/>
  <c r="CG112" i="1"/>
  <c r="AW112" i="1"/>
  <c r="AQ112" i="1"/>
  <c r="AC112" i="1"/>
  <c r="AB112" i="1"/>
  <c r="CL36" i="1" s="1"/>
  <c r="EL111" i="1"/>
  <c r="EK111" i="1"/>
  <c r="EJ111" i="1"/>
  <c r="EI111" i="1"/>
  <c r="EH111" i="1"/>
  <c r="EG111" i="1"/>
  <c r="EF111" i="1"/>
  <c r="EE111" i="1"/>
  <c r="ED111" i="1"/>
  <c r="EC111" i="1"/>
  <c r="EB111" i="1"/>
  <c r="EA111" i="1"/>
  <c r="DZ111" i="1"/>
  <c r="DY111" i="1"/>
  <c r="DX111" i="1"/>
  <c r="DW111" i="1"/>
  <c r="DV111" i="1"/>
  <c r="DU111" i="1"/>
  <c r="DT111" i="1"/>
  <c r="DS111" i="1"/>
  <c r="DR111" i="1"/>
  <c r="DQ111" i="1"/>
  <c r="DP111" i="1"/>
  <c r="DO111" i="1"/>
  <c r="DN111" i="1"/>
  <c r="DM111" i="1"/>
  <c r="DL111" i="1"/>
  <c r="DK111" i="1"/>
  <c r="DJ111" i="1"/>
  <c r="DI111" i="1"/>
  <c r="DH111" i="1"/>
  <c r="DG111" i="1"/>
  <c r="DF111" i="1"/>
  <c r="CX111" i="1"/>
  <c r="CW111" i="1"/>
  <c r="CV111" i="1"/>
  <c r="CU111" i="1"/>
  <c r="CT111" i="1"/>
  <c r="CS111" i="1"/>
  <c r="CR111" i="1"/>
  <c r="CQ111" i="1"/>
  <c r="CP111" i="1"/>
  <c r="CO111" i="1"/>
  <c r="CN111" i="1"/>
  <c r="CL111" i="1"/>
  <c r="CK111" i="1"/>
  <c r="CJ111" i="1"/>
  <c r="CI111" i="1"/>
  <c r="CH111" i="1"/>
  <c r="CG111" i="1"/>
  <c r="AW111" i="1"/>
  <c r="AQ111" i="1"/>
  <c r="AC111" i="1"/>
  <c r="AB111" i="1"/>
  <c r="CL35" i="1" s="1"/>
  <c r="EL110" i="1"/>
  <c r="EK110" i="1"/>
  <c r="EJ110" i="1"/>
  <c r="EI110" i="1"/>
  <c r="EH110" i="1"/>
  <c r="EG110" i="1"/>
  <c r="EF110" i="1"/>
  <c r="EE110" i="1"/>
  <c r="ED110" i="1"/>
  <c r="EC110" i="1"/>
  <c r="EB110" i="1"/>
  <c r="EA110" i="1"/>
  <c r="DZ110" i="1"/>
  <c r="DY110" i="1"/>
  <c r="DX110" i="1"/>
  <c r="DW110" i="1"/>
  <c r="DV110" i="1"/>
  <c r="DU110" i="1"/>
  <c r="DT110" i="1"/>
  <c r="DS110" i="1"/>
  <c r="DR110" i="1"/>
  <c r="DQ110" i="1"/>
  <c r="DP110" i="1"/>
  <c r="DO110" i="1"/>
  <c r="DN110" i="1"/>
  <c r="DM110" i="1"/>
  <c r="DL110" i="1"/>
  <c r="DK110" i="1"/>
  <c r="DJ110" i="1"/>
  <c r="DI110" i="1"/>
  <c r="DH110" i="1"/>
  <c r="DG110" i="1"/>
  <c r="DF110" i="1"/>
  <c r="CX110" i="1"/>
  <c r="CW110" i="1"/>
  <c r="CV110" i="1"/>
  <c r="CU110" i="1"/>
  <c r="CT110" i="1"/>
  <c r="CS110" i="1"/>
  <c r="CR110" i="1"/>
  <c r="CQ110" i="1"/>
  <c r="CP110" i="1"/>
  <c r="CO110" i="1"/>
  <c r="CN110" i="1"/>
  <c r="CM110" i="1"/>
  <c r="CL110" i="1"/>
  <c r="CK110" i="1"/>
  <c r="CJ110" i="1"/>
  <c r="CI110" i="1"/>
  <c r="CH110" i="1"/>
  <c r="CG110" i="1"/>
  <c r="AW110" i="1"/>
  <c r="AT110" i="1" s="1"/>
  <c r="AR137" i="1" s="1" a="1"/>
  <c r="AR137" i="1" s="1"/>
  <c r="AQ110" i="1"/>
  <c r="EL109" i="1"/>
  <c r="EK109" i="1"/>
  <c r="EJ109" i="1"/>
  <c r="EI109" i="1"/>
  <c r="EH109" i="1"/>
  <c r="EG109" i="1"/>
  <c r="EF109" i="1"/>
  <c r="EE109" i="1"/>
  <c r="ED109" i="1"/>
  <c r="EC109" i="1"/>
  <c r="EB109" i="1"/>
  <c r="EA109" i="1"/>
  <c r="DZ109" i="1"/>
  <c r="DY109" i="1"/>
  <c r="DX109" i="1"/>
  <c r="DW109" i="1"/>
  <c r="DV109" i="1"/>
  <c r="DU109" i="1"/>
  <c r="DT109" i="1"/>
  <c r="DS109" i="1"/>
  <c r="DR109" i="1"/>
  <c r="DQ109" i="1"/>
  <c r="DP109" i="1"/>
  <c r="DO109" i="1"/>
  <c r="DN109" i="1"/>
  <c r="DM109" i="1"/>
  <c r="DL109" i="1"/>
  <c r="DK109" i="1"/>
  <c r="DJ109" i="1"/>
  <c r="DI109" i="1"/>
  <c r="DH109" i="1"/>
  <c r="DG109" i="1"/>
  <c r="DF109" i="1"/>
  <c r="CX109" i="1"/>
  <c r="CW109" i="1"/>
  <c r="CV109" i="1"/>
  <c r="CU109" i="1"/>
  <c r="CT109" i="1"/>
  <c r="CS109" i="1"/>
  <c r="CR109" i="1"/>
  <c r="CQ109" i="1"/>
  <c r="CP109" i="1"/>
  <c r="CO109" i="1"/>
  <c r="CN109" i="1"/>
  <c r="CM109" i="1"/>
  <c r="CL109" i="1"/>
  <c r="CK109" i="1"/>
  <c r="CJ109" i="1"/>
  <c r="CI109" i="1"/>
  <c r="CH109" i="1"/>
  <c r="CG109" i="1"/>
  <c r="EL108" i="1"/>
  <c r="EK108" i="1"/>
  <c r="EJ108" i="1"/>
  <c r="EI108" i="1"/>
  <c r="EH108" i="1"/>
  <c r="EG108" i="1"/>
  <c r="EF108" i="1"/>
  <c r="EE108" i="1"/>
  <c r="ED108" i="1"/>
  <c r="EC108" i="1"/>
  <c r="EB108" i="1"/>
  <c r="EA108" i="1"/>
  <c r="DZ108" i="1"/>
  <c r="DY108" i="1"/>
  <c r="DX108" i="1"/>
  <c r="DW108" i="1"/>
  <c r="DV108" i="1"/>
  <c r="DU108" i="1"/>
  <c r="DT108" i="1"/>
  <c r="DS108" i="1"/>
  <c r="DR108" i="1"/>
  <c r="DQ108" i="1"/>
  <c r="DP108" i="1"/>
  <c r="DO108" i="1"/>
  <c r="DN108" i="1"/>
  <c r="DM108" i="1"/>
  <c r="DL108" i="1"/>
  <c r="DK108" i="1"/>
  <c r="DJ108" i="1"/>
  <c r="DI108" i="1"/>
  <c r="DH108" i="1"/>
  <c r="DG108" i="1"/>
  <c r="DF108" i="1"/>
  <c r="CX108" i="1"/>
  <c r="CW108" i="1"/>
  <c r="CV108" i="1"/>
  <c r="CU108" i="1"/>
  <c r="CT108" i="1"/>
  <c r="CS108" i="1"/>
  <c r="CR108" i="1"/>
  <c r="CQ108" i="1"/>
  <c r="CP108" i="1"/>
  <c r="CO108" i="1"/>
  <c r="CN108" i="1"/>
  <c r="CM108" i="1"/>
  <c r="CL108" i="1"/>
  <c r="CK108" i="1"/>
  <c r="CJ108" i="1"/>
  <c r="CI108" i="1"/>
  <c r="CH108" i="1"/>
  <c r="CG108" i="1"/>
  <c r="EL107" i="1"/>
  <c r="EK107" i="1"/>
  <c r="EJ107" i="1"/>
  <c r="EI107" i="1"/>
  <c r="EH107" i="1"/>
  <c r="EG107" i="1"/>
  <c r="EF107" i="1"/>
  <c r="EE107" i="1"/>
  <c r="ED107" i="1"/>
  <c r="EC107" i="1"/>
  <c r="EB107" i="1"/>
  <c r="EA107" i="1"/>
  <c r="DZ107" i="1"/>
  <c r="DY107" i="1"/>
  <c r="DX107" i="1"/>
  <c r="DW107" i="1"/>
  <c r="DV107" i="1"/>
  <c r="DU107" i="1"/>
  <c r="DT107" i="1"/>
  <c r="DS107" i="1"/>
  <c r="DR107" i="1"/>
  <c r="DQ107" i="1"/>
  <c r="DP107" i="1"/>
  <c r="DO107" i="1"/>
  <c r="DN107" i="1"/>
  <c r="DM107" i="1"/>
  <c r="DL107" i="1"/>
  <c r="DK107" i="1"/>
  <c r="DJ107" i="1"/>
  <c r="DI107" i="1"/>
  <c r="DH107" i="1"/>
  <c r="DG107" i="1"/>
  <c r="DF107" i="1"/>
  <c r="CX107" i="1"/>
  <c r="CW107" i="1"/>
  <c r="CV107" i="1"/>
  <c r="CU107" i="1"/>
  <c r="CT107" i="1"/>
  <c r="CS107" i="1"/>
  <c r="CR107" i="1"/>
  <c r="CQ107" i="1"/>
  <c r="CP107" i="1"/>
  <c r="CO107" i="1"/>
  <c r="CN107" i="1"/>
  <c r="CM107" i="1"/>
  <c r="CL107" i="1"/>
  <c r="CK107" i="1"/>
  <c r="CJ107" i="1"/>
  <c r="CI107" i="1"/>
  <c r="CH107" i="1"/>
  <c r="CG107" i="1"/>
  <c r="BF107" i="1"/>
  <c r="EL106" i="1"/>
  <c r="EK106" i="1"/>
  <c r="EJ106" i="1"/>
  <c r="EI106" i="1"/>
  <c r="EH106" i="1"/>
  <c r="EG106" i="1"/>
  <c r="EF106" i="1"/>
  <c r="EE106" i="1"/>
  <c r="ED106" i="1"/>
  <c r="EC106" i="1"/>
  <c r="EB106" i="1"/>
  <c r="EA106" i="1"/>
  <c r="DZ106" i="1"/>
  <c r="DY106" i="1"/>
  <c r="DX106" i="1"/>
  <c r="DW106" i="1"/>
  <c r="DV106" i="1"/>
  <c r="DU106" i="1"/>
  <c r="DT106" i="1"/>
  <c r="DS106" i="1"/>
  <c r="DR106" i="1"/>
  <c r="DQ106" i="1"/>
  <c r="DP106" i="1"/>
  <c r="DO106" i="1"/>
  <c r="DN106" i="1"/>
  <c r="DM106" i="1"/>
  <c r="DL106" i="1"/>
  <c r="DK106" i="1"/>
  <c r="DJ106" i="1"/>
  <c r="DI106" i="1"/>
  <c r="DH106" i="1"/>
  <c r="DG106" i="1"/>
  <c r="DF106" i="1"/>
  <c r="CX106" i="1"/>
  <c r="CW106" i="1"/>
  <c r="CV106" i="1"/>
  <c r="CU106" i="1"/>
  <c r="CT106" i="1"/>
  <c r="CS106" i="1"/>
  <c r="CR106" i="1"/>
  <c r="CQ106" i="1"/>
  <c r="CP106" i="1"/>
  <c r="CO106" i="1"/>
  <c r="CN106" i="1"/>
  <c r="CM106" i="1"/>
  <c r="CL106" i="1"/>
  <c r="CK106" i="1"/>
  <c r="CJ106" i="1"/>
  <c r="CI106" i="1"/>
  <c r="CH106" i="1"/>
  <c r="CG106" i="1"/>
  <c r="BI106" i="1"/>
  <c r="BF106" i="1"/>
  <c r="AS106" i="1"/>
  <c r="X106" i="1"/>
  <c r="EL105" i="1"/>
  <c r="EK105" i="1"/>
  <c r="EJ105" i="1"/>
  <c r="EI105" i="1"/>
  <c r="EH105" i="1"/>
  <c r="EG105" i="1"/>
  <c r="EF105" i="1"/>
  <c r="EE105" i="1"/>
  <c r="ED105" i="1"/>
  <c r="EC105" i="1"/>
  <c r="EB105" i="1"/>
  <c r="EA105" i="1"/>
  <c r="DZ105" i="1"/>
  <c r="DY105" i="1"/>
  <c r="DX105" i="1"/>
  <c r="DW105" i="1"/>
  <c r="DV105" i="1"/>
  <c r="DU105" i="1"/>
  <c r="DT105" i="1"/>
  <c r="DS105" i="1"/>
  <c r="DR105" i="1"/>
  <c r="DQ105" i="1"/>
  <c r="DP105" i="1"/>
  <c r="DO105" i="1"/>
  <c r="DN105" i="1"/>
  <c r="DM105" i="1"/>
  <c r="DL105" i="1"/>
  <c r="DK105" i="1"/>
  <c r="DJ105" i="1"/>
  <c r="DI105" i="1"/>
  <c r="DH105" i="1"/>
  <c r="DG105" i="1"/>
  <c r="DF105" i="1"/>
  <c r="CX105" i="1"/>
  <c r="CW105" i="1"/>
  <c r="CV105" i="1"/>
  <c r="CU105" i="1"/>
  <c r="CT105" i="1"/>
  <c r="CS105" i="1"/>
  <c r="CR105" i="1"/>
  <c r="CQ105" i="1"/>
  <c r="CP105" i="1"/>
  <c r="CO105" i="1"/>
  <c r="CN105" i="1"/>
  <c r="CK105" i="1"/>
  <c r="CJ105" i="1"/>
  <c r="CI105" i="1"/>
  <c r="CH105" i="1"/>
  <c r="CG105" i="1"/>
  <c r="EL104" i="1"/>
  <c r="EK104" i="1"/>
  <c r="EJ104" i="1"/>
  <c r="EI104" i="1"/>
  <c r="EH104" i="1"/>
  <c r="EG104" i="1"/>
  <c r="EF104" i="1"/>
  <c r="EE104" i="1"/>
  <c r="ED104" i="1"/>
  <c r="EC104" i="1"/>
  <c r="EB104" i="1"/>
  <c r="EA104" i="1"/>
  <c r="DZ104" i="1"/>
  <c r="DY104" i="1"/>
  <c r="DX104" i="1"/>
  <c r="DW104" i="1"/>
  <c r="DV104" i="1"/>
  <c r="DU104" i="1"/>
  <c r="DT104" i="1"/>
  <c r="DS104" i="1"/>
  <c r="DR104" i="1"/>
  <c r="DQ104" i="1"/>
  <c r="DP104" i="1"/>
  <c r="DO104" i="1"/>
  <c r="DN104" i="1"/>
  <c r="DM104" i="1"/>
  <c r="DL104" i="1"/>
  <c r="DK104" i="1"/>
  <c r="DJ104" i="1"/>
  <c r="DI104" i="1"/>
  <c r="DH104" i="1"/>
  <c r="DG104" i="1"/>
  <c r="DF104" i="1"/>
  <c r="CX104" i="1"/>
  <c r="CW104" i="1"/>
  <c r="CV104" i="1"/>
  <c r="CU104" i="1"/>
  <c r="CT104" i="1"/>
  <c r="CS104" i="1"/>
  <c r="CR104" i="1"/>
  <c r="CQ104" i="1"/>
  <c r="CP104" i="1"/>
  <c r="CO104" i="1"/>
  <c r="CN104" i="1"/>
  <c r="CM104" i="1"/>
  <c r="CK104" i="1"/>
  <c r="CJ104" i="1"/>
  <c r="CI104" i="1"/>
  <c r="CH104" i="1"/>
  <c r="CG104" i="1"/>
  <c r="EL103" i="1"/>
  <c r="EK103" i="1"/>
  <c r="EJ103" i="1"/>
  <c r="EI103" i="1"/>
  <c r="EH103" i="1"/>
  <c r="EG103" i="1"/>
  <c r="EF103" i="1"/>
  <c r="EE103" i="1"/>
  <c r="ED103" i="1"/>
  <c r="EC103" i="1"/>
  <c r="EB103" i="1"/>
  <c r="EA103" i="1"/>
  <c r="DZ103" i="1"/>
  <c r="DY103" i="1"/>
  <c r="DX103" i="1"/>
  <c r="DW103" i="1"/>
  <c r="DV103" i="1"/>
  <c r="DU103" i="1"/>
  <c r="DT103" i="1"/>
  <c r="DS103" i="1"/>
  <c r="DR103" i="1"/>
  <c r="DQ103" i="1"/>
  <c r="DP103" i="1"/>
  <c r="DO103" i="1"/>
  <c r="DN103" i="1"/>
  <c r="DM103" i="1"/>
  <c r="DL103" i="1"/>
  <c r="DK103" i="1"/>
  <c r="DJ103" i="1"/>
  <c r="DI103" i="1"/>
  <c r="DH103" i="1"/>
  <c r="DG103" i="1"/>
  <c r="DF103" i="1"/>
  <c r="CX103" i="1"/>
  <c r="CW103" i="1"/>
  <c r="CV103" i="1"/>
  <c r="CU103" i="1"/>
  <c r="CT103" i="1"/>
  <c r="CS103" i="1"/>
  <c r="CR103" i="1"/>
  <c r="CQ103" i="1"/>
  <c r="CP103" i="1"/>
  <c r="CO103" i="1"/>
  <c r="CN103" i="1"/>
  <c r="CM103" i="1"/>
  <c r="CK103" i="1"/>
  <c r="CJ103" i="1"/>
  <c r="CI103" i="1"/>
  <c r="CH103" i="1"/>
  <c r="CG103" i="1"/>
  <c r="EL102" i="1"/>
  <c r="EK102" i="1"/>
  <c r="EJ102" i="1"/>
  <c r="EI102" i="1"/>
  <c r="EH102" i="1"/>
  <c r="EG102" i="1"/>
  <c r="EF102" i="1"/>
  <c r="EE102" i="1"/>
  <c r="ED102" i="1"/>
  <c r="EC102" i="1"/>
  <c r="EB102" i="1"/>
  <c r="EA102" i="1"/>
  <c r="DZ102" i="1"/>
  <c r="DY102" i="1"/>
  <c r="DX102" i="1"/>
  <c r="DW102" i="1"/>
  <c r="DV102" i="1"/>
  <c r="DU102" i="1"/>
  <c r="DT102" i="1"/>
  <c r="DS102" i="1"/>
  <c r="DR102" i="1"/>
  <c r="DQ102" i="1"/>
  <c r="DP102" i="1"/>
  <c r="DO102" i="1"/>
  <c r="DN102" i="1"/>
  <c r="DM102" i="1"/>
  <c r="DL102" i="1"/>
  <c r="DK102" i="1"/>
  <c r="DJ102" i="1"/>
  <c r="DI102" i="1"/>
  <c r="DH102" i="1"/>
  <c r="DG102" i="1"/>
  <c r="DF102" i="1"/>
  <c r="CX102" i="1"/>
  <c r="CW102" i="1"/>
  <c r="CV102" i="1"/>
  <c r="CU102" i="1"/>
  <c r="CT102" i="1"/>
  <c r="CS102" i="1"/>
  <c r="CR102" i="1"/>
  <c r="CQ102" i="1"/>
  <c r="CP102" i="1"/>
  <c r="CO102" i="1"/>
  <c r="CN102" i="1"/>
  <c r="CM102" i="1"/>
  <c r="CL102" i="1"/>
  <c r="CK102" i="1"/>
  <c r="CJ102" i="1"/>
  <c r="CI102" i="1"/>
  <c r="CH102" i="1"/>
  <c r="CG102" i="1"/>
  <c r="EL101" i="1"/>
  <c r="EK101" i="1"/>
  <c r="EJ101" i="1"/>
  <c r="EI101" i="1"/>
  <c r="EH101" i="1"/>
  <c r="EG101" i="1"/>
  <c r="EF101" i="1"/>
  <c r="EE101" i="1"/>
  <c r="ED101" i="1"/>
  <c r="EC101" i="1"/>
  <c r="EB101" i="1"/>
  <c r="EA101" i="1"/>
  <c r="DZ101" i="1"/>
  <c r="DY101" i="1"/>
  <c r="DX101" i="1"/>
  <c r="DW101" i="1"/>
  <c r="DV101" i="1"/>
  <c r="DU101" i="1"/>
  <c r="DT101" i="1"/>
  <c r="DS101" i="1"/>
  <c r="DR101" i="1"/>
  <c r="DQ101" i="1"/>
  <c r="DP101" i="1"/>
  <c r="DO101" i="1"/>
  <c r="DN101" i="1"/>
  <c r="DM101" i="1"/>
  <c r="DL101" i="1"/>
  <c r="DK101" i="1"/>
  <c r="DJ101" i="1"/>
  <c r="DI101" i="1"/>
  <c r="DH101" i="1"/>
  <c r="DG101" i="1"/>
  <c r="DF101" i="1"/>
  <c r="CX101" i="1"/>
  <c r="CW101" i="1"/>
  <c r="CV101" i="1"/>
  <c r="CU101" i="1"/>
  <c r="CT101" i="1"/>
  <c r="CS101" i="1"/>
  <c r="CR101" i="1"/>
  <c r="CQ101" i="1"/>
  <c r="CP101" i="1"/>
  <c r="CO101" i="1"/>
  <c r="CN101" i="1"/>
  <c r="CK101" i="1"/>
  <c r="CJ101" i="1"/>
  <c r="CI101" i="1"/>
  <c r="CH101" i="1"/>
  <c r="CG101" i="1"/>
  <c r="EL100" i="1"/>
  <c r="EK100" i="1"/>
  <c r="EJ100" i="1"/>
  <c r="EI100" i="1"/>
  <c r="EH100" i="1"/>
  <c r="EG100" i="1"/>
  <c r="EF100" i="1"/>
  <c r="EE100" i="1"/>
  <c r="ED100" i="1"/>
  <c r="EC100" i="1"/>
  <c r="EB100" i="1"/>
  <c r="EA100" i="1"/>
  <c r="DZ100" i="1"/>
  <c r="DY100" i="1"/>
  <c r="DX100" i="1"/>
  <c r="DW100" i="1"/>
  <c r="DV100" i="1"/>
  <c r="DU100" i="1"/>
  <c r="DT100" i="1"/>
  <c r="DS100" i="1"/>
  <c r="DR100" i="1"/>
  <c r="DQ100" i="1"/>
  <c r="DP100" i="1"/>
  <c r="DO100" i="1"/>
  <c r="DN100" i="1"/>
  <c r="DM100" i="1"/>
  <c r="DL100" i="1"/>
  <c r="DK100" i="1"/>
  <c r="DJ100" i="1"/>
  <c r="DI100" i="1"/>
  <c r="DH100" i="1"/>
  <c r="DG100" i="1"/>
  <c r="DF100" i="1"/>
  <c r="CX100" i="1"/>
  <c r="CW100" i="1"/>
  <c r="CV100" i="1"/>
  <c r="CU100" i="1"/>
  <c r="CT100" i="1"/>
  <c r="CS100" i="1"/>
  <c r="CR100" i="1"/>
  <c r="CQ100" i="1"/>
  <c r="CP100" i="1"/>
  <c r="CO100" i="1"/>
  <c r="CN100" i="1"/>
  <c r="CK100" i="1"/>
  <c r="CJ100" i="1"/>
  <c r="CI100" i="1"/>
  <c r="CH100" i="1"/>
  <c r="CG100" i="1"/>
  <c r="EL99" i="1"/>
  <c r="EK99" i="1"/>
  <c r="EJ99" i="1"/>
  <c r="EI99" i="1"/>
  <c r="EH99" i="1"/>
  <c r="EG99" i="1"/>
  <c r="EF99" i="1"/>
  <c r="EE99" i="1"/>
  <c r="ED99" i="1"/>
  <c r="EC99" i="1"/>
  <c r="EB99" i="1"/>
  <c r="EA99" i="1"/>
  <c r="DZ99" i="1"/>
  <c r="DY99" i="1"/>
  <c r="DX99" i="1"/>
  <c r="DW99" i="1"/>
  <c r="DV99" i="1"/>
  <c r="DU99" i="1"/>
  <c r="DT99" i="1"/>
  <c r="DS99" i="1"/>
  <c r="DR99" i="1"/>
  <c r="DQ99" i="1"/>
  <c r="DP99" i="1"/>
  <c r="DO99" i="1"/>
  <c r="DN99" i="1"/>
  <c r="DM99" i="1"/>
  <c r="DL99" i="1"/>
  <c r="DK99" i="1"/>
  <c r="DJ99" i="1"/>
  <c r="DI99" i="1"/>
  <c r="DH99" i="1"/>
  <c r="DG99" i="1"/>
  <c r="DF99" i="1"/>
  <c r="CX99" i="1"/>
  <c r="CW99" i="1"/>
  <c r="CV99" i="1"/>
  <c r="CU99" i="1"/>
  <c r="CT99" i="1"/>
  <c r="CS99" i="1"/>
  <c r="CR99" i="1"/>
  <c r="CQ99" i="1"/>
  <c r="CP99" i="1"/>
  <c r="CO99" i="1"/>
  <c r="CN99" i="1"/>
  <c r="CM99" i="1"/>
  <c r="CK99" i="1"/>
  <c r="CJ99" i="1"/>
  <c r="CI99" i="1"/>
  <c r="CH99" i="1"/>
  <c r="CG99" i="1"/>
  <c r="EL98" i="1"/>
  <c r="EK98" i="1"/>
  <c r="EJ98" i="1"/>
  <c r="EI98" i="1"/>
  <c r="EH98" i="1"/>
  <c r="EG98" i="1"/>
  <c r="EF98" i="1"/>
  <c r="EE98" i="1"/>
  <c r="ED98" i="1"/>
  <c r="EC98" i="1"/>
  <c r="EB98" i="1"/>
  <c r="EA98" i="1"/>
  <c r="DZ98" i="1"/>
  <c r="DY98" i="1"/>
  <c r="DX98" i="1"/>
  <c r="DW98" i="1"/>
  <c r="DV98" i="1"/>
  <c r="DU98" i="1"/>
  <c r="DT98" i="1"/>
  <c r="DS98" i="1"/>
  <c r="DR98" i="1"/>
  <c r="DQ98" i="1"/>
  <c r="DP98" i="1"/>
  <c r="DO98" i="1"/>
  <c r="DN98" i="1"/>
  <c r="DM98" i="1"/>
  <c r="DL98" i="1"/>
  <c r="DK98" i="1"/>
  <c r="DJ98" i="1"/>
  <c r="DI98" i="1"/>
  <c r="DH98" i="1"/>
  <c r="DG98" i="1"/>
  <c r="DF98" i="1"/>
  <c r="CX98" i="1"/>
  <c r="CW98" i="1"/>
  <c r="CV98" i="1"/>
  <c r="CU98" i="1"/>
  <c r="CT98" i="1"/>
  <c r="CS98" i="1"/>
  <c r="CR98" i="1"/>
  <c r="CQ98" i="1"/>
  <c r="CP98" i="1"/>
  <c r="CO98" i="1"/>
  <c r="CN98" i="1"/>
  <c r="CM98" i="1"/>
  <c r="CL98" i="1"/>
  <c r="CK98" i="1"/>
  <c r="CJ98" i="1"/>
  <c r="CI98" i="1"/>
  <c r="CH98" i="1"/>
  <c r="CG98" i="1"/>
  <c r="EL97" i="1"/>
  <c r="EK97" i="1"/>
  <c r="EJ97" i="1"/>
  <c r="EI97" i="1"/>
  <c r="EH97" i="1"/>
  <c r="EG97" i="1"/>
  <c r="EF97" i="1"/>
  <c r="EE97" i="1"/>
  <c r="ED97" i="1"/>
  <c r="EC97" i="1"/>
  <c r="EB97" i="1"/>
  <c r="EA97" i="1"/>
  <c r="DZ97" i="1"/>
  <c r="DY97" i="1"/>
  <c r="DX97" i="1"/>
  <c r="DW97" i="1"/>
  <c r="DV97" i="1"/>
  <c r="DU97" i="1"/>
  <c r="DT97" i="1"/>
  <c r="DS97" i="1"/>
  <c r="DR97" i="1"/>
  <c r="DQ97" i="1"/>
  <c r="DP97" i="1"/>
  <c r="DO97" i="1"/>
  <c r="DN97" i="1"/>
  <c r="DM97" i="1"/>
  <c r="DL97" i="1"/>
  <c r="DK97" i="1"/>
  <c r="DJ97" i="1"/>
  <c r="DI97" i="1"/>
  <c r="DH97" i="1"/>
  <c r="DG97" i="1"/>
  <c r="DF97" i="1"/>
  <c r="CX97" i="1"/>
  <c r="CW97" i="1"/>
  <c r="CV97" i="1"/>
  <c r="CU97" i="1"/>
  <c r="CT97" i="1"/>
  <c r="CS97" i="1"/>
  <c r="CR97" i="1"/>
  <c r="CQ97" i="1"/>
  <c r="CP97" i="1"/>
  <c r="CO97" i="1"/>
  <c r="CN97" i="1"/>
  <c r="CM97" i="1"/>
  <c r="CL97" i="1"/>
  <c r="CK97" i="1"/>
  <c r="CJ97" i="1"/>
  <c r="CI97" i="1"/>
  <c r="CH97" i="1"/>
  <c r="CG97" i="1"/>
  <c r="EL96" i="1"/>
  <c r="EK96" i="1"/>
  <c r="EJ96" i="1"/>
  <c r="EI96" i="1"/>
  <c r="EH96" i="1"/>
  <c r="EG96" i="1"/>
  <c r="EF96" i="1"/>
  <c r="EE96" i="1"/>
  <c r="ED96" i="1"/>
  <c r="EC96" i="1"/>
  <c r="EB96" i="1"/>
  <c r="EA96" i="1"/>
  <c r="DZ96" i="1"/>
  <c r="DY96" i="1"/>
  <c r="DX96" i="1"/>
  <c r="DW96" i="1"/>
  <c r="DV96" i="1"/>
  <c r="DU96" i="1"/>
  <c r="DT96" i="1"/>
  <c r="DS96" i="1"/>
  <c r="DR96" i="1"/>
  <c r="DQ96" i="1"/>
  <c r="DP96" i="1"/>
  <c r="DO96" i="1"/>
  <c r="DN96" i="1"/>
  <c r="DM96" i="1"/>
  <c r="DL96" i="1"/>
  <c r="DK96" i="1"/>
  <c r="DJ96" i="1"/>
  <c r="DI96" i="1"/>
  <c r="DH96" i="1"/>
  <c r="DG96" i="1"/>
  <c r="DF96" i="1"/>
  <c r="CX96" i="1"/>
  <c r="CW96" i="1"/>
  <c r="CV96" i="1"/>
  <c r="CU96" i="1"/>
  <c r="CT96" i="1"/>
  <c r="CS96" i="1"/>
  <c r="CR96" i="1"/>
  <c r="CQ96" i="1"/>
  <c r="CP96" i="1"/>
  <c r="CO96" i="1"/>
  <c r="CN96" i="1"/>
  <c r="CK96" i="1"/>
  <c r="CJ96" i="1"/>
  <c r="CI96" i="1"/>
  <c r="CH96" i="1"/>
  <c r="CG96" i="1"/>
  <c r="EL95" i="1"/>
  <c r="EK95" i="1"/>
  <c r="EJ95" i="1"/>
  <c r="EI95" i="1"/>
  <c r="EH95" i="1"/>
  <c r="EG95" i="1"/>
  <c r="EF95" i="1"/>
  <c r="EE95" i="1"/>
  <c r="ED95" i="1"/>
  <c r="EC95" i="1"/>
  <c r="EB95" i="1"/>
  <c r="EA95" i="1"/>
  <c r="DZ95" i="1"/>
  <c r="DY95" i="1"/>
  <c r="DX95" i="1"/>
  <c r="DW95" i="1"/>
  <c r="DV95" i="1"/>
  <c r="DU95" i="1"/>
  <c r="DT95" i="1"/>
  <c r="DS95" i="1"/>
  <c r="DR95" i="1"/>
  <c r="DQ95" i="1"/>
  <c r="DP95" i="1"/>
  <c r="DO95" i="1"/>
  <c r="DN95" i="1"/>
  <c r="DM95" i="1"/>
  <c r="DL95" i="1"/>
  <c r="DK95" i="1"/>
  <c r="DJ95" i="1"/>
  <c r="DI95" i="1"/>
  <c r="DH95" i="1"/>
  <c r="DG95" i="1"/>
  <c r="DF95" i="1"/>
  <c r="CX95" i="1"/>
  <c r="CW95" i="1"/>
  <c r="CV95" i="1"/>
  <c r="CU95" i="1"/>
  <c r="CT95" i="1"/>
  <c r="CS95" i="1"/>
  <c r="CR95" i="1"/>
  <c r="CQ95" i="1"/>
  <c r="CP95" i="1"/>
  <c r="CO95" i="1"/>
  <c r="CN95" i="1"/>
  <c r="CM95" i="1"/>
  <c r="CK95" i="1"/>
  <c r="CJ95" i="1"/>
  <c r="CI95" i="1"/>
  <c r="CH95" i="1"/>
  <c r="CG95" i="1"/>
  <c r="EL94" i="1"/>
  <c r="EK94" i="1"/>
  <c r="EJ94" i="1"/>
  <c r="EI94" i="1"/>
  <c r="EH94" i="1"/>
  <c r="EG94" i="1"/>
  <c r="EF94" i="1"/>
  <c r="EE94" i="1"/>
  <c r="ED94" i="1"/>
  <c r="EC94" i="1"/>
  <c r="EB94" i="1"/>
  <c r="EA94" i="1"/>
  <c r="DZ94" i="1"/>
  <c r="DY94" i="1"/>
  <c r="DX94" i="1"/>
  <c r="DW94" i="1"/>
  <c r="DV94" i="1"/>
  <c r="DU94" i="1"/>
  <c r="DT94" i="1"/>
  <c r="DS94" i="1"/>
  <c r="DR94" i="1"/>
  <c r="DQ94" i="1"/>
  <c r="DP94" i="1"/>
  <c r="DO94" i="1"/>
  <c r="DN94" i="1"/>
  <c r="DM94" i="1"/>
  <c r="DL94" i="1"/>
  <c r="DK94" i="1"/>
  <c r="DJ94" i="1"/>
  <c r="DI94" i="1"/>
  <c r="DH94" i="1"/>
  <c r="DG94" i="1"/>
  <c r="DF94" i="1"/>
  <c r="CX94" i="1"/>
  <c r="CW94" i="1"/>
  <c r="CV94" i="1"/>
  <c r="CU94" i="1"/>
  <c r="CT94" i="1"/>
  <c r="CS94" i="1"/>
  <c r="CR94" i="1"/>
  <c r="CQ94" i="1"/>
  <c r="CP94" i="1"/>
  <c r="CO94" i="1"/>
  <c r="CN94" i="1"/>
  <c r="CK94" i="1"/>
  <c r="CJ94" i="1"/>
  <c r="CI94" i="1"/>
  <c r="CH94" i="1"/>
  <c r="CG94" i="1"/>
  <c r="AY94" i="1"/>
  <c r="AQ94" i="1"/>
  <c r="EL93" i="1"/>
  <c r="EK93" i="1"/>
  <c r="EJ93" i="1"/>
  <c r="EI93" i="1"/>
  <c r="EH93" i="1"/>
  <c r="EG93" i="1"/>
  <c r="EF93" i="1"/>
  <c r="EE93" i="1"/>
  <c r="ED93" i="1"/>
  <c r="EC93" i="1"/>
  <c r="EB93" i="1"/>
  <c r="EA93" i="1"/>
  <c r="DZ93" i="1"/>
  <c r="DY93" i="1"/>
  <c r="DX93" i="1"/>
  <c r="DW93" i="1"/>
  <c r="DV93" i="1"/>
  <c r="DU93" i="1"/>
  <c r="DT93" i="1"/>
  <c r="DS93" i="1"/>
  <c r="DR93" i="1"/>
  <c r="DQ93" i="1"/>
  <c r="DP93" i="1"/>
  <c r="DO93" i="1"/>
  <c r="DN93" i="1"/>
  <c r="DM93" i="1"/>
  <c r="DL93" i="1"/>
  <c r="DK93" i="1"/>
  <c r="DJ93" i="1"/>
  <c r="DI93" i="1"/>
  <c r="DH93" i="1"/>
  <c r="DG93" i="1"/>
  <c r="DF93" i="1"/>
  <c r="CX93" i="1"/>
  <c r="CW93" i="1"/>
  <c r="CV93" i="1"/>
  <c r="CU93" i="1"/>
  <c r="CT93" i="1"/>
  <c r="CS93" i="1"/>
  <c r="CR93" i="1"/>
  <c r="CQ93" i="1"/>
  <c r="CP93" i="1"/>
  <c r="CO93" i="1"/>
  <c r="CN93" i="1"/>
  <c r="CM93" i="1"/>
  <c r="CL93" i="1"/>
  <c r="CK93" i="1"/>
  <c r="CJ93" i="1"/>
  <c r="CI93" i="1"/>
  <c r="CH93" i="1"/>
  <c r="CG93" i="1"/>
  <c r="AY93" i="1"/>
  <c r="AQ93" i="1"/>
  <c r="EL92" i="1"/>
  <c r="EK92" i="1"/>
  <c r="EJ92" i="1"/>
  <c r="EI92" i="1"/>
  <c r="EH92" i="1"/>
  <c r="EG92" i="1"/>
  <c r="EF92" i="1"/>
  <c r="EE92" i="1"/>
  <c r="ED92" i="1"/>
  <c r="EC92" i="1"/>
  <c r="EB92" i="1"/>
  <c r="EA92" i="1"/>
  <c r="DZ92" i="1"/>
  <c r="DY92" i="1"/>
  <c r="DX92" i="1"/>
  <c r="DW92" i="1"/>
  <c r="DV92" i="1"/>
  <c r="DU92" i="1"/>
  <c r="DT92" i="1"/>
  <c r="DS92" i="1"/>
  <c r="DR92" i="1"/>
  <c r="DQ92" i="1"/>
  <c r="DP92" i="1"/>
  <c r="DO92" i="1"/>
  <c r="DN92" i="1"/>
  <c r="DM92" i="1"/>
  <c r="DL92" i="1"/>
  <c r="DK92" i="1"/>
  <c r="DJ92" i="1"/>
  <c r="DI92" i="1"/>
  <c r="DH92" i="1"/>
  <c r="DG92" i="1"/>
  <c r="DF92" i="1"/>
  <c r="CX92" i="1"/>
  <c r="CW92" i="1"/>
  <c r="CV92" i="1"/>
  <c r="CU92" i="1"/>
  <c r="CT92" i="1"/>
  <c r="CS92" i="1"/>
  <c r="CR92" i="1"/>
  <c r="CQ92" i="1"/>
  <c r="CP92" i="1"/>
  <c r="CO92" i="1"/>
  <c r="CN92" i="1"/>
  <c r="CM92" i="1"/>
  <c r="CK92" i="1"/>
  <c r="CJ92" i="1"/>
  <c r="CI92" i="1"/>
  <c r="CH92" i="1"/>
  <c r="CG92" i="1"/>
  <c r="AY92" i="1"/>
  <c r="AQ92" i="1"/>
  <c r="EL91" i="1"/>
  <c r="EK91" i="1"/>
  <c r="EJ91" i="1"/>
  <c r="EI91" i="1"/>
  <c r="EH91" i="1"/>
  <c r="EG91" i="1"/>
  <c r="EF91" i="1"/>
  <c r="EE91" i="1"/>
  <c r="ED91" i="1"/>
  <c r="EC91" i="1"/>
  <c r="EB91" i="1"/>
  <c r="EA91" i="1"/>
  <c r="DZ91" i="1"/>
  <c r="DY91" i="1"/>
  <c r="DX91" i="1"/>
  <c r="DW91" i="1"/>
  <c r="DV91" i="1"/>
  <c r="DU91" i="1"/>
  <c r="DT91" i="1"/>
  <c r="DS91" i="1"/>
  <c r="DR91" i="1"/>
  <c r="DQ91" i="1"/>
  <c r="DP91" i="1"/>
  <c r="DO91" i="1"/>
  <c r="DN91" i="1"/>
  <c r="DM91" i="1"/>
  <c r="DL91" i="1"/>
  <c r="DK91" i="1"/>
  <c r="DJ91" i="1"/>
  <c r="DI91" i="1"/>
  <c r="DH91" i="1"/>
  <c r="DG91" i="1"/>
  <c r="DF91" i="1"/>
  <c r="CX91" i="1"/>
  <c r="CW91" i="1"/>
  <c r="CV91" i="1"/>
  <c r="CU91" i="1"/>
  <c r="CT91" i="1"/>
  <c r="CS91" i="1"/>
  <c r="CR91" i="1"/>
  <c r="CQ91" i="1"/>
  <c r="CP91" i="1"/>
  <c r="CO91" i="1"/>
  <c r="CN91" i="1"/>
  <c r="CK91" i="1"/>
  <c r="CJ91" i="1"/>
  <c r="CI91" i="1"/>
  <c r="CH91" i="1"/>
  <c r="CG91" i="1"/>
  <c r="AY91" i="1"/>
  <c r="AQ91" i="1"/>
  <c r="EL90" i="1"/>
  <c r="EK90" i="1"/>
  <c r="EJ90" i="1"/>
  <c r="EI90" i="1"/>
  <c r="EH90" i="1"/>
  <c r="EG90" i="1"/>
  <c r="EF90" i="1"/>
  <c r="EE90" i="1"/>
  <c r="ED90" i="1"/>
  <c r="EC90" i="1"/>
  <c r="EB90" i="1"/>
  <c r="EA90" i="1"/>
  <c r="DZ90" i="1"/>
  <c r="DY90" i="1"/>
  <c r="DX90" i="1"/>
  <c r="DW90" i="1"/>
  <c r="DV90" i="1"/>
  <c r="DU90" i="1"/>
  <c r="DT90" i="1"/>
  <c r="DS90" i="1"/>
  <c r="DR90" i="1"/>
  <c r="DQ90" i="1"/>
  <c r="DP90" i="1"/>
  <c r="DO90" i="1"/>
  <c r="DN90" i="1"/>
  <c r="DM90" i="1"/>
  <c r="DL90" i="1"/>
  <c r="DK90" i="1"/>
  <c r="DJ90" i="1"/>
  <c r="DI90" i="1"/>
  <c r="DH90" i="1"/>
  <c r="DG90" i="1"/>
  <c r="DF90" i="1"/>
  <c r="CX90" i="1"/>
  <c r="CW90" i="1"/>
  <c r="CV90" i="1"/>
  <c r="CU90" i="1"/>
  <c r="CT90" i="1"/>
  <c r="CS90" i="1"/>
  <c r="CR90" i="1"/>
  <c r="CQ90" i="1"/>
  <c r="CP90" i="1"/>
  <c r="CO90" i="1"/>
  <c r="CN90" i="1"/>
  <c r="CK90" i="1"/>
  <c r="CJ90" i="1"/>
  <c r="CI90" i="1"/>
  <c r="CH90" i="1"/>
  <c r="CG90" i="1"/>
  <c r="AY90" i="1"/>
  <c r="AQ90" i="1"/>
  <c r="EL89" i="1"/>
  <c r="EK89" i="1"/>
  <c r="EJ89" i="1"/>
  <c r="EI89" i="1"/>
  <c r="EH89" i="1"/>
  <c r="EG89" i="1"/>
  <c r="EF89" i="1"/>
  <c r="EE89" i="1"/>
  <c r="ED89" i="1"/>
  <c r="EC89" i="1"/>
  <c r="EB89" i="1"/>
  <c r="EA89" i="1"/>
  <c r="DZ89" i="1"/>
  <c r="DY89" i="1"/>
  <c r="DX89" i="1"/>
  <c r="DW89" i="1"/>
  <c r="DV89" i="1"/>
  <c r="DU89" i="1"/>
  <c r="DT89" i="1"/>
  <c r="DS89" i="1"/>
  <c r="DR89" i="1"/>
  <c r="DQ89" i="1"/>
  <c r="DP89" i="1"/>
  <c r="DO89" i="1"/>
  <c r="DN89" i="1"/>
  <c r="DM89" i="1"/>
  <c r="DL89" i="1"/>
  <c r="DK89" i="1"/>
  <c r="DJ89" i="1"/>
  <c r="DI89" i="1"/>
  <c r="DH89" i="1"/>
  <c r="DG89" i="1"/>
  <c r="DF89" i="1"/>
  <c r="CX89" i="1"/>
  <c r="CW89" i="1"/>
  <c r="CV89" i="1"/>
  <c r="CU89" i="1"/>
  <c r="CT89" i="1"/>
  <c r="CS89" i="1"/>
  <c r="CR89" i="1"/>
  <c r="CQ89" i="1"/>
  <c r="CP89" i="1"/>
  <c r="CO89" i="1"/>
  <c r="CN89" i="1"/>
  <c r="CK89" i="1"/>
  <c r="CJ89" i="1"/>
  <c r="CI89" i="1"/>
  <c r="CH89" i="1"/>
  <c r="CG89" i="1"/>
  <c r="AY89" i="1"/>
  <c r="AQ89" i="1"/>
  <c r="EL88" i="1"/>
  <c r="EK88" i="1"/>
  <c r="EJ88" i="1"/>
  <c r="EI88" i="1"/>
  <c r="EH88" i="1"/>
  <c r="EG88" i="1"/>
  <c r="EF88" i="1"/>
  <c r="EE88" i="1"/>
  <c r="ED88" i="1"/>
  <c r="EC88" i="1"/>
  <c r="EB88" i="1"/>
  <c r="EA88" i="1"/>
  <c r="DZ88" i="1"/>
  <c r="DY88" i="1"/>
  <c r="DX88" i="1"/>
  <c r="DW88" i="1"/>
  <c r="DV88" i="1"/>
  <c r="DU88" i="1"/>
  <c r="DT88" i="1"/>
  <c r="DS88" i="1"/>
  <c r="DR88" i="1"/>
  <c r="DQ88" i="1"/>
  <c r="DP88" i="1"/>
  <c r="DO88" i="1"/>
  <c r="DN88" i="1"/>
  <c r="DM88" i="1"/>
  <c r="DL88" i="1"/>
  <c r="DK88" i="1"/>
  <c r="DJ88" i="1"/>
  <c r="DI88" i="1"/>
  <c r="DH88" i="1"/>
  <c r="DG88" i="1"/>
  <c r="DF88" i="1"/>
  <c r="CX88" i="1"/>
  <c r="CW88" i="1"/>
  <c r="CV88" i="1"/>
  <c r="CU88" i="1"/>
  <c r="CT88" i="1"/>
  <c r="CS88" i="1"/>
  <c r="CR88" i="1"/>
  <c r="CQ88" i="1"/>
  <c r="CP88" i="1"/>
  <c r="CO88" i="1"/>
  <c r="CN88" i="1"/>
  <c r="CM88" i="1"/>
  <c r="CL88" i="1"/>
  <c r="CK88" i="1"/>
  <c r="CJ88" i="1"/>
  <c r="CI88" i="1"/>
  <c r="CH88" i="1"/>
  <c r="CG88" i="1"/>
  <c r="AD88" i="1"/>
  <c r="AC88" i="1"/>
  <c r="AB88" i="1"/>
  <c r="AE88" i="1" s="1"/>
  <c r="AA88" i="1"/>
  <c r="Z88" i="1"/>
  <c r="AV73" i="1" s="1"/>
  <c r="W88" i="1" a="1"/>
  <c r="W88" i="1" s="1"/>
  <c r="Y88" i="1" s="1"/>
  <c r="V88" i="1"/>
  <c r="EL87" i="1"/>
  <c r="EK87" i="1"/>
  <c r="EJ87" i="1"/>
  <c r="EI87" i="1"/>
  <c r="EH87" i="1"/>
  <c r="EG87" i="1"/>
  <c r="EF87" i="1"/>
  <c r="EE87" i="1"/>
  <c r="ED87" i="1"/>
  <c r="EC87" i="1"/>
  <c r="EB87" i="1"/>
  <c r="EA87" i="1"/>
  <c r="DZ87" i="1"/>
  <c r="DY87" i="1"/>
  <c r="DX87" i="1"/>
  <c r="DW87" i="1"/>
  <c r="DV87" i="1"/>
  <c r="DU87" i="1"/>
  <c r="DT87" i="1"/>
  <c r="DS87" i="1"/>
  <c r="DR87" i="1"/>
  <c r="DQ87" i="1"/>
  <c r="DP87" i="1"/>
  <c r="DO87" i="1"/>
  <c r="DN87" i="1"/>
  <c r="DM87" i="1"/>
  <c r="DL87" i="1"/>
  <c r="DK87" i="1"/>
  <c r="DJ87" i="1"/>
  <c r="DI87" i="1"/>
  <c r="DH87" i="1"/>
  <c r="DG87" i="1"/>
  <c r="DF87" i="1"/>
  <c r="CX87" i="1"/>
  <c r="CW87" i="1"/>
  <c r="CV87" i="1"/>
  <c r="CU87" i="1"/>
  <c r="CT87" i="1"/>
  <c r="CS87" i="1"/>
  <c r="CR87" i="1"/>
  <c r="CQ87" i="1"/>
  <c r="CP87" i="1"/>
  <c r="CO87" i="1"/>
  <c r="CN87" i="1"/>
  <c r="CK87" i="1"/>
  <c r="CJ87" i="1"/>
  <c r="CI87" i="1"/>
  <c r="CH87" i="1"/>
  <c r="CG87" i="1"/>
  <c r="AD87" i="1"/>
  <c r="AC87" i="1"/>
  <c r="AB87" i="1"/>
  <c r="AE87" i="1" s="1"/>
  <c r="AA87" i="1"/>
  <c r="Z87" i="1"/>
  <c r="AV72" i="1" s="1"/>
  <c r="W87" i="1" a="1"/>
  <c r="W87" i="1" s="1"/>
  <c r="Y87" i="1" s="1"/>
  <c r="V87" i="1"/>
  <c r="EL86" i="1"/>
  <c r="EK86" i="1"/>
  <c r="EJ86" i="1"/>
  <c r="EI86" i="1"/>
  <c r="EH86" i="1"/>
  <c r="EG86" i="1"/>
  <c r="EF86" i="1"/>
  <c r="EE86" i="1"/>
  <c r="ED86" i="1"/>
  <c r="EC86" i="1"/>
  <c r="EB86" i="1"/>
  <c r="EA86" i="1"/>
  <c r="DZ86" i="1"/>
  <c r="DY86" i="1"/>
  <c r="DX86" i="1"/>
  <c r="DW86" i="1"/>
  <c r="DV86" i="1"/>
  <c r="DU86" i="1"/>
  <c r="DT86" i="1"/>
  <c r="DS86" i="1"/>
  <c r="DR86" i="1"/>
  <c r="DQ86" i="1"/>
  <c r="DP86" i="1"/>
  <c r="DO86" i="1"/>
  <c r="DN86" i="1"/>
  <c r="DM86" i="1"/>
  <c r="DL86" i="1"/>
  <c r="DK86" i="1"/>
  <c r="DJ86" i="1"/>
  <c r="DI86" i="1"/>
  <c r="DH86" i="1"/>
  <c r="DG86" i="1"/>
  <c r="DF86" i="1"/>
  <c r="CX86" i="1"/>
  <c r="CW86" i="1"/>
  <c r="CV86" i="1"/>
  <c r="CU86" i="1"/>
  <c r="CT86" i="1"/>
  <c r="CS86" i="1"/>
  <c r="CR86" i="1"/>
  <c r="CQ86" i="1"/>
  <c r="CP86" i="1"/>
  <c r="CO86" i="1"/>
  <c r="CN86" i="1"/>
  <c r="CK86" i="1"/>
  <c r="CJ86" i="1"/>
  <c r="CI86" i="1"/>
  <c r="CH86" i="1"/>
  <c r="CG86" i="1"/>
  <c r="AD86" i="1"/>
  <c r="AC86" i="1"/>
  <c r="AB86" i="1"/>
  <c r="AE86" i="1" s="1"/>
  <c r="AA86" i="1"/>
  <c r="Z86" i="1"/>
  <c r="AV71" i="1" s="1"/>
  <c r="W86" i="1" a="1"/>
  <c r="W86" i="1" s="1"/>
  <c r="Y86" i="1" s="1"/>
  <c r="V86" i="1"/>
  <c r="EL85" i="1"/>
  <c r="EK85" i="1"/>
  <c r="EJ85" i="1"/>
  <c r="EI85" i="1"/>
  <c r="EH85" i="1"/>
  <c r="EG85" i="1"/>
  <c r="EF85" i="1"/>
  <c r="EE85" i="1"/>
  <c r="ED85" i="1"/>
  <c r="EC85" i="1"/>
  <c r="EB85" i="1"/>
  <c r="EA85" i="1"/>
  <c r="DZ85" i="1"/>
  <c r="DY85" i="1"/>
  <c r="DX85" i="1"/>
  <c r="DW85" i="1"/>
  <c r="DV85" i="1"/>
  <c r="DU85" i="1"/>
  <c r="DT85" i="1"/>
  <c r="DS85" i="1"/>
  <c r="DR85" i="1"/>
  <c r="DQ85" i="1"/>
  <c r="DP85" i="1"/>
  <c r="DO85" i="1"/>
  <c r="DN85" i="1"/>
  <c r="DM85" i="1"/>
  <c r="DL85" i="1"/>
  <c r="DK85" i="1"/>
  <c r="DJ85" i="1"/>
  <c r="DI85" i="1"/>
  <c r="DH85" i="1"/>
  <c r="DG85" i="1"/>
  <c r="DF85" i="1"/>
  <c r="CX85" i="1"/>
  <c r="CW85" i="1"/>
  <c r="CV85" i="1"/>
  <c r="CU85" i="1"/>
  <c r="CT85" i="1"/>
  <c r="CS85" i="1"/>
  <c r="CR85" i="1"/>
  <c r="CQ85" i="1"/>
  <c r="CP85" i="1"/>
  <c r="CO85" i="1"/>
  <c r="CN85" i="1"/>
  <c r="CL85" i="1"/>
  <c r="CK85" i="1"/>
  <c r="CJ85" i="1"/>
  <c r="CI85" i="1"/>
  <c r="CH85" i="1"/>
  <c r="CG85" i="1"/>
  <c r="AD85" i="1"/>
  <c r="AC85" i="1"/>
  <c r="AB85" i="1"/>
  <c r="AE85" i="1" s="1"/>
  <c r="AA85" i="1"/>
  <c r="Z85" i="1"/>
  <c r="AV70" i="1" s="1"/>
  <c r="W85" i="1" a="1"/>
  <c r="W85" i="1" s="1"/>
  <c r="V85" i="1"/>
  <c r="EL84" i="1"/>
  <c r="EK84" i="1"/>
  <c r="EJ84" i="1"/>
  <c r="EI84" i="1"/>
  <c r="EH84" i="1"/>
  <c r="EG84" i="1"/>
  <c r="EF84" i="1"/>
  <c r="EE84" i="1"/>
  <c r="ED84" i="1"/>
  <c r="EC84" i="1"/>
  <c r="EB84" i="1"/>
  <c r="EA84" i="1"/>
  <c r="DZ84" i="1"/>
  <c r="DY84" i="1"/>
  <c r="DX84" i="1"/>
  <c r="DW84" i="1"/>
  <c r="DV84" i="1"/>
  <c r="DU84" i="1"/>
  <c r="DT84" i="1"/>
  <c r="DS84" i="1"/>
  <c r="DR84" i="1"/>
  <c r="DQ84" i="1"/>
  <c r="DP84" i="1"/>
  <c r="DO84" i="1"/>
  <c r="DN84" i="1"/>
  <c r="DM84" i="1"/>
  <c r="DL84" i="1"/>
  <c r="DK84" i="1"/>
  <c r="DJ84" i="1"/>
  <c r="DI84" i="1"/>
  <c r="DH84" i="1"/>
  <c r="DG84" i="1"/>
  <c r="DF84" i="1"/>
  <c r="CX84" i="1"/>
  <c r="CW84" i="1"/>
  <c r="CV84" i="1"/>
  <c r="CU84" i="1"/>
  <c r="CT84" i="1"/>
  <c r="CS84" i="1"/>
  <c r="CR84" i="1"/>
  <c r="CQ84" i="1"/>
  <c r="CP84" i="1"/>
  <c r="CO84" i="1"/>
  <c r="CN84" i="1"/>
  <c r="CL84" i="1"/>
  <c r="CK84" i="1"/>
  <c r="CJ84" i="1"/>
  <c r="CI84" i="1"/>
  <c r="CH84" i="1"/>
  <c r="CG84" i="1"/>
  <c r="AD84" i="1"/>
  <c r="AC84" i="1"/>
  <c r="AB84" i="1"/>
  <c r="AE84" i="1" s="1"/>
  <c r="AA84" i="1"/>
  <c r="Z84" i="1"/>
  <c r="AV69" i="1" s="1"/>
  <c r="W84" i="1" a="1"/>
  <c r="W84" i="1" s="1"/>
  <c r="X84" i="1" s="1"/>
  <c r="V84" i="1"/>
  <c r="EL83" i="1"/>
  <c r="EK83" i="1"/>
  <c r="EJ83" i="1"/>
  <c r="EI83" i="1"/>
  <c r="EH83" i="1"/>
  <c r="EG83" i="1"/>
  <c r="EF83" i="1"/>
  <c r="EE83" i="1"/>
  <c r="ED83" i="1"/>
  <c r="EC83" i="1"/>
  <c r="EB83" i="1"/>
  <c r="EA83" i="1"/>
  <c r="DZ83" i="1"/>
  <c r="DY83" i="1"/>
  <c r="DX83" i="1"/>
  <c r="DW83" i="1"/>
  <c r="DV83" i="1"/>
  <c r="DU83" i="1"/>
  <c r="DT83" i="1"/>
  <c r="DS83" i="1"/>
  <c r="DR83" i="1"/>
  <c r="DQ83" i="1"/>
  <c r="DP83" i="1"/>
  <c r="DO83" i="1"/>
  <c r="DN83" i="1"/>
  <c r="DM83" i="1"/>
  <c r="DL83" i="1"/>
  <c r="DK83" i="1"/>
  <c r="DJ83" i="1"/>
  <c r="DI83" i="1"/>
  <c r="DH83" i="1"/>
  <c r="DG83" i="1"/>
  <c r="DF83" i="1"/>
  <c r="CX83" i="1"/>
  <c r="CW83" i="1"/>
  <c r="CV83" i="1"/>
  <c r="CU83" i="1"/>
  <c r="CT83" i="1"/>
  <c r="CS83" i="1"/>
  <c r="CR83" i="1"/>
  <c r="CQ83" i="1"/>
  <c r="CP83" i="1"/>
  <c r="CO83" i="1"/>
  <c r="CN83" i="1"/>
  <c r="CM83" i="1"/>
  <c r="CK83" i="1"/>
  <c r="CJ83" i="1"/>
  <c r="CI83" i="1"/>
  <c r="CH83" i="1"/>
  <c r="CG83" i="1"/>
  <c r="AD83" i="1"/>
  <c r="AC83" i="1"/>
  <c r="AB83" i="1"/>
  <c r="AE83" i="1" s="1"/>
  <c r="AA83" i="1"/>
  <c r="Z83" i="1"/>
  <c r="AV68" i="1" s="1"/>
  <c r="W83" i="1" a="1"/>
  <c r="W83" i="1" s="1"/>
  <c r="X83" i="1" s="1"/>
  <c r="V83" i="1"/>
  <c r="EL82" i="1"/>
  <c r="EK82" i="1"/>
  <c r="EJ82" i="1"/>
  <c r="EI82" i="1"/>
  <c r="EH82" i="1"/>
  <c r="EG82" i="1"/>
  <c r="EF82" i="1"/>
  <c r="EE82" i="1"/>
  <c r="ED82" i="1"/>
  <c r="EC82" i="1"/>
  <c r="EB82" i="1"/>
  <c r="EA82" i="1"/>
  <c r="DZ82" i="1"/>
  <c r="DY82" i="1"/>
  <c r="DX82" i="1"/>
  <c r="DW82" i="1"/>
  <c r="DV82" i="1"/>
  <c r="DU82" i="1"/>
  <c r="DT82" i="1"/>
  <c r="DS82" i="1"/>
  <c r="DR82" i="1"/>
  <c r="DQ82" i="1"/>
  <c r="DP82" i="1"/>
  <c r="DO82" i="1"/>
  <c r="DN82" i="1"/>
  <c r="DM82" i="1"/>
  <c r="DL82" i="1"/>
  <c r="DK82" i="1"/>
  <c r="DJ82" i="1"/>
  <c r="DI82" i="1"/>
  <c r="DH82" i="1"/>
  <c r="DG82" i="1"/>
  <c r="DF82" i="1"/>
  <c r="CX82" i="1"/>
  <c r="CW82" i="1"/>
  <c r="CV82" i="1"/>
  <c r="CU82" i="1"/>
  <c r="CT82" i="1"/>
  <c r="CS82" i="1"/>
  <c r="CR82" i="1"/>
  <c r="CQ82" i="1"/>
  <c r="CP82" i="1"/>
  <c r="CO82" i="1"/>
  <c r="CN82" i="1"/>
  <c r="CM82" i="1"/>
  <c r="CK82" i="1"/>
  <c r="CJ82" i="1"/>
  <c r="CI82" i="1"/>
  <c r="CH82" i="1"/>
  <c r="CG82" i="1"/>
  <c r="AD82" i="1"/>
  <c r="AC82" i="1"/>
  <c r="AB82" i="1"/>
  <c r="AE82" i="1" s="1"/>
  <c r="AA82" i="1"/>
  <c r="Z82" i="1"/>
  <c r="AV67" i="1" s="1"/>
  <c r="W82" i="1" a="1"/>
  <c r="W82" i="1" s="1"/>
  <c r="X82" i="1" s="1"/>
  <c r="V82" i="1"/>
  <c r="EL81" i="1"/>
  <c r="EK81" i="1"/>
  <c r="EJ81" i="1"/>
  <c r="EI81" i="1"/>
  <c r="EH81" i="1"/>
  <c r="EG81" i="1"/>
  <c r="EF81" i="1"/>
  <c r="EE81" i="1"/>
  <c r="ED81" i="1"/>
  <c r="EC81" i="1"/>
  <c r="EB81" i="1"/>
  <c r="EA81" i="1"/>
  <c r="DZ81" i="1"/>
  <c r="DY81" i="1"/>
  <c r="DX81" i="1"/>
  <c r="DW81" i="1"/>
  <c r="DV81" i="1"/>
  <c r="DU81" i="1"/>
  <c r="DT81" i="1"/>
  <c r="DS81" i="1"/>
  <c r="DR81" i="1"/>
  <c r="DQ81" i="1"/>
  <c r="DP81" i="1"/>
  <c r="DO81" i="1"/>
  <c r="DN81" i="1"/>
  <c r="DM81" i="1"/>
  <c r="DL81" i="1"/>
  <c r="DK81" i="1"/>
  <c r="DJ81" i="1"/>
  <c r="DI81" i="1"/>
  <c r="DH81" i="1"/>
  <c r="DG81" i="1"/>
  <c r="DF81" i="1"/>
  <c r="CX81" i="1"/>
  <c r="CW81" i="1"/>
  <c r="CV81" i="1"/>
  <c r="CU81" i="1"/>
  <c r="CT81" i="1"/>
  <c r="CS81" i="1"/>
  <c r="CR81" i="1"/>
  <c r="CQ81" i="1"/>
  <c r="CP81" i="1"/>
  <c r="CO81" i="1"/>
  <c r="CN81" i="1"/>
  <c r="CM81" i="1"/>
  <c r="CL81" i="1"/>
  <c r="CK81" i="1"/>
  <c r="CJ81" i="1"/>
  <c r="CI81" i="1"/>
  <c r="CH81" i="1"/>
  <c r="CG81" i="1"/>
  <c r="AD81" i="1"/>
  <c r="AC81" i="1"/>
  <c r="AB81" i="1"/>
  <c r="AE81" i="1" s="1"/>
  <c r="AA81" i="1"/>
  <c r="Z81" i="1"/>
  <c r="AV66" i="1" s="1"/>
  <c r="W81" i="1" a="1"/>
  <c r="W81" i="1" s="1"/>
  <c r="Y81" i="1" s="1"/>
  <c r="V81" i="1"/>
  <c r="EL80" i="1"/>
  <c r="EK80" i="1"/>
  <c r="EJ80" i="1"/>
  <c r="EI80" i="1"/>
  <c r="EH80" i="1"/>
  <c r="EG80" i="1"/>
  <c r="EF80" i="1"/>
  <c r="EE80" i="1"/>
  <c r="ED80" i="1"/>
  <c r="EC80" i="1"/>
  <c r="EB80" i="1"/>
  <c r="EA80" i="1"/>
  <c r="DZ80" i="1"/>
  <c r="DY80" i="1"/>
  <c r="DX80" i="1"/>
  <c r="DW80" i="1"/>
  <c r="DV80" i="1"/>
  <c r="DU80" i="1"/>
  <c r="DT80" i="1"/>
  <c r="DS80" i="1"/>
  <c r="DR80" i="1"/>
  <c r="DQ80" i="1"/>
  <c r="DP80" i="1"/>
  <c r="DO80" i="1"/>
  <c r="DN80" i="1"/>
  <c r="DM80" i="1"/>
  <c r="DL80" i="1"/>
  <c r="DK80" i="1"/>
  <c r="DJ80" i="1"/>
  <c r="DI80" i="1"/>
  <c r="DH80" i="1"/>
  <c r="DG80" i="1"/>
  <c r="DF80" i="1"/>
  <c r="CX80" i="1"/>
  <c r="CW80" i="1"/>
  <c r="CV80" i="1"/>
  <c r="CU80" i="1"/>
  <c r="CT80" i="1"/>
  <c r="CS80" i="1"/>
  <c r="CR80" i="1"/>
  <c r="CQ80" i="1"/>
  <c r="CP80" i="1"/>
  <c r="CO80" i="1"/>
  <c r="CN80" i="1"/>
  <c r="CL80" i="1"/>
  <c r="CK80" i="1"/>
  <c r="CJ80" i="1"/>
  <c r="CI80" i="1"/>
  <c r="CH80" i="1"/>
  <c r="CG80" i="1"/>
  <c r="AD80" i="1"/>
  <c r="AC80" i="1"/>
  <c r="AB80" i="1"/>
  <c r="AE80" i="1" s="1"/>
  <c r="AA80" i="1"/>
  <c r="Z80" i="1"/>
  <c r="W80" i="1" a="1"/>
  <c r="W80" i="1" s="1"/>
  <c r="V80" i="1"/>
  <c r="EL79" i="1"/>
  <c r="EK79" i="1"/>
  <c r="EJ79" i="1"/>
  <c r="EI79" i="1"/>
  <c r="EH79" i="1"/>
  <c r="EG79" i="1"/>
  <c r="EF79" i="1"/>
  <c r="EE79" i="1"/>
  <c r="ED79" i="1"/>
  <c r="EC79" i="1"/>
  <c r="EB79" i="1"/>
  <c r="EA79" i="1"/>
  <c r="DZ79" i="1"/>
  <c r="DY79" i="1"/>
  <c r="DX79" i="1"/>
  <c r="DW79" i="1"/>
  <c r="DV79" i="1"/>
  <c r="DU79" i="1"/>
  <c r="DT79" i="1"/>
  <c r="DS79" i="1"/>
  <c r="DR79" i="1"/>
  <c r="DQ79" i="1"/>
  <c r="DP79" i="1"/>
  <c r="DO79" i="1"/>
  <c r="DN79" i="1"/>
  <c r="DM79" i="1"/>
  <c r="DL79" i="1"/>
  <c r="DK79" i="1"/>
  <c r="DJ79" i="1"/>
  <c r="DI79" i="1"/>
  <c r="DH79" i="1"/>
  <c r="DG79" i="1"/>
  <c r="DF79" i="1"/>
  <c r="CX79" i="1"/>
  <c r="CW79" i="1"/>
  <c r="CV79" i="1"/>
  <c r="CU79" i="1"/>
  <c r="CT79" i="1"/>
  <c r="CS79" i="1"/>
  <c r="CR79" i="1"/>
  <c r="CQ79" i="1"/>
  <c r="CP79" i="1"/>
  <c r="CO79" i="1"/>
  <c r="CN79" i="1"/>
  <c r="CK79" i="1"/>
  <c r="CJ79" i="1"/>
  <c r="CI79" i="1"/>
  <c r="CH79" i="1"/>
  <c r="CG79" i="1"/>
  <c r="AD79" i="1"/>
  <c r="AC79" i="1"/>
  <c r="AB79" i="1"/>
  <c r="AE79" i="1" s="1"/>
  <c r="AA79" i="1"/>
  <c r="Z79" i="1"/>
  <c r="AV64" i="1" s="1"/>
  <c r="W79" i="1" a="1"/>
  <c r="W79" i="1" s="1"/>
  <c r="Y79" i="1" s="1"/>
  <c r="V79" i="1"/>
  <c r="EL78" i="1"/>
  <c r="EK78" i="1"/>
  <c r="EJ78" i="1"/>
  <c r="EI78" i="1"/>
  <c r="EH78" i="1"/>
  <c r="EG78" i="1"/>
  <c r="EF78" i="1"/>
  <c r="EE78" i="1"/>
  <c r="ED78" i="1"/>
  <c r="EC78" i="1"/>
  <c r="EB78" i="1"/>
  <c r="EA78" i="1"/>
  <c r="DZ78" i="1"/>
  <c r="DY78" i="1"/>
  <c r="DX78" i="1"/>
  <c r="DW78" i="1"/>
  <c r="DV78" i="1"/>
  <c r="DU78" i="1"/>
  <c r="DT78" i="1"/>
  <c r="DS78" i="1"/>
  <c r="DR78" i="1"/>
  <c r="DQ78" i="1"/>
  <c r="DP78" i="1"/>
  <c r="DO78" i="1"/>
  <c r="DN78" i="1"/>
  <c r="DM78" i="1"/>
  <c r="DL78" i="1"/>
  <c r="DK78" i="1"/>
  <c r="DJ78" i="1"/>
  <c r="DI78" i="1"/>
  <c r="DH78" i="1"/>
  <c r="DG78" i="1"/>
  <c r="DF78" i="1"/>
  <c r="CX78" i="1"/>
  <c r="CW78" i="1"/>
  <c r="CV78" i="1"/>
  <c r="CU78" i="1"/>
  <c r="CT78" i="1"/>
  <c r="CS78" i="1"/>
  <c r="CR78" i="1"/>
  <c r="CQ78" i="1"/>
  <c r="CP78" i="1"/>
  <c r="CO78" i="1"/>
  <c r="CN78" i="1"/>
  <c r="CM78" i="1"/>
  <c r="CK78" i="1"/>
  <c r="CJ78" i="1"/>
  <c r="CI78" i="1"/>
  <c r="CH78" i="1"/>
  <c r="CG78" i="1"/>
  <c r="AD78" i="1"/>
  <c r="AC78" i="1"/>
  <c r="AB78" i="1"/>
  <c r="AE78" i="1" s="1"/>
  <c r="AA78" i="1"/>
  <c r="Z78" i="1"/>
  <c r="AV63" i="1" s="1"/>
  <c r="W78" i="1" a="1"/>
  <c r="W78" i="1" s="1"/>
  <c r="V78" i="1"/>
  <c r="EL77" i="1"/>
  <c r="EK77" i="1"/>
  <c r="EJ77" i="1"/>
  <c r="EI77" i="1"/>
  <c r="EH77" i="1"/>
  <c r="EG77" i="1"/>
  <c r="EF77" i="1"/>
  <c r="EE77" i="1"/>
  <c r="ED77" i="1"/>
  <c r="EC77" i="1"/>
  <c r="EB77" i="1"/>
  <c r="EA77" i="1"/>
  <c r="DZ77" i="1"/>
  <c r="DY77" i="1"/>
  <c r="DX77" i="1"/>
  <c r="DW77" i="1"/>
  <c r="DV77" i="1"/>
  <c r="DU77" i="1"/>
  <c r="DT77" i="1"/>
  <c r="DS77" i="1"/>
  <c r="DR77" i="1"/>
  <c r="DQ77" i="1"/>
  <c r="DP77" i="1"/>
  <c r="DO77" i="1"/>
  <c r="DN77" i="1"/>
  <c r="DM77" i="1"/>
  <c r="DL77" i="1"/>
  <c r="DK77" i="1"/>
  <c r="DJ77" i="1"/>
  <c r="DI77" i="1"/>
  <c r="DH77" i="1"/>
  <c r="DG77" i="1"/>
  <c r="DF77" i="1"/>
  <c r="CX77" i="1"/>
  <c r="CW77" i="1"/>
  <c r="CV77" i="1"/>
  <c r="CU77" i="1"/>
  <c r="CT77" i="1"/>
  <c r="CS77" i="1"/>
  <c r="CR77" i="1"/>
  <c r="CQ77" i="1"/>
  <c r="CP77" i="1"/>
  <c r="CO77" i="1"/>
  <c r="CN77" i="1"/>
  <c r="CL77" i="1"/>
  <c r="CK77" i="1"/>
  <c r="CJ77" i="1"/>
  <c r="CI77" i="1"/>
  <c r="CH77" i="1"/>
  <c r="CG77" i="1"/>
  <c r="AD77" i="1"/>
  <c r="AC77" i="1"/>
  <c r="AB77" i="1"/>
  <c r="AE77" i="1" s="1"/>
  <c r="AA77" i="1"/>
  <c r="Z77" i="1"/>
  <c r="AV62" i="1" s="1"/>
  <c r="W77" i="1" a="1"/>
  <c r="W77" i="1" s="1"/>
  <c r="V77" i="1"/>
  <c r="EL76" i="1"/>
  <c r="EK76" i="1"/>
  <c r="EJ76" i="1"/>
  <c r="EI76" i="1"/>
  <c r="EH76" i="1"/>
  <c r="EG76" i="1"/>
  <c r="EF76" i="1"/>
  <c r="EE76" i="1"/>
  <c r="ED76" i="1"/>
  <c r="EC76" i="1"/>
  <c r="EB76" i="1"/>
  <c r="EA76" i="1"/>
  <c r="DZ76" i="1"/>
  <c r="DY76" i="1"/>
  <c r="DX76" i="1"/>
  <c r="DW76" i="1"/>
  <c r="DV76" i="1"/>
  <c r="DU76" i="1"/>
  <c r="DT76" i="1"/>
  <c r="DS76" i="1"/>
  <c r="DR76" i="1"/>
  <c r="DQ76" i="1"/>
  <c r="DP76" i="1"/>
  <c r="DO76" i="1"/>
  <c r="DN76" i="1"/>
  <c r="DM76" i="1"/>
  <c r="DL76" i="1"/>
  <c r="DK76" i="1"/>
  <c r="DJ76" i="1"/>
  <c r="DI76" i="1"/>
  <c r="DH76" i="1"/>
  <c r="DG76" i="1"/>
  <c r="DF76" i="1"/>
  <c r="CX76" i="1"/>
  <c r="CW76" i="1"/>
  <c r="CV76" i="1"/>
  <c r="CU76" i="1"/>
  <c r="CT76" i="1"/>
  <c r="CS76" i="1"/>
  <c r="CR76" i="1"/>
  <c r="CQ76" i="1"/>
  <c r="CP76" i="1"/>
  <c r="CO76" i="1"/>
  <c r="CN76" i="1"/>
  <c r="CL76" i="1"/>
  <c r="CK76" i="1"/>
  <c r="CJ76" i="1"/>
  <c r="CI76" i="1"/>
  <c r="CH76" i="1"/>
  <c r="CG76" i="1"/>
  <c r="EL75" i="1"/>
  <c r="EK75" i="1"/>
  <c r="EJ75" i="1"/>
  <c r="EI75" i="1"/>
  <c r="EH75" i="1"/>
  <c r="EG75" i="1"/>
  <c r="EF75" i="1"/>
  <c r="EE75" i="1"/>
  <c r="ED75" i="1"/>
  <c r="EC75" i="1"/>
  <c r="EB75" i="1"/>
  <c r="EA75" i="1"/>
  <c r="DZ75" i="1"/>
  <c r="DY75" i="1"/>
  <c r="DX75" i="1"/>
  <c r="DW75" i="1"/>
  <c r="DV75" i="1"/>
  <c r="DU75" i="1"/>
  <c r="DT75" i="1"/>
  <c r="DS75" i="1"/>
  <c r="DR75" i="1"/>
  <c r="DQ75" i="1"/>
  <c r="DP75" i="1"/>
  <c r="DO75" i="1"/>
  <c r="DN75" i="1"/>
  <c r="DM75" i="1"/>
  <c r="DL75" i="1"/>
  <c r="DK75" i="1"/>
  <c r="DJ75" i="1"/>
  <c r="DI75" i="1"/>
  <c r="DH75" i="1"/>
  <c r="DG75" i="1"/>
  <c r="DF75" i="1"/>
  <c r="CX75" i="1"/>
  <c r="CW75" i="1"/>
  <c r="CV75" i="1"/>
  <c r="CU75" i="1"/>
  <c r="CT75" i="1"/>
  <c r="CS75" i="1"/>
  <c r="CR75" i="1"/>
  <c r="CQ75" i="1"/>
  <c r="CP75" i="1"/>
  <c r="CO75" i="1"/>
  <c r="CN75" i="1"/>
  <c r="CK75" i="1"/>
  <c r="CJ75" i="1"/>
  <c r="CI75" i="1"/>
  <c r="CH75" i="1"/>
  <c r="CG75" i="1"/>
  <c r="EL74" i="1"/>
  <c r="EK74" i="1"/>
  <c r="EJ74" i="1"/>
  <c r="EI74" i="1"/>
  <c r="EH74" i="1"/>
  <c r="EG74" i="1"/>
  <c r="EF74" i="1"/>
  <c r="EE74" i="1"/>
  <c r="ED74" i="1"/>
  <c r="EC74" i="1"/>
  <c r="EB74" i="1"/>
  <c r="EA74" i="1"/>
  <c r="DZ74" i="1"/>
  <c r="DY74" i="1"/>
  <c r="DX74" i="1"/>
  <c r="DW74" i="1"/>
  <c r="DV74" i="1"/>
  <c r="DU74" i="1"/>
  <c r="DT74" i="1"/>
  <c r="DS74" i="1"/>
  <c r="DR74" i="1"/>
  <c r="DQ74" i="1"/>
  <c r="DP74" i="1"/>
  <c r="DO74" i="1"/>
  <c r="DN74" i="1"/>
  <c r="DM74" i="1"/>
  <c r="DL74" i="1"/>
  <c r="DK74" i="1"/>
  <c r="DJ74" i="1"/>
  <c r="DI74" i="1"/>
  <c r="DH74" i="1"/>
  <c r="DG74" i="1"/>
  <c r="DF74" i="1"/>
  <c r="CX74" i="1"/>
  <c r="CW74" i="1"/>
  <c r="CV74" i="1"/>
  <c r="CU74" i="1"/>
  <c r="CT74" i="1"/>
  <c r="CS74" i="1"/>
  <c r="CR74" i="1"/>
  <c r="CQ74" i="1"/>
  <c r="CP74" i="1"/>
  <c r="CO74" i="1"/>
  <c r="CN74" i="1"/>
  <c r="CL74" i="1"/>
  <c r="CK74" i="1"/>
  <c r="CJ74" i="1"/>
  <c r="CI74" i="1"/>
  <c r="CH74" i="1"/>
  <c r="CG74" i="1"/>
  <c r="AC74" i="1"/>
  <c r="CM34" i="1" s="1"/>
  <c r="AB74" i="1"/>
  <c r="CL34" i="1" s="1"/>
  <c r="EL73" i="1"/>
  <c r="EK73" i="1"/>
  <c r="EJ73" i="1"/>
  <c r="EI73" i="1"/>
  <c r="EH73" i="1"/>
  <c r="EG73" i="1"/>
  <c r="EF73" i="1"/>
  <c r="EE73" i="1"/>
  <c r="ED73" i="1"/>
  <c r="EC73" i="1"/>
  <c r="EB73" i="1"/>
  <c r="EA73" i="1"/>
  <c r="DZ73" i="1"/>
  <c r="DY73" i="1"/>
  <c r="DX73" i="1"/>
  <c r="DW73" i="1"/>
  <c r="DV73" i="1"/>
  <c r="DU73" i="1"/>
  <c r="DT73" i="1"/>
  <c r="DS73" i="1"/>
  <c r="DR73" i="1"/>
  <c r="DQ73" i="1"/>
  <c r="DP73" i="1"/>
  <c r="DO73" i="1"/>
  <c r="DN73" i="1"/>
  <c r="DM73" i="1"/>
  <c r="DL73" i="1"/>
  <c r="DK73" i="1"/>
  <c r="DJ73" i="1"/>
  <c r="DI73" i="1"/>
  <c r="DH73" i="1"/>
  <c r="DG73" i="1"/>
  <c r="DF73" i="1"/>
  <c r="CX73" i="1"/>
  <c r="CW73" i="1"/>
  <c r="CV73" i="1"/>
  <c r="CU73" i="1"/>
  <c r="CT73" i="1"/>
  <c r="CS73" i="1"/>
  <c r="CR73" i="1"/>
  <c r="CQ73" i="1"/>
  <c r="CP73" i="1"/>
  <c r="CO73" i="1"/>
  <c r="CN73" i="1"/>
  <c r="CM73" i="1"/>
  <c r="CK73" i="1"/>
  <c r="CJ73" i="1"/>
  <c r="CI73" i="1"/>
  <c r="CH73" i="1"/>
  <c r="CG73" i="1"/>
  <c r="AW73" i="1"/>
  <c r="AQ73" i="1"/>
  <c r="AC73" i="1"/>
  <c r="CM33" i="1" s="1"/>
  <c r="AB73" i="1"/>
  <c r="CL33" i="1" s="1"/>
  <c r="EL72" i="1"/>
  <c r="EK72" i="1"/>
  <c r="EJ72" i="1"/>
  <c r="EI72" i="1"/>
  <c r="EH72" i="1"/>
  <c r="EG72" i="1"/>
  <c r="EF72" i="1"/>
  <c r="EE72" i="1"/>
  <c r="ED72" i="1"/>
  <c r="EC72" i="1"/>
  <c r="EB72" i="1"/>
  <c r="EA72" i="1"/>
  <c r="DZ72" i="1"/>
  <c r="DY72" i="1"/>
  <c r="DX72" i="1"/>
  <c r="DW72" i="1"/>
  <c r="DV72" i="1"/>
  <c r="DU72" i="1"/>
  <c r="DT72" i="1"/>
  <c r="DS72" i="1"/>
  <c r="DR72" i="1"/>
  <c r="DQ72" i="1"/>
  <c r="DP72" i="1"/>
  <c r="DO72" i="1"/>
  <c r="DN72" i="1"/>
  <c r="DM72" i="1"/>
  <c r="DL72" i="1"/>
  <c r="DK72" i="1"/>
  <c r="DJ72" i="1"/>
  <c r="DI72" i="1"/>
  <c r="DH72" i="1"/>
  <c r="DG72" i="1"/>
  <c r="DF72" i="1"/>
  <c r="CX72" i="1"/>
  <c r="CW72" i="1"/>
  <c r="CV72" i="1"/>
  <c r="CU72" i="1"/>
  <c r="CT72" i="1"/>
  <c r="CS72" i="1"/>
  <c r="CR72" i="1"/>
  <c r="CQ72" i="1"/>
  <c r="CP72" i="1"/>
  <c r="CO72" i="1"/>
  <c r="CN72" i="1"/>
  <c r="CK72" i="1"/>
  <c r="CJ72" i="1"/>
  <c r="CI72" i="1"/>
  <c r="CH72" i="1"/>
  <c r="CG72" i="1"/>
  <c r="AW72" i="1"/>
  <c r="AT72" i="1" s="1"/>
  <c r="AZ93" i="1" s="1" a="1"/>
  <c r="AZ93" i="1" s="1"/>
  <c r="AQ72" i="1"/>
  <c r="AC72" i="1"/>
  <c r="CM32" i="1" s="1"/>
  <c r="AB72" i="1"/>
  <c r="CL32" i="1" s="1"/>
  <c r="EL71" i="1"/>
  <c r="EK71" i="1"/>
  <c r="EJ71" i="1"/>
  <c r="EI71" i="1"/>
  <c r="EH71" i="1"/>
  <c r="EG71" i="1"/>
  <c r="EF71" i="1"/>
  <c r="EE71" i="1"/>
  <c r="ED71" i="1"/>
  <c r="EC71" i="1"/>
  <c r="EB71" i="1"/>
  <c r="EA71" i="1"/>
  <c r="DZ71" i="1"/>
  <c r="DY71" i="1"/>
  <c r="DX71" i="1"/>
  <c r="DW71" i="1"/>
  <c r="DV71" i="1"/>
  <c r="DU71" i="1"/>
  <c r="DT71" i="1"/>
  <c r="DS71" i="1"/>
  <c r="DR71" i="1"/>
  <c r="DQ71" i="1"/>
  <c r="DP71" i="1"/>
  <c r="DO71" i="1"/>
  <c r="DN71" i="1"/>
  <c r="DM71" i="1"/>
  <c r="DL71" i="1"/>
  <c r="DK71" i="1"/>
  <c r="DJ71" i="1"/>
  <c r="DI71" i="1"/>
  <c r="DH71" i="1"/>
  <c r="DG71" i="1"/>
  <c r="DF71" i="1"/>
  <c r="CX71" i="1"/>
  <c r="CW71" i="1"/>
  <c r="CV71" i="1"/>
  <c r="CU71" i="1"/>
  <c r="CT71" i="1"/>
  <c r="CS71" i="1"/>
  <c r="CR71" i="1"/>
  <c r="CQ71" i="1"/>
  <c r="CP71" i="1"/>
  <c r="CO71" i="1"/>
  <c r="CN71" i="1"/>
  <c r="CL71" i="1"/>
  <c r="CK71" i="1"/>
  <c r="CJ71" i="1"/>
  <c r="CI71" i="1"/>
  <c r="CH71" i="1"/>
  <c r="CG71" i="1"/>
  <c r="AW71" i="1"/>
  <c r="AR71" i="1" s="1"/>
  <c r="AQ71" i="1"/>
  <c r="AC71" i="1"/>
  <c r="AB71" i="1"/>
  <c r="CL31" i="1" s="1"/>
  <c r="EL70" i="1"/>
  <c r="EK70" i="1"/>
  <c r="EJ70" i="1"/>
  <c r="EI70" i="1"/>
  <c r="EH70" i="1"/>
  <c r="EG70" i="1"/>
  <c r="EF70" i="1"/>
  <c r="EE70" i="1"/>
  <c r="ED70" i="1"/>
  <c r="EC70" i="1"/>
  <c r="EB70" i="1"/>
  <c r="EA70" i="1"/>
  <c r="DZ70" i="1"/>
  <c r="DY70" i="1"/>
  <c r="DX70" i="1"/>
  <c r="DW70" i="1"/>
  <c r="DV70" i="1"/>
  <c r="DU70" i="1"/>
  <c r="DT70" i="1"/>
  <c r="DS70" i="1"/>
  <c r="DR70" i="1"/>
  <c r="DQ70" i="1"/>
  <c r="DP70" i="1"/>
  <c r="DO70" i="1"/>
  <c r="DN70" i="1"/>
  <c r="DM70" i="1"/>
  <c r="DL70" i="1"/>
  <c r="DK70" i="1"/>
  <c r="DJ70" i="1"/>
  <c r="DI70" i="1"/>
  <c r="DH70" i="1"/>
  <c r="DG70" i="1"/>
  <c r="DF70" i="1"/>
  <c r="CX70" i="1"/>
  <c r="CW70" i="1"/>
  <c r="CV70" i="1"/>
  <c r="CU70" i="1"/>
  <c r="CT70" i="1"/>
  <c r="CS70" i="1"/>
  <c r="CR70" i="1"/>
  <c r="CQ70" i="1"/>
  <c r="CP70" i="1"/>
  <c r="CO70" i="1"/>
  <c r="CN70" i="1"/>
  <c r="CK70" i="1"/>
  <c r="CJ70" i="1"/>
  <c r="CI70" i="1"/>
  <c r="CH70" i="1"/>
  <c r="CG70" i="1"/>
  <c r="AW70" i="1"/>
  <c r="AU70" i="1"/>
  <c r="AQ70" i="1"/>
  <c r="AC70" i="1"/>
  <c r="CM30" i="1" s="1"/>
  <c r="AB70" i="1"/>
  <c r="CL30" i="1" s="1"/>
  <c r="EL69" i="1"/>
  <c r="EK69" i="1"/>
  <c r="EJ69" i="1"/>
  <c r="EI69" i="1"/>
  <c r="EH69" i="1"/>
  <c r="EG69" i="1"/>
  <c r="EF69" i="1"/>
  <c r="EE69" i="1"/>
  <c r="ED69" i="1"/>
  <c r="EC69" i="1"/>
  <c r="EB69" i="1"/>
  <c r="EA69" i="1"/>
  <c r="DZ69" i="1"/>
  <c r="DY69" i="1"/>
  <c r="DX69" i="1"/>
  <c r="DW69" i="1"/>
  <c r="DV69" i="1"/>
  <c r="DU69" i="1"/>
  <c r="DT69" i="1"/>
  <c r="DS69" i="1"/>
  <c r="DR69" i="1"/>
  <c r="DQ69" i="1"/>
  <c r="DP69" i="1"/>
  <c r="DO69" i="1"/>
  <c r="DN69" i="1"/>
  <c r="DM69" i="1"/>
  <c r="DL69" i="1"/>
  <c r="DK69" i="1"/>
  <c r="DJ69" i="1"/>
  <c r="DI69" i="1"/>
  <c r="DH69" i="1"/>
  <c r="DG69" i="1"/>
  <c r="DF69" i="1"/>
  <c r="CX69" i="1"/>
  <c r="CW69" i="1"/>
  <c r="CV69" i="1"/>
  <c r="CU69" i="1"/>
  <c r="CT69" i="1"/>
  <c r="CS69" i="1"/>
  <c r="CR69" i="1"/>
  <c r="CQ69" i="1"/>
  <c r="CP69" i="1"/>
  <c r="CO69" i="1"/>
  <c r="CN69" i="1"/>
  <c r="CK69" i="1"/>
  <c r="CJ69" i="1"/>
  <c r="CI69" i="1"/>
  <c r="CH69" i="1"/>
  <c r="CG69" i="1"/>
  <c r="AW69" i="1"/>
  <c r="AQ69" i="1"/>
  <c r="AC69" i="1"/>
  <c r="CM29" i="1" s="1"/>
  <c r="AB69" i="1"/>
  <c r="EL68" i="1"/>
  <c r="EK68" i="1"/>
  <c r="EJ68" i="1"/>
  <c r="EI68" i="1"/>
  <c r="EH68" i="1"/>
  <c r="EG68" i="1"/>
  <c r="EF68" i="1"/>
  <c r="EE68" i="1"/>
  <c r="ED68" i="1"/>
  <c r="EC68" i="1"/>
  <c r="EB68" i="1"/>
  <c r="EA68" i="1"/>
  <c r="DZ68" i="1"/>
  <c r="DY68" i="1"/>
  <c r="DX68" i="1"/>
  <c r="DW68" i="1"/>
  <c r="DV68" i="1"/>
  <c r="DU68" i="1"/>
  <c r="DT68" i="1"/>
  <c r="DS68" i="1"/>
  <c r="DR68" i="1"/>
  <c r="DQ68" i="1"/>
  <c r="DP68" i="1"/>
  <c r="DO68" i="1"/>
  <c r="DN68" i="1"/>
  <c r="DM68" i="1"/>
  <c r="DL68" i="1"/>
  <c r="DK68" i="1"/>
  <c r="DJ68" i="1"/>
  <c r="DI68" i="1"/>
  <c r="DH68" i="1"/>
  <c r="DG68" i="1"/>
  <c r="DF68" i="1"/>
  <c r="CX68" i="1"/>
  <c r="CW68" i="1"/>
  <c r="CV68" i="1"/>
  <c r="CU68" i="1"/>
  <c r="CT68" i="1"/>
  <c r="CS68" i="1"/>
  <c r="CR68" i="1"/>
  <c r="CQ68" i="1"/>
  <c r="CP68" i="1"/>
  <c r="CO68" i="1"/>
  <c r="CN68" i="1"/>
  <c r="CM68" i="1"/>
  <c r="CL68" i="1"/>
  <c r="CK68" i="1"/>
  <c r="CJ68" i="1"/>
  <c r="CI68" i="1"/>
  <c r="CH68" i="1"/>
  <c r="CG68" i="1"/>
  <c r="AW68" i="1"/>
  <c r="AQ68" i="1"/>
  <c r="AC68" i="1"/>
  <c r="AB68" i="1"/>
  <c r="EL67" i="1"/>
  <c r="EK67" i="1"/>
  <c r="EJ67" i="1"/>
  <c r="EI67" i="1"/>
  <c r="EH67" i="1"/>
  <c r="EG67" i="1"/>
  <c r="EF67" i="1"/>
  <c r="EE67" i="1"/>
  <c r="ED67" i="1"/>
  <c r="EC67" i="1"/>
  <c r="EB67" i="1"/>
  <c r="EA67" i="1"/>
  <c r="DZ67" i="1"/>
  <c r="DY67" i="1"/>
  <c r="DX67" i="1"/>
  <c r="DW67" i="1"/>
  <c r="DV67" i="1"/>
  <c r="DU67" i="1"/>
  <c r="DT67" i="1"/>
  <c r="DS67" i="1"/>
  <c r="DR67" i="1"/>
  <c r="DQ67" i="1"/>
  <c r="DP67" i="1"/>
  <c r="DO67" i="1"/>
  <c r="DN67" i="1"/>
  <c r="DM67" i="1"/>
  <c r="DL67" i="1"/>
  <c r="DK67" i="1"/>
  <c r="DJ67" i="1"/>
  <c r="DI67" i="1"/>
  <c r="DH67" i="1"/>
  <c r="DG67" i="1"/>
  <c r="DF67" i="1"/>
  <c r="CX67" i="1"/>
  <c r="CW67" i="1"/>
  <c r="CV67" i="1"/>
  <c r="CU67" i="1"/>
  <c r="CT67" i="1"/>
  <c r="CS67" i="1"/>
  <c r="CR67" i="1"/>
  <c r="CQ67" i="1"/>
  <c r="CP67" i="1"/>
  <c r="CO67" i="1"/>
  <c r="CN67" i="1"/>
  <c r="CL67" i="1"/>
  <c r="CK67" i="1"/>
  <c r="CJ67" i="1"/>
  <c r="CI67" i="1"/>
  <c r="CH67" i="1"/>
  <c r="CG67" i="1"/>
  <c r="AW67" i="1"/>
  <c r="AQ67" i="1"/>
  <c r="AC67" i="1"/>
  <c r="CM27" i="1" s="1"/>
  <c r="AB67" i="1"/>
  <c r="CL27" i="1" s="1"/>
  <c r="EL66" i="1"/>
  <c r="EK66" i="1"/>
  <c r="EJ66" i="1"/>
  <c r="EI66" i="1"/>
  <c r="EH66" i="1"/>
  <c r="EG66" i="1"/>
  <c r="EF66" i="1"/>
  <c r="EE66" i="1"/>
  <c r="ED66" i="1"/>
  <c r="EC66" i="1"/>
  <c r="EB66" i="1"/>
  <c r="EA66" i="1"/>
  <c r="DZ66" i="1"/>
  <c r="DY66" i="1"/>
  <c r="DX66" i="1"/>
  <c r="DW66" i="1"/>
  <c r="DV66" i="1"/>
  <c r="DU66" i="1"/>
  <c r="DT66" i="1"/>
  <c r="DS66" i="1"/>
  <c r="DR66" i="1"/>
  <c r="DQ66" i="1"/>
  <c r="DP66" i="1"/>
  <c r="DO66" i="1"/>
  <c r="DN66" i="1"/>
  <c r="DM66" i="1"/>
  <c r="DL66" i="1"/>
  <c r="DK66" i="1"/>
  <c r="DJ66" i="1"/>
  <c r="DI66" i="1"/>
  <c r="DH66" i="1"/>
  <c r="DG66" i="1"/>
  <c r="DF66" i="1"/>
  <c r="CX66" i="1"/>
  <c r="CW66" i="1"/>
  <c r="CV66" i="1"/>
  <c r="CU66" i="1"/>
  <c r="CT66" i="1"/>
  <c r="CS66" i="1"/>
  <c r="CR66" i="1"/>
  <c r="CQ66" i="1"/>
  <c r="CP66" i="1"/>
  <c r="CO66" i="1"/>
  <c r="CN66" i="1"/>
  <c r="CL66" i="1"/>
  <c r="CK66" i="1"/>
  <c r="CJ66" i="1"/>
  <c r="CI66" i="1"/>
  <c r="CH66" i="1"/>
  <c r="CG66" i="1"/>
  <c r="AW66" i="1"/>
  <c r="AU66" i="1" s="1"/>
  <c r="AQ66" i="1"/>
  <c r="AC66" i="1"/>
  <c r="CM26" i="1" s="1"/>
  <c r="AB66" i="1"/>
  <c r="EL65" i="1"/>
  <c r="EK65" i="1"/>
  <c r="EJ65" i="1"/>
  <c r="EI65" i="1"/>
  <c r="EH65" i="1"/>
  <c r="EG65" i="1"/>
  <c r="EF65" i="1"/>
  <c r="EE65" i="1"/>
  <c r="ED65" i="1"/>
  <c r="EC65" i="1"/>
  <c r="EB65" i="1"/>
  <c r="EA65" i="1"/>
  <c r="DZ65" i="1"/>
  <c r="DY65" i="1"/>
  <c r="DX65" i="1"/>
  <c r="DW65" i="1"/>
  <c r="DV65" i="1"/>
  <c r="DU65" i="1"/>
  <c r="DT65" i="1"/>
  <c r="DS65" i="1"/>
  <c r="DR65" i="1"/>
  <c r="DQ65" i="1"/>
  <c r="DP65" i="1"/>
  <c r="DO65" i="1"/>
  <c r="DN65" i="1"/>
  <c r="DM65" i="1"/>
  <c r="DL65" i="1"/>
  <c r="DK65" i="1"/>
  <c r="DJ65" i="1"/>
  <c r="DI65" i="1"/>
  <c r="DH65" i="1"/>
  <c r="DG65" i="1"/>
  <c r="DF65" i="1"/>
  <c r="CX65" i="1"/>
  <c r="CW65" i="1"/>
  <c r="CV65" i="1"/>
  <c r="CU65" i="1"/>
  <c r="CT65" i="1"/>
  <c r="CS65" i="1"/>
  <c r="CR65" i="1"/>
  <c r="CQ65" i="1"/>
  <c r="CP65" i="1"/>
  <c r="CO65" i="1"/>
  <c r="CN65" i="1"/>
  <c r="CK65" i="1"/>
  <c r="CJ65" i="1"/>
  <c r="CI65" i="1"/>
  <c r="CH65" i="1"/>
  <c r="CG65" i="1"/>
  <c r="AW65" i="1"/>
  <c r="AV65" i="1"/>
  <c r="AQ65" i="1"/>
  <c r="AC65" i="1"/>
  <c r="AB65" i="1"/>
  <c r="EL64" i="1"/>
  <c r="EK64" i="1"/>
  <c r="EJ64" i="1"/>
  <c r="EI64" i="1"/>
  <c r="EH64" i="1"/>
  <c r="EG64" i="1"/>
  <c r="EF64" i="1"/>
  <c r="EE64" i="1"/>
  <c r="ED64" i="1"/>
  <c r="EC64" i="1"/>
  <c r="EB64" i="1"/>
  <c r="EA64" i="1"/>
  <c r="DZ64" i="1"/>
  <c r="DY64" i="1"/>
  <c r="DX64" i="1"/>
  <c r="DW64" i="1"/>
  <c r="DV64" i="1"/>
  <c r="DU64" i="1"/>
  <c r="DT64" i="1"/>
  <c r="DS64" i="1"/>
  <c r="DR64" i="1"/>
  <c r="DQ64" i="1"/>
  <c r="DP64" i="1"/>
  <c r="DO64" i="1"/>
  <c r="DN64" i="1"/>
  <c r="DM64" i="1"/>
  <c r="DL64" i="1"/>
  <c r="DK64" i="1"/>
  <c r="DJ64" i="1"/>
  <c r="DI64" i="1"/>
  <c r="DH64" i="1"/>
  <c r="DG64" i="1"/>
  <c r="DF64" i="1"/>
  <c r="CX64" i="1"/>
  <c r="CW64" i="1"/>
  <c r="CV64" i="1"/>
  <c r="CU64" i="1"/>
  <c r="CT64" i="1"/>
  <c r="CS64" i="1"/>
  <c r="CR64" i="1"/>
  <c r="CQ64" i="1"/>
  <c r="CP64" i="1"/>
  <c r="CO64" i="1"/>
  <c r="CN64" i="1"/>
  <c r="CM64" i="1"/>
  <c r="CL64" i="1"/>
  <c r="CK64" i="1"/>
  <c r="CJ64" i="1"/>
  <c r="CI64" i="1"/>
  <c r="CH64" i="1"/>
  <c r="CG64" i="1"/>
  <c r="AW64" i="1"/>
  <c r="AQ64" i="1"/>
  <c r="AC64" i="1"/>
  <c r="CM24" i="1" s="1"/>
  <c r="AB64" i="1"/>
  <c r="CL24" i="1" s="1"/>
  <c r="EL63" i="1"/>
  <c r="EK63" i="1"/>
  <c r="EJ63" i="1"/>
  <c r="EI63" i="1"/>
  <c r="EH63" i="1"/>
  <c r="EG63" i="1"/>
  <c r="EF63" i="1"/>
  <c r="EE63" i="1"/>
  <c r="ED63" i="1"/>
  <c r="EC63" i="1"/>
  <c r="EB63" i="1"/>
  <c r="EA63" i="1"/>
  <c r="DZ63" i="1"/>
  <c r="DY63" i="1"/>
  <c r="DX63" i="1"/>
  <c r="DW63" i="1"/>
  <c r="DV63" i="1"/>
  <c r="DU63" i="1"/>
  <c r="DT63" i="1"/>
  <c r="DS63" i="1"/>
  <c r="DR63" i="1"/>
  <c r="DQ63" i="1"/>
  <c r="DP63" i="1"/>
  <c r="DO63" i="1"/>
  <c r="DN63" i="1"/>
  <c r="DM63" i="1"/>
  <c r="DL63" i="1"/>
  <c r="DK63" i="1"/>
  <c r="DJ63" i="1"/>
  <c r="DI63" i="1"/>
  <c r="DH63" i="1"/>
  <c r="DG63" i="1"/>
  <c r="DF63" i="1"/>
  <c r="CX63" i="1"/>
  <c r="CW63" i="1"/>
  <c r="CV63" i="1"/>
  <c r="CU63" i="1"/>
  <c r="CT63" i="1"/>
  <c r="CS63" i="1"/>
  <c r="CR63" i="1"/>
  <c r="CQ63" i="1"/>
  <c r="CP63" i="1"/>
  <c r="CO63" i="1"/>
  <c r="CN63" i="1"/>
  <c r="CL63" i="1"/>
  <c r="CK63" i="1"/>
  <c r="CJ63" i="1"/>
  <c r="CI63" i="1"/>
  <c r="CH63" i="1"/>
  <c r="CG63" i="1"/>
  <c r="AW63" i="1"/>
  <c r="AR63" i="1" s="1"/>
  <c r="AQ63" i="1"/>
  <c r="AC63" i="1"/>
  <c r="CM23" i="1" s="1"/>
  <c r="AB63" i="1"/>
  <c r="CL23" i="1" s="1"/>
  <c r="EL62" i="1"/>
  <c r="EK62" i="1"/>
  <c r="EJ62" i="1"/>
  <c r="EI62" i="1"/>
  <c r="EH62" i="1"/>
  <c r="EG62" i="1"/>
  <c r="EF62" i="1"/>
  <c r="EE62" i="1"/>
  <c r="ED62" i="1"/>
  <c r="EC62" i="1"/>
  <c r="EB62" i="1"/>
  <c r="EA62" i="1"/>
  <c r="DZ62" i="1"/>
  <c r="DY62" i="1"/>
  <c r="DX62" i="1"/>
  <c r="DW62" i="1"/>
  <c r="DV62" i="1"/>
  <c r="DU62" i="1"/>
  <c r="DT62" i="1"/>
  <c r="DS62" i="1"/>
  <c r="DR62" i="1"/>
  <c r="DQ62" i="1"/>
  <c r="DP62" i="1"/>
  <c r="DO62" i="1"/>
  <c r="DN62" i="1"/>
  <c r="DM62" i="1"/>
  <c r="DL62" i="1"/>
  <c r="DK62" i="1"/>
  <c r="DJ62" i="1"/>
  <c r="DI62" i="1"/>
  <c r="DH62" i="1"/>
  <c r="DG62" i="1"/>
  <c r="DF62" i="1"/>
  <c r="CX62" i="1"/>
  <c r="CW62" i="1"/>
  <c r="CV62" i="1"/>
  <c r="CU62" i="1"/>
  <c r="CT62" i="1"/>
  <c r="CS62" i="1"/>
  <c r="CR62" i="1"/>
  <c r="CQ62" i="1"/>
  <c r="CP62" i="1"/>
  <c r="CO62" i="1"/>
  <c r="CN62" i="1"/>
  <c r="CK62" i="1"/>
  <c r="CJ62" i="1"/>
  <c r="CI62" i="1"/>
  <c r="CH62" i="1"/>
  <c r="CG62" i="1"/>
  <c r="AW62" i="1"/>
  <c r="AT62" i="1" s="1"/>
  <c r="AR89" i="1" s="1" a="1"/>
  <c r="AR89" i="1" s="1"/>
  <c r="AQ62" i="1"/>
  <c r="EL61" i="1"/>
  <c r="EK61" i="1"/>
  <c r="EJ61" i="1"/>
  <c r="EI61" i="1"/>
  <c r="EH61" i="1"/>
  <c r="EG61" i="1"/>
  <c r="EF61" i="1"/>
  <c r="EE61" i="1"/>
  <c r="ED61" i="1"/>
  <c r="EC61" i="1"/>
  <c r="EB61" i="1"/>
  <c r="EA61" i="1"/>
  <c r="DZ61" i="1"/>
  <c r="DY61" i="1"/>
  <c r="DX61" i="1"/>
  <c r="DW61" i="1"/>
  <c r="DV61" i="1"/>
  <c r="DU61" i="1"/>
  <c r="DT61" i="1"/>
  <c r="DS61" i="1"/>
  <c r="DR61" i="1"/>
  <c r="DQ61" i="1"/>
  <c r="DP61" i="1"/>
  <c r="DO61" i="1"/>
  <c r="DN61" i="1"/>
  <c r="DM61" i="1"/>
  <c r="DL61" i="1"/>
  <c r="DK61" i="1"/>
  <c r="DJ61" i="1"/>
  <c r="DI61" i="1"/>
  <c r="DH61" i="1"/>
  <c r="DG61" i="1"/>
  <c r="DF61" i="1"/>
  <c r="CX61" i="1"/>
  <c r="CW61" i="1"/>
  <c r="CV61" i="1"/>
  <c r="CU61" i="1"/>
  <c r="CT61" i="1"/>
  <c r="CS61" i="1"/>
  <c r="CR61" i="1"/>
  <c r="CQ61" i="1"/>
  <c r="CP61" i="1"/>
  <c r="CO61" i="1"/>
  <c r="CN61" i="1"/>
  <c r="CM61" i="1"/>
  <c r="CK61" i="1"/>
  <c r="CJ61" i="1"/>
  <c r="CI61" i="1"/>
  <c r="CH61" i="1"/>
  <c r="CG61" i="1"/>
  <c r="EL60" i="1"/>
  <c r="EK60" i="1"/>
  <c r="EJ60" i="1"/>
  <c r="EI60" i="1"/>
  <c r="EH60" i="1"/>
  <c r="EG60" i="1"/>
  <c r="EF60" i="1"/>
  <c r="EE60" i="1"/>
  <c r="ED60" i="1"/>
  <c r="EC60" i="1"/>
  <c r="EB60" i="1"/>
  <c r="EA60" i="1"/>
  <c r="DZ60" i="1"/>
  <c r="DY60" i="1"/>
  <c r="DX60" i="1"/>
  <c r="DW60" i="1"/>
  <c r="DV60" i="1"/>
  <c r="DU60" i="1"/>
  <c r="DT60" i="1"/>
  <c r="DS60" i="1"/>
  <c r="DR60" i="1"/>
  <c r="DQ60" i="1"/>
  <c r="DP60" i="1"/>
  <c r="DO60" i="1"/>
  <c r="DN60" i="1"/>
  <c r="DM60" i="1"/>
  <c r="DL60" i="1"/>
  <c r="DK60" i="1"/>
  <c r="DJ60" i="1"/>
  <c r="DI60" i="1"/>
  <c r="DH60" i="1"/>
  <c r="DG60" i="1"/>
  <c r="DF60" i="1"/>
  <c r="CX60" i="1"/>
  <c r="CW60" i="1"/>
  <c r="CV60" i="1"/>
  <c r="CU60" i="1"/>
  <c r="CT60" i="1"/>
  <c r="CS60" i="1"/>
  <c r="CR60" i="1"/>
  <c r="CQ60" i="1"/>
  <c r="CP60" i="1"/>
  <c r="CO60" i="1"/>
  <c r="CN60" i="1"/>
  <c r="CK60" i="1"/>
  <c r="CJ60" i="1"/>
  <c r="CI60" i="1"/>
  <c r="CH60" i="1"/>
  <c r="CG60" i="1"/>
  <c r="EL59" i="1"/>
  <c r="EK59" i="1"/>
  <c r="EJ59" i="1"/>
  <c r="EI59" i="1"/>
  <c r="EH59" i="1"/>
  <c r="EG59" i="1"/>
  <c r="EF59" i="1"/>
  <c r="EE59" i="1"/>
  <c r="ED59" i="1"/>
  <c r="EC59" i="1"/>
  <c r="EB59" i="1"/>
  <c r="EA59" i="1"/>
  <c r="DZ59" i="1"/>
  <c r="DY59" i="1"/>
  <c r="DX59" i="1"/>
  <c r="DW59" i="1"/>
  <c r="DV59" i="1"/>
  <c r="DU59" i="1"/>
  <c r="DT59" i="1"/>
  <c r="DS59" i="1"/>
  <c r="DR59" i="1"/>
  <c r="DQ59" i="1"/>
  <c r="DP59" i="1"/>
  <c r="DO59" i="1"/>
  <c r="DN59" i="1"/>
  <c r="DM59" i="1"/>
  <c r="DL59" i="1"/>
  <c r="DK59" i="1"/>
  <c r="DJ59" i="1"/>
  <c r="DI59" i="1"/>
  <c r="DH59" i="1"/>
  <c r="DG59" i="1"/>
  <c r="DF59" i="1"/>
  <c r="CX59" i="1"/>
  <c r="CW59" i="1"/>
  <c r="CV59" i="1"/>
  <c r="CU59" i="1"/>
  <c r="CT59" i="1"/>
  <c r="CS59" i="1"/>
  <c r="CR59" i="1"/>
  <c r="CQ59" i="1"/>
  <c r="CP59" i="1"/>
  <c r="CO59" i="1"/>
  <c r="CN59" i="1"/>
  <c r="CL59" i="1"/>
  <c r="CK59" i="1"/>
  <c r="CJ59" i="1"/>
  <c r="CI59" i="1"/>
  <c r="CH59" i="1"/>
  <c r="CG59" i="1"/>
  <c r="BF59" i="1"/>
  <c r="EL58" i="1"/>
  <c r="EK58" i="1"/>
  <c r="EJ58" i="1"/>
  <c r="EI58" i="1"/>
  <c r="EH58" i="1"/>
  <c r="EG58" i="1"/>
  <c r="EF58" i="1"/>
  <c r="EE58" i="1"/>
  <c r="ED58" i="1"/>
  <c r="EC58" i="1"/>
  <c r="EB58" i="1"/>
  <c r="EA58" i="1"/>
  <c r="DZ58" i="1"/>
  <c r="DY58" i="1"/>
  <c r="DX58" i="1"/>
  <c r="DW58" i="1"/>
  <c r="DV58" i="1"/>
  <c r="DU58" i="1"/>
  <c r="DT58" i="1"/>
  <c r="DS58" i="1"/>
  <c r="DR58" i="1"/>
  <c r="DQ58" i="1"/>
  <c r="DP58" i="1"/>
  <c r="DO58" i="1"/>
  <c r="DN58" i="1"/>
  <c r="DM58" i="1"/>
  <c r="DL58" i="1"/>
  <c r="DK58" i="1"/>
  <c r="DJ58" i="1"/>
  <c r="DI58" i="1"/>
  <c r="DH58" i="1"/>
  <c r="DG58" i="1"/>
  <c r="DF58" i="1"/>
  <c r="CX58" i="1"/>
  <c r="CW58" i="1"/>
  <c r="CV58" i="1"/>
  <c r="CU58" i="1"/>
  <c r="CT58" i="1"/>
  <c r="CS58" i="1"/>
  <c r="CR58" i="1"/>
  <c r="CQ58" i="1"/>
  <c r="CP58" i="1"/>
  <c r="CO58" i="1"/>
  <c r="CN58" i="1"/>
  <c r="CM58" i="1"/>
  <c r="CK58" i="1"/>
  <c r="CJ58" i="1"/>
  <c r="CI58" i="1"/>
  <c r="CH58" i="1"/>
  <c r="CG58" i="1"/>
  <c r="BI58" i="1"/>
  <c r="BF58" i="1"/>
  <c r="AS58" i="1"/>
  <c r="X58" i="1"/>
  <c r="EL57" i="1"/>
  <c r="EK57" i="1"/>
  <c r="EJ57" i="1"/>
  <c r="EI57" i="1"/>
  <c r="EH57" i="1"/>
  <c r="EG57" i="1"/>
  <c r="EF57" i="1"/>
  <c r="EE57" i="1"/>
  <c r="ED57" i="1"/>
  <c r="EC57" i="1"/>
  <c r="EB57" i="1"/>
  <c r="EA57" i="1"/>
  <c r="DZ57" i="1"/>
  <c r="DY57" i="1"/>
  <c r="DX57" i="1"/>
  <c r="DW57" i="1"/>
  <c r="DV57" i="1"/>
  <c r="DU57" i="1"/>
  <c r="DT57" i="1"/>
  <c r="DS57" i="1"/>
  <c r="DR57" i="1"/>
  <c r="DQ57" i="1"/>
  <c r="DP57" i="1"/>
  <c r="DO57" i="1"/>
  <c r="DN57" i="1"/>
  <c r="DM57" i="1"/>
  <c r="DL57" i="1"/>
  <c r="DK57" i="1"/>
  <c r="DJ57" i="1"/>
  <c r="DI57" i="1"/>
  <c r="DH57" i="1"/>
  <c r="DG57" i="1"/>
  <c r="DF57" i="1"/>
  <c r="CX57" i="1"/>
  <c r="CW57" i="1"/>
  <c r="CV57" i="1"/>
  <c r="CU57" i="1"/>
  <c r="CT57" i="1"/>
  <c r="CS57" i="1"/>
  <c r="CR57" i="1"/>
  <c r="CQ57" i="1"/>
  <c r="CP57" i="1"/>
  <c r="CO57" i="1"/>
  <c r="CN57" i="1"/>
  <c r="CK57" i="1"/>
  <c r="CJ57" i="1"/>
  <c r="CI57" i="1"/>
  <c r="CH57" i="1"/>
  <c r="CG57" i="1"/>
  <c r="EL56" i="1"/>
  <c r="EK56" i="1"/>
  <c r="EJ56" i="1"/>
  <c r="EI56" i="1"/>
  <c r="EH56" i="1"/>
  <c r="EG56" i="1"/>
  <c r="EF56" i="1"/>
  <c r="EE56" i="1"/>
  <c r="ED56" i="1"/>
  <c r="EC56" i="1"/>
  <c r="EB56" i="1"/>
  <c r="EA56" i="1"/>
  <c r="DZ56" i="1"/>
  <c r="DY56" i="1"/>
  <c r="DX56" i="1"/>
  <c r="DW56" i="1"/>
  <c r="DV56" i="1"/>
  <c r="DU56" i="1"/>
  <c r="DT56" i="1"/>
  <c r="DS56" i="1"/>
  <c r="DR56" i="1"/>
  <c r="DQ56" i="1"/>
  <c r="DP56" i="1"/>
  <c r="DO56" i="1"/>
  <c r="DN56" i="1"/>
  <c r="DM56" i="1"/>
  <c r="DL56" i="1"/>
  <c r="DK56" i="1"/>
  <c r="DJ56" i="1"/>
  <c r="DI56" i="1"/>
  <c r="DH56" i="1"/>
  <c r="DG56" i="1"/>
  <c r="DF56" i="1"/>
  <c r="CX56" i="1"/>
  <c r="CW56" i="1"/>
  <c r="CV56" i="1"/>
  <c r="CU56" i="1"/>
  <c r="CT56" i="1"/>
  <c r="CS56" i="1"/>
  <c r="CR56" i="1"/>
  <c r="CQ56" i="1"/>
  <c r="CP56" i="1"/>
  <c r="CO56" i="1"/>
  <c r="CN56" i="1"/>
  <c r="CK56" i="1"/>
  <c r="CJ56" i="1"/>
  <c r="CI56" i="1"/>
  <c r="CH56" i="1"/>
  <c r="CG56" i="1"/>
  <c r="EL55" i="1"/>
  <c r="EK55" i="1"/>
  <c r="EJ55" i="1"/>
  <c r="EI55" i="1"/>
  <c r="EH55" i="1"/>
  <c r="EG55" i="1"/>
  <c r="EF55" i="1"/>
  <c r="EE55" i="1"/>
  <c r="ED55" i="1"/>
  <c r="EC55" i="1"/>
  <c r="EB55" i="1"/>
  <c r="EA55" i="1"/>
  <c r="DZ55" i="1"/>
  <c r="DY55" i="1"/>
  <c r="DX55" i="1"/>
  <c r="DW55" i="1"/>
  <c r="DV55" i="1"/>
  <c r="DU55" i="1"/>
  <c r="DT55" i="1"/>
  <c r="DS55" i="1"/>
  <c r="DR55" i="1"/>
  <c r="DQ55" i="1"/>
  <c r="DP55" i="1"/>
  <c r="DO55" i="1"/>
  <c r="DN55" i="1"/>
  <c r="DM55" i="1"/>
  <c r="DL55" i="1"/>
  <c r="DK55" i="1"/>
  <c r="DJ55" i="1"/>
  <c r="DI55" i="1"/>
  <c r="DH55" i="1"/>
  <c r="DG55" i="1"/>
  <c r="DF55" i="1"/>
  <c r="CX55" i="1"/>
  <c r="CW55" i="1"/>
  <c r="CV55" i="1"/>
  <c r="CU55" i="1"/>
  <c r="CT55" i="1"/>
  <c r="CS55" i="1"/>
  <c r="CR55" i="1"/>
  <c r="CQ55" i="1"/>
  <c r="CP55" i="1"/>
  <c r="CO55" i="1"/>
  <c r="CN55" i="1"/>
  <c r="CL55" i="1"/>
  <c r="CK55" i="1"/>
  <c r="CJ55" i="1"/>
  <c r="CI55" i="1"/>
  <c r="CH55" i="1"/>
  <c r="CG55" i="1"/>
  <c r="EL54" i="1"/>
  <c r="EK54" i="1"/>
  <c r="EJ54" i="1"/>
  <c r="EI54" i="1"/>
  <c r="EH54" i="1"/>
  <c r="EG54" i="1"/>
  <c r="EF54" i="1"/>
  <c r="EE54" i="1"/>
  <c r="ED54" i="1"/>
  <c r="EC54" i="1"/>
  <c r="EB54" i="1"/>
  <c r="EA54" i="1"/>
  <c r="DZ54" i="1"/>
  <c r="DY54" i="1"/>
  <c r="DX54" i="1"/>
  <c r="DW54" i="1"/>
  <c r="DV54" i="1"/>
  <c r="DU54" i="1"/>
  <c r="DT54" i="1"/>
  <c r="DS54" i="1"/>
  <c r="DR54" i="1"/>
  <c r="DQ54" i="1"/>
  <c r="DP54" i="1"/>
  <c r="DO54" i="1"/>
  <c r="DN54" i="1"/>
  <c r="DM54" i="1"/>
  <c r="DL54" i="1"/>
  <c r="DK54" i="1"/>
  <c r="DJ54" i="1"/>
  <c r="DI54" i="1"/>
  <c r="DH54" i="1"/>
  <c r="DG54" i="1"/>
  <c r="DF54" i="1"/>
  <c r="CX54" i="1"/>
  <c r="CW54" i="1"/>
  <c r="CV54" i="1"/>
  <c r="CU54" i="1"/>
  <c r="CT54" i="1"/>
  <c r="CS54" i="1"/>
  <c r="CR54" i="1"/>
  <c r="CQ54" i="1"/>
  <c r="CP54" i="1"/>
  <c r="CO54" i="1"/>
  <c r="CN54" i="1"/>
  <c r="CK54" i="1"/>
  <c r="CJ54" i="1"/>
  <c r="CI54" i="1"/>
  <c r="CH54" i="1"/>
  <c r="CG54" i="1"/>
  <c r="EL53" i="1"/>
  <c r="EK53" i="1"/>
  <c r="EJ53" i="1"/>
  <c r="EI53" i="1"/>
  <c r="EH53" i="1"/>
  <c r="EG53" i="1"/>
  <c r="EF53" i="1"/>
  <c r="EE53" i="1"/>
  <c r="ED53" i="1"/>
  <c r="EC53" i="1"/>
  <c r="EB53" i="1"/>
  <c r="EA53" i="1"/>
  <c r="DZ53" i="1"/>
  <c r="DY53" i="1"/>
  <c r="DX53" i="1"/>
  <c r="DW53" i="1"/>
  <c r="DV53" i="1"/>
  <c r="DU53" i="1"/>
  <c r="DT53" i="1"/>
  <c r="DS53" i="1"/>
  <c r="DR53" i="1"/>
  <c r="DQ53" i="1"/>
  <c r="DP53" i="1"/>
  <c r="DO53" i="1"/>
  <c r="DN53" i="1"/>
  <c r="DM53" i="1"/>
  <c r="DL53" i="1"/>
  <c r="DK53" i="1"/>
  <c r="DJ53" i="1"/>
  <c r="DI53" i="1"/>
  <c r="DH53" i="1"/>
  <c r="DG53" i="1"/>
  <c r="DF53" i="1"/>
  <c r="CX53" i="1"/>
  <c r="CW53" i="1"/>
  <c r="CV53" i="1"/>
  <c r="CU53" i="1"/>
  <c r="CT53" i="1"/>
  <c r="CS53" i="1"/>
  <c r="CR53" i="1"/>
  <c r="CQ53" i="1"/>
  <c r="CP53" i="1"/>
  <c r="CO53" i="1"/>
  <c r="CN53" i="1"/>
  <c r="CL53" i="1"/>
  <c r="CK53" i="1"/>
  <c r="CJ53" i="1"/>
  <c r="CI53" i="1"/>
  <c r="CH53" i="1"/>
  <c r="CG53" i="1"/>
  <c r="EL52" i="1"/>
  <c r="EK52" i="1"/>
  <c r="EJ52" i="1"/>
  <c r="EI52" i="1"/>
  <c r="EH52" i="1"/>
  <c r="EG52" i="1"/>
  <c r="EF52" i="1"/>
  <c r="EE52" i="1"/>
  <c r="ED52" i="1"/>
  <c r="EC52" i="1"/>
  <c r="EB52" i="1"/>
  <c r="EA52" i="1"/>
  <c r="DZ52" i="1"/>
  <c r="DY52" i="1"/>
  <c r="DX52" i="1"/>
  <c r="DW52" i="1"/>
  <c r="DV52" i="1"/>
  <c r="DU52" i="1"/>
  <c r="DT52" i="1"/>
  <c r="DS52" i="1"/>
  <c r="DR52" i="1"/>
  <c r="DQ52" i="1"/>
  <c r="DP52" i="1"/>
  <c r="DO52" i="1"/>
  <c r="DN52" i="1"/>
  <c r="DM52" i="1"/>
  <c r="DL52" i="1"/>
  <c r="DK52" i="1"/>
  <c r="DJ52" i="1"/>
  <c r="DI52" i="1"/>
  <c r="DH52" i="1"/>
  <c r="DG52" i="1"/>
  <c r="DF52" i="1"/>
  <c r="CX52" i="1"/>
  <c r="CW52" i="1"/>
  <c r="CV52" i="1"/>
  <c r="CU52" i="1"/>
  <c r="CT52" i="1"/>
  <c r="CS52" i="1"/>
  <c r="CR52" i="1"/>
  <c r="CQ52" i="1"/>
  <c r="CP52" i="1"/>
  <c r="CO52" i="1"/>
  <c r="CN52" i="1"/>
  <c r="CM52" i="1"/>
  <c r="CL52" i="1"/>
  <c r="CK52" i="1"/>
  <c r="CJ52" i="1"/>
  <c r="CI52" i="1"/>
  <c r="CH52" i="1"/>
  <c r="CG52" i="1"/>
  <c r="EL51" i="1"/>
  <c r="EK51" i="1"/>
  <c r="EJ51" i="1"/>
  <c r="EI51" i="1"/>
  <c r="EH51" i="1"/>
  <c r="EG51" i="1"/>
  <c r="EF51" i="1"/>
  <c r="EE51" i="1"/>
  <c r="ED51" i="1"/>
  <c r="EC51" i="1"/>
  <c r="EB51" i="1"/>
  <c r="EA51" i="1"/>
  <c r="DZ51" i="1"/>
  <c r="DY51" i="1"/>
  <c r="DX51" i="1"/>
  <c r="DW51" i="1"/>
  <c r="DV51" i="1"/>
  <c r="DU51" i="1"/>
  <c r="DT51" i="1"/>
  <c r="DS51" i="1"/>
  <c r="DR51" i="1"/>
  <c r="DQ51" i="1"/>
  <c r="DP51" i="1"/>
  <c r="DO51" i="1"/>
  <c r="DN51" i="1"/>
  <c r="DM51" i="1"/>
  <c r="DL51" i="1"/>
  <c r="DK51" i="1"/>
  <c r="DJ51" i="1"/>
  <c r="DI51" i="1"/>
  <c r="DH51" i="1"/>
  <c r="DG51" i="1"/>
  <c r="DF51" i="1"/>
  <c r="CX51" i="1"/>
  <c r="CW51" i="1"/>
  <c r="CV51" i="1"/>
  <c r="CU51" i="1"/>
  <c r="CT51" i="1"/>
  <c r="CS51" i="1"/>
  <c r="CR51" i="1"/>
  <c r="CQ51" i="1"/>
  <c r="CP51" i="1"/>
  <c r="CO51" i="1"/>
  <c r="CN51" i="1"/>
  <c r="CM51" i="1"/>
  <c r="CL51" i="1"/>
  <c r="CK51" i="1"/>
  <c r="CJ51" i="1"/>
  <c r="CI51" i="1"/>
  <c r="CH51" i="1"/>
  <c r="CG51" i="1"/>
  <c r="EL50" i="1"/>
  <c r="EK50" i="1"/>
  <c r="EJ50" i="1"/>
  <c r="EI50" i="1"/>
  <c r="EH50" i="1"/>
  <c r="EG50" i="1"/>
  <c r="EF50" i="1"/>
  <c r="EE50" i="1"/>
  <c r="ED50" i="1"/>
  <c r="EC50" i="1"/>
  <c r="EB50" i="1"/>
  <c r="EA50" i="1"/>
  <c r="DZ50" i="1"/>
  <c r="DY50" i="1"/>
  <c r="DX50" i="1"/>
  <c r="DW50" i="1"/>
  <c r="DV50" i="1"/>
  <c r="DU50" i="1"/>
  <c r="DT50" i="1"/>
  <c r="DS50" i="1"/>
  <c r="DR50" i="1"/>
  <c r="DQ50" i="1"/>
  <c r="DP50" i="1"/>
  <c r="DO50" i="1"/>
  <c r="DN50" i="1"/>
  <c r="DM50" i="1"/>
  <c r="DL50" i="1"/>
  <c r="DK50" i="1"/>
  <c r="DJ50" i="1"/>
  <c r="DI50" i="1"/>
  <c r="DH50" i="1"/>
  <c r="DG50" i="1"/>
  <c r="DF50" i="1"/>
  <c r="CX50" i="1"/>
  <c r="CW50" i="1"/>
  <c r="CV50" i="1"/>
  <c r="CU50" i="1"/>
  <c r="CT50" i="1"/>
  <c r="CS50" i="1"/>
  <c r="CR50" i="1"/>
  <c r="CQ50" i="1"/>
  <c r="CP50" i="1"/>
  <c r="CO50" i="1"/>
  <c r="CN50" i="1"/>
  <c r="CM50" i="1"/>
  <c r="CL50" i="1"/>
  <c r="CK50" i="1"/>
  <c r="CJ50" i="1"/>
  <c r="CI50" i="1"/>
  <c r="CH50" i="1"/>
  <c r="CG50" i="1"/>
  <c r="EL49" i="1"/>
  <c r="EK49" i="1"/>
  <c r="EJ49" i="1"/>
  <c r="EI49" i="1"/>
  <c r="EH49" i="1"/>
  <c r="EG49" i="1"/>
  <c r="EF49" i="1"/>
  <c r="EE49" i="1"/>
  <c r="ED49" i="1"/>
  <c r="EC49" i="1"/>
  <c r="EB49" i="1"/>
  <c r="EA49" i="1"/>
  <c r="DZ49" i="1"/>
  <c r="DY49" i="1"/>
  <c r="DX49" i="1"/>
  <c r="DW49" i="1"/>
  <c r="DV49" i="1"/>
  <c r="DU49" i="1"/>
  <c r="DT49" i="1"/>
  <c r="DS49" i="1"/>
  <c r="DR49" i="1"/>
  <c r="DQ49" i="1"/>
  <c r="DP49" i="1"/>
  <c r="DO49" i="1"/>
  <c r="DN49" i="1"/>
  <c r="DM49" i="1"/>
  <c r="DL49" i="1"/>
  <c r="DK49" i="1"/>
  <c r="DJ49" i="1"/>
  <c r="DI49" i="1"/>
  <c r="DH49" i="1"/>
  <c r="DG49" i="1"/>
  <c r="DF49" i="1"/>
  <c r="CX49" i="1"/>
  <c r="CW49" i="1"/>
  <c r="CV49" i="1"/>
  <c r="CU49" i="1"/>
  <c r="CT49" i="1"/>
  <c r="CS49" i="1"/>
  <c r="CR49" i="1"/>
  <c r="CQ49" i="1"/>
  <c r="CP49" i="1"/>
  <c r="CO49" i="1"/>
  <c r="CN49" i="1"/>
  <c r="CM49" i="1"/>
  <c r="CL49" i="1"/>
  <c r="CK49" i="1"/>
  <c r="CJ49" i="1"/>
  <c r="CI49" i="1"/>
  <c r="CH49" i="1"/>
  <c r="CG49" i="1"/>
  <c r="EL48" i="1"/>
  <c r="EK48" i="1"/>
  <c r="EJ48" i="1"/>
  <c r="EI48" i="1"/>
  <c r="EH48" i="1"/>
  <c r="EG48" i="1"/>
  <c r="EF48" i="1"/>
  <c r="EE48" i="1"/>
  <c r="ED48" i="1"/>
  <c r="EC48" i="1"/>
  <c r="EB48" i="1"/>
  <c r="EA48" i="1"/>
  <c r="DZ48" i="1"/>
  <c r="DY48" i="1"/>
  <c r="DX48" i="1"/>
  <c r="DW48" i="1"/>
  <c r="DV48" i="1"/>
  <c r="DU48" i="1"/>
  <c r="DT48" i="1"/>
  <c r="DS48" i="1"/>
  <c r="DR48" i="1"/>
  <c r="DQ48" i="1"/>
  <c r="DP48" i="1"/>
  <c r="DO48" i="1"/>
  <c r="DN48" i="1"/>
  <c r="DM48" i="1"/>
  <c r="DL48" i="1"/>
  <c r="DK48" i="1"/>
  <c r="DJ48" i="1"/>
  <c r="DI48" i="1"/>
  <c r="DH48" i="1"/>
  <c r="DG48" i="1"/>
  <c r="DF48" i="1"/>
  <c r="CX48" i="1"/>
  <c r="CW48" i="1"/>
  <c r="CV48" i="1"/>
  <c r="CU48" i="1"/>
  <c r="CT48" i="1"/>
  <c r="CS48" i="1"/>
  <c r="CR48" i="1"/>
  <c r="CQ48" i="1"/>
  <c r="CP48" i="1"/>
  <c r="CO48" i="1"/>
  <c r="CN48" i="1"/>
  <c r="CK48" i="1"/>
  <c r="CJ48" i="1"/>
  <c r="CI48" i="1"/>
  <c r="CH48" i="1"/>
  <c r="CG48" i="1"/>
  <c r="EL47" i="1"/>
  <c r="EK47" i="1"/>
  <c r="EJ47" i="1"/>
  <c r="EI47" i="1"/>
  <c r="EH47" i="1"/>
  <c r="EG47" i="1"/>
  <c r="EF47" i="1"/>
  <c r="EE47" i="1"/>
  <c r="ED47" i="1"/>
  <c r="EC47" i="1"/>
  <c r="EB47" i="1"/>
  <c r="EA47" i="1"/>
  <c r="DZ47" i="1"/>
  <c r="DY47" i="1"/>
  <c r="DX47" i="1"/>
  <c r="DW47" i="1"/>
  <c r="DV47" i="1"/>
  <c r="DU47" i="1"/>
  <c r="DT47" i="1"/>
  <c r="DS47" i="1"/>
  <c r="DR47" i="1"/>
  <c r="DQ47" i="1"/>
  <c r="DP47" i="1"/>
  <c r="DO47" i="1"/>
  <c r="DN47" i="1"/>
  <c r="DM47" i="1"/>
  <c r="DL47" i="1"/>
  <c r="DK47" i="1"/>
  <c r="DJ47" i="1"/>
  <c r="DI47" i="1"/>
  <c r="DH47" i="1"/>
  <c r="DG47" i="1"/>
  <c r="DF47" i="1"/>
  <c r="CX47" i="1"/>
  <c r="CW47" i="1"/>
  <c r="CV47" i="1"/>
  <c r="CU47" i="1"/>
  <c r="CT47" i="1"/>
  <c r="CS47" i="1"/>
  <c r="CR47" i="1"/>
  <c r="CQ47" i="1"/>
  <c r="CP47" i="1"/>
  <c r="CO47" i="1"/>
  <c r="CN47" i="1"/>
  <c r="CM47" i="1"/>
  <c r="CK47" i="1"/>
  <c r="CJ47" i="1"/>
  <c r="CI47" i="1"/>
  <c r="CH47" i="1"/>
  <c r="CG47" i="1"/>
  <c r="EL46" i="1"/>
  <c r="EK46" i="1"/>
  <c r="EJ46" i="1"/>
  <c r="EI46" i="1"/>
  <c r="EH46" i="1"/>
  <c r="EG46" i="1"/>
  <c r="EF46" i="1"/>
  <c r="EE46" i="1"/>
  <c r="ED46" i="1"/>
  <c r="EC46" i="1"/>
  <c r="EB46" i="1"/>
  <c r="EA46" i="1"/>
  <c r="DZ46" i="1"/>
  <c r="DY46" i="1"/>
  <c r="DX46" i="1"/>
  <c r="DW46" i="1"/>
  <c r="DV46" i="1"/>
  <c r="DU46" i="1"/>
  <c r="DT46" i="1"/>
  <c r="DS46" i="1"/>
  <c r="DR46" i="1"/>
  <c r="DQ46" i="1"/>
  <c r="DP46" i="1"/>
  <c r="DO46" i="1"/>
  <c r="DN46" i="1"/>
  <c r="DM46" i="1"/>
  <c r="DL46" i="1"/>
  <c r="DK46" i="1"/>
  <c r="DJ46" i="1"/>
  <c r="DI46" i="1"/>
  <c r="DH46" i="1"/>
  <c r="DG46" i="1"/>
  <c r="DF46" i="1"/>
  <c r="CX46" i="1"/>
  <c r="CW46" i="1"/>
  <c r="CV46" i="1"/>
  <c r="CU46" i="1"/>
  <c r="CT46" i="1"/>
  <c r="CS46" i="1"/>
  <c r="CR46" i="1"/>
  <c r="CQ46" i="1"/>
  <c r="CP46" i="1"/>
  <c r="CO46" i="1"/>
  <c r="CN46" i="1"/>
  <c r="CL46" i="1"/>
  <c r="CK46" i="1"/>
  <c r="CJ46" i="1"/>
  <c r="CI46" i="1"/>
  <c r="CH46" i="1"/>
  <c r="CG46" i="1"/>
  <c r="AY46" i="1"/>
  <c r="AQ46" i="1"/>
  <c r="EL45" i="1"/>
  <c r="EK45" i="1"/>
  <c r="EJ45" i="1"/>
  <c r="EI45" i="1"/>
  <c r="EH45" i="1"/>
  <c r="EG45" i="1"/>
  <c r="EF45" i="1"/>
  <c r="EE45" i="1"/>
  <c r="ED45" i="1"/>
  <c r="EC45" i="1"/>
  <c r="EB45" i="1"/>
  <c r="EA45" i="1"/>
  <c r="DZ45" i="1"/>
  <c r="DY45" i="1"/>
  <c r="DX45" i="1"/>
  <c r="DW45" i="1"/>
  <c r="DV45" i="1"/>
  <c r="DU45" i="1"/>
  <c r="DT45" i="1"/>
  <c r="DS45" i="1"/>
  <c r="DR45" i="1"/>
  <c r="DQ45" i="1"/>
  <c r="DP45" i="1"/>
  <c r="DO45" i="1"/>
  <c r="DN45" i="1"/>
  <c r="DM45" i="1"/>
  <c r="DL45" i="1"/>
  <c r="DK45" i="1"/>
  <c r="DJ45" i="1"/>
  <c r="DI45" i="1"/>
  <c r="DH45" i="1"/>
  <c r="DG45" i="1"/>
  <c r="DF45" i="1"/>
  <c r="CX45" i="1"/>
  <c r="CW45" i="1"/>
  <c r="CV45" i="1"/>
  <c r="CU45" i="1"/>
  <c r="CT45" i="1"/>
  <c r="CS45" i="1"/>
  <c r="CR45" i="1"/>
  <c r="CQ45" i="1"/>
  <c r="CP45" i="1"/>
  <c r="CO45" i="1"/>
  <c r="CN45" i="1"/>
  <c r="CL45" i="1"/>
  <c r="CK45" i="1"/>
  <c r="CJ45" i="1"/>
  <c r="CI45" i="1"/>
  <c r="CH45" i="1"/>
  <c r="CG45" i="1"/>
  <c r="AY45" i="1"/>
  <c r="AQ45" i="1"/>
  <c r="EL44" i="1"/>
  <c r="EK44" i="1"/>
  <c r="EJ44" i="1"/>
  <c r="EI44" i="1"/>
  <c r="EH44" i="1"/>
  <c r="EG44" i="1"/>
  <c r="EF44" i="1"/>
  <c r="EE44" i="1"/>
  <c r="ED44" i="1"/>
  <c r="EC44" i="1"/>
  <c r="EB44" i="1"/>
  <c r="EA44" i="1"/>
  <c r="DZ44" i="1"/>
  <c r="DY44" i="1"/>
  <c r="DX44" i="1"/>
  <c r="DW44" i="1"/>
  <c r="DV44" i="1"/>
  <c r="DU44" i="1"/>
  <c r="DT44" i="1"/>
  <c r="DS44" i="1"/>
  <c r="DR44" i="1"/>
  <c r="DQ44" i="1"/>
  <c r="DP44" i="1"/>
  <c r="DO44" i="1"/>
  <c r="DN44" i="1"/>
  <c r="DM44" i="1"/>
  <c r="DL44" i="1"/>
  <c r="DK44" i="1"/>
  <c r="DJ44" i="1"/>
  <c r="DI44" i="1"/>
  <c r="DH44" i="1"/>
  <c r="DG44" i="1"/>
  <c r="DF44" i="1"/>
  <c r="CX44" i="1"/>
  <c r="CW44" i="1"/>
  <c r="CV44" i="1"/>
  <c r="CU44" i="1"/>
  <c r="CT44" i="1"/>
  <c r="CS44" i="1"/>
  <c r="CR44" i="1"/>
  <c r="CQ44" i="1"/>
  <c r="CP44" i="1"/>
  <c r="CO44" i="1"/>
  <c r="CN44" i="1"/>
  <c r="CK44" i="1"/>
  <c r="CJ44" i="1"/>
  <c r="CI44" i="1"/>
  <c r="CH44" i="1"/>
  <c r="CG44" i="1"/>
  <c r="AY44" i="1"/>
  <c r="AQ44" i="1"/>
  <c r="EL43" i="1"/>
  <c r="EK43" i="1"/>
  <c r="EJ43" i="1"/>
  <c r="EI43" i="1"/>
  <c r="EH43" i="1"/>
  <c r="EG43" i="1"/>
  <c r="EF43" i="1"/>
  <c r="EE43" i="1"/>
  <c r="ED43" i="1"/>
  <c r="EC43" i="1"/>
  <c r="EB43" i="1"/>
  <c r="EA43" i="1"/>
  <c r="DZ43" i="1"/>
  <c r="DY43" i="1"/>
  <c r="DX43" i="1"/>
  <c r="DW43" i="1"/>
  <c r="DV43" i="1"/>
  <c r="DU43" i="1"/>
  <c r="DT43" i="1"/>
  <c r="DS43" i="1"/>
  <c r="DR43" i="1"/>
  <c r="DQ43" i="1"/>
  <c r="DP43" i="1"/>
  <c r="DO43" i="1"/>
  <c r="DN43" i="1"/>
  <c r="DM43" i="1"/>
  <c r="DL43" i="1"/>
  <c r="DK43" i="1"/>
  <c r="DJ43" i="1"/>
  <c r="DI43" i="1"/>
  <c r="DH43" i="1"/>
  <c r="DG43" i="1"/>
  <c r="DF43" i="1"/>
  <c r="CX43" i="1"/>
  <c r="CW43" i="1"/>
  <c r="CV43" i="1"/>
  <c r="CU43" i="1"/>
  <c r="CT43" i="1"/>
  <c r="CS43" i="1"/>
  <c r="CR43" i="1"/>
  <c r="CQ43" i="1"/>
  <c r="CP43" i="1"/>
  <c r="CO43" i="1"/>
  <c r="CN43" i="1"/>
  <c r="CK43" i="1"/>
  <c r="CJ43" i="1"/>
  <c r="CI43" i="1"/>
  <c r="CH43" i="1"/>
  <c r="CG43" i="1"/>
  <c r="AY43" i="1"/>
  <c r="AQ43" i="1"/>
  <c r="EL42" i="1"/>
  <c r="EK42" i="1"/>
  <c r="EJ42" i="1"/>
  <c r="EI42" i="1"/>
  <c r="EH42" i="1"/>
  <c r="EG42" i="1"/>
  <c r="EF42" i="1"/>
  <c r="EE42" i="1"/>
  <c r="ED42" i="1"/>
  <c r="EC42" i="1"/>
  <c r="EB42" i="1"/>
  <c r="EA42" i="1"/>
  <c r="DZ42" i="1"/>
  <c r="DY42" i="1"/>
  <c r="DX42" i="1"/>
  <c r="DW42" i="1"/>
  <c r="DV42" i="1"/>
  <c r="DU42" i="1"/>
  <c r="DT42" i="1"/>
  <c r="DS42" i="1"/>
  <c r="DR42" i="1"/>
  <c r="DQ42" i="1"/>
  <c r="DP42" i="1"/>
  <c r="DO42" i="1"/>
  <c r="DN42" i="1"/>
  <c r="DM42" i="1"/>
  <c r="DL42" i="1"/>
  <c r="DK42" i="1"/>
  <c r="DJ42" i="1"/>
  <c r="DI42" i="1"/>
  <c r="DH42" i="1"/>
  <c r="DG42" i="1"/>
  <c r="DF42" i="1"/>
  <c r="CX42" i="1"/>
  <c r="CW42" i="1"/>
  <c r="CV42" i="1"/>
  <c r="CU42" i="1"/>
  <c r="CT42" i="1"/>
  <c r="CS42" i="1"/>
  <c r="CR42" i="1"/>
  <c r="CQ42" i="1"/>
  <c r="CP42" i="1"/>
  <c r="CO42" i="1"/>
  <c r="CN42" i="1"/>
  <c r="CK42" i="1"/>
  <c r="CJ42" i="1"/>
  <c r="CI42" i="1"/>
  <c r="CH42" i="1"/>
  <c r="CG42" i="1"/>
  <c r="AY42" i="1"/>
  <c r="AQ42" i="1"/>
  <c r="EL41" i="1"/>
  <c r="EK41" i="1"/>
  <c r="EJ41" i="1"/>
  <c r="EI41" i="1"/>
  <c r="EH41" i="1"/>
  <c r="EG41" i="1"/>
  <c r="EF41" i="1"/>
  <c r="EE41" i="1"/>
  <c r="ED41" i="1"/>
  <c r="EC41" i="1"/>
  <c r="EB41" i="1"/>
  <c r="EA41" i="1"/>
  <c r="DZ41" i="1"/>
  <c r="DY41" i="1"/>
  <c r="DX41" i="1"/>
  <c r="DW41" i="1"/>
  <c r="DV41" i="1"/>
  <c r="DU41" i="1"/>
  <c r="DT41" i="1"/>
  <c r="DS41" i="1"/>
  <c r="DR41" i="1"/>
  <c r="DQ41" i="1"/>
  <c r="DP41" i="1"/>
  <c r="DO41" i="1"/>
  <c r="DN41" i="1"/>
  <c r="DM41" i="1"/>
  <c r="DL41" i="1"/>
  <c r="DK41" i="1"/>
  <c r="DJ41" i="1"/>
  <c r="DI41" i="1"/>
  <c r="DH41" i="1"/>
  <c r="DG41" i="1"/>
  <c r="DF41" i="1"/>
  <c r="CX41" i="1"/>
  <c r="CW41" i="1"/>
  <c r="CV41" i="1"/>
  <c r="CU41" i="1"/>
  <c r="CT41" i="1"/>
  <c r="CS41" i="1"/>
  <c r="CR41" i="1"/>
  <c r="CQ41" i="1"/>
  <c r="CP41" i="1"/>
  <c r="CO41" i="1"/>
  <c r="CN41" i="1"/>
  <c r="CM41" i="1"/>
  <c r="CL41" i="1"/>
  <c r="CK41" i="1"/>
  <c r="CJ41" i="1"/>
  <c r="CI41" i="1"/>
  <c r="CH41" i="1"/>
  <c r="CG41" i="1"/>
  <c r="AY41" i="1"/>
  <c r="AQ41" i="1"/>
  <c r="EL40" i="1"/>
  <c r="EK40" i="1"/>
  <c r="EJ40" i="1"/>
  <c r="EI40" i="1"/>
  <c r="EH40" i="1"/>
  <c r="EG40" i="1"/>
  <c r="EF40" i="1"/>
  <c r="EE40" i="1"/>
  <c r="ED40" i="1"/>
  <c r="EC40" i="1"/>
  <c r="EB40" i="1"/>
  <c r="EA40" i="1"/>
  <c r="DZ40" i="1"/>
  <c r="DY40" i="1"/>
  <c r="DX40" i="1"/>
  <c r="DW40" i="1"/>
  <c r="DV40" i="1"/>
  <c r="DU40" i="1"/>
  <c r="DT40" i="1"/>
  <c r="DS40" i="1"/>
  <c r="DR40" i="1"/>
  <c r="DQ40" i="1"/>
  <c r="DP40" i="1"/>
  <c r="DO40" i="1"/>
  <c r="DN40" i="1"/>
  <c r="DM40" i="1"/>
  <c r="DL40" i="1"/>
  <c r="DK40" i="1"/>
  <c r="DJ40" i="1"/>
  <c r="DI40" i="1"/>
  <c r="DH40" i="1"/>
  <c r="DG40" i="1"/>
  <c r="DF40" i="1"/>
  <c r="CX40" i="1"/>
  <c r="CW40" i="1"/>
  <c r="CV40" i="1"/>
  <c r="CU40" i="1"/>
  <c r="CT40" i="1"/>
  <c r="CS40" i="1"/>
  <c r="CR40" i="1"/>
  <c r="CQ40" i="1"/>
  <c r="CP40" i="1"/>
  <c r="CO40" i="1"/>
  <c r="CN40" i="1"/>
  <c r="CL40" i="1"/>
  <c r="CK40" i="1"/>
  <c r="CJ40" i="1"/>
  <c r="CI40" i="1"/>
  <c r="CH40" i="1"/>
  <c r="CG40" i="1"/>
  <c r="AD40" i="1"/>
  <c r="AC40" i="1"/>
  <c r="AB40" i="1"/>
  <c r="AE40" i="1" s="1"/>
  <c r="AA40" i="1"/>
  <c r="Z40" i="1"/>
  <c r="AV25" i="1" s="1"/>
  <c r="Y40" i="1"/>
  <c r="V40" i="1"/>
  <c r="EL39" i="1"/>
  <c r="EK39" i="1"/>
  <c r="EJ39" i="1"/>
  <c r="EI39" i="1"/>
  <c r="EH39" i="1"/>
  <c r="EG39" i="1"/>
  <c r="EF39" i="1"/>
  <c r="EE39" i="1"/>
  <c r="ED39" i="1"/>
  <c r="EC39" i="1"/>
  <c r="EB39" i="1"/>
  <c r="EA39" i="1"/>
  <c r="DZ39" i="1"/>
  <c r="DY39" i="1"/>
  <c r="DX39" i="1"/>
  <c r="DW39" i="1"/>
  <c r="DV39" i="1"/>
  <c r="DU39" i="1"/>
  <c r="DT39" i="1"/>
  <c r="DS39" i="1"/>
  <c r="DR39" i="1"/>
  <c r="DQ39" i="1"/>
  <c r="DP39" i="1"/>
  <c r="DO39" i="1"/>
  <c r="DN39" i="1"/>
  <c r="DM39" i="1"/>
  <c r="DL39" i="1"/>
  <c r="DK39" i="1"/>
  <c r="DJ39" i="1"/>
  <c r="DI39" i="1"/>
  <c r="DH39" i="1"/>
  <c r="DG39" i="1"/>
  <c r="DF39" i="1"/>
  <c r="CX39" i="1"/>
  <c r="CW39" i="1"/>
  <c r="CV39" i="1"/>
  <c r="CU39" i="1"/>
  <c r="CT39" i="1"/>
  <c r="CS39" i="1"/>
  <c r="CR39" i="1"/>
  <c r="CQ39" i="1"/>
  <c r="CP39" i="1"/>
  <c r="CO39" i="1"/>
  <c r="CN39" i="1"/>
  <c r="CK39" i="1"/>
  <c r="CJ39" i="1"/>
  <c r="CI39" i="1"/>
  <c r="CH39" i="1"/>
  <c r="CG39" i="1"/>
  <c r="AD39" i="1"/>
  <c r="AC39" i="1"/>
  <c r="AB39" i="1"/>
  <c r="AE39" i="1" s="1"/>
  <c r="AA39" i="1"/>
  <c r="Z39" i="1"/>
  <c r="AV24" i="1" s="1"/>
  <c r="V39" i="1"/>
  <c r="EL38" i="1"/>
  <c r="EK38" i="1"/>
  <c r="EJ38" i="1"/>
  <c r="EI38" i="1"/>
  <c r="EH38" i="1"/>
  <c r="EG38" i="1"/>
  <c r="EF38" i="1"/>
  <c r="EE38" i="1"/>
  <c r="ED38" i="1"/>
  <c r="EC38" i="1"/>
  <c r="EB38" i="1"/>
  <c r="EA38" i="1"/>
  <c r="DZ38" i="1"/>
  <c r="DY38" i="1"/>
  <c r="DX38" i="1"/>
  <c r="DW38" i="1"/>
  <c r="DV38" i="1"/>
  <c r="DU38" i="1"/>
  <c r="DT38" i="1"/>
  <c r="DS38" i="1"/>
  <c r="DR38" i="1"/>
  <c r="DQ38" i="1"/>
  <c r="DP38" i="1"/>
  <c r="DO38" i="1"/>
  <c r="DN38" i="1"/>
  <c r="DM38" i="1"/>
  <c r="DL38" i="1"/>
  <c r="DK38" i="1"/>
  <c r="DJ38" i="1"/>
  <c r="DI38" i="1"/>
  <c r="DH38" i="1"/>
  <c r="DG38" i="1"/>
  <c r="DF38" i="1"/>
  <c r="CX38" i="1"/>
  <c r="CW38" i="1"/>
  <c r="CV38" i="1"/>
  <c r="CU38" i="1"/>
  <c r="CT38" i="1"/>
  <c r="CS38" i="1"/>
  <c r="CR38" i="1"/>
  <c r="CQ38" i="1"/>
  <c r="CP38" i="1"/>
  <c r="CO38" i="1"/>
  <c r="CN38" i="1"/>
  <c r="CK38" i="1"/>
  <c r="CJ38" i="1"/>
  <c r="CI38" i="1"/>
  <c r="CH38" i="1"/>
  <c r="CG38" i="1"/>
  <c r="AD38" i="1"/>
  <c r="AC38" i="1"/>
  <c r="AB38" i="1"/>
  <c r="AE38" i="1" s="1"/>
  <c r="AA38" i="1"/>
  <c r="Z38" i="1"/>
  <c r="AV23" i="1" s="1"/>
  <c r="V38" i="1"/>
  <c r="EL37" i="1"/>
  <c r="EK37" i="1"/>
  <c r="EJ37" i="1"/>
  <c r="EI37" i="1"/>
  <c r="EH37" i="1"/>
  <c r="EG37" i="1"/>
  <c r="EF37" i="1"/>
  <c r="EE37" i="1"/>
  <c r="ED37" i="1"/>
  <c r="EC37" i="1"/>
  <c r="EB37" i="1"/>
  <c r="EA37" i="1"/>
  <c r="DZ37" i="1"/>
  <c r="DY37" i="1"/>
  <c r="DX37" i="1"/>
  <c r="DW37" i="1"/>
  <c r="DV37" i="1"/>
  <c r="DU37" i="1"/>
  <c r="DT37" i="1"/>
  <c r="DS37" i="1"/>
  <c r="DR37" i="1"/>
  <c r="DQ37" i="1"/>
  <c r="DP37" i="1"/>
  <c r="DO37" i="1"/>
  <c r="DN37" i="1"/>
  <c r="DM37" i="1"/>
  <c r="DL37" i="1"/>
  <c r="DK37" i="1"/>
  <c r="DJ37" i="1"/>
  <c r="DI37" i="1"/>
  <c r="DH37" i="1"/>
  <c r="DG37" i="1"/>
  <c r="DF37" i="1"/>
  <c r="CX37" i="1"/>
  <c r="CW37" i="1"/>
  <c r="CV37" i="1"/>
  <c r="CU37" i="1"/>
  <c r="CT37" i="1"/>
  <c r="CS37" i="1"/>
  <c r="CR37" i="1"/>
  <c r="CQ37" i="1"/>
  <c r="CP37" i="1"/>
  <c r="CO37" i="1"/>
  <c r="CN37" i="1"/>
  <c r="CK37" i="1"/>
  <c r="CJ37" i="1"/>
  <c r="CI37" i="1"/>
  <c r="CH37" i="1"/>
  <c r="CG37" i="1"/>
  <c r="AD37" i="1"/>
  <c r="AC37" i="1"/>
  <c r="AB37" i="1"/>
  <c r="AE37" i="1" s="1"/>
  <c r="AA37" i="1"/>
  <c r="Z37" i="1"/>
  <c r="AV22" i="1" s="1"/>
  <c r="Y37" i="1"/>
  <c r="V37" i="1"/>
  <c r="EL36" i="1"/>
  <c r="EK36" i="1"/>
  <c r="EJ36" i="1"/>
  <c r="EI36" i="1"/>
  <c r="EH36" i="1"/>
  <c r="EG36" i="1"/>
  <c r="EF36" i="1"/>
  <c r="EE36" i="1"/>
  <c r="ED36" i="1"/>
  <c r="EC36" i="1"/>
  <c r="EB36" i="1"/>
  <c r="EA36" i="1"/>
  <c r="DZ36" i="1"/>
  <c r="DY36" i="1"/>
  <c r="DX36" i="1"/>
  <c r="DW36" i="1"/>
  <c r="DV36" i="1"/>
  <c r="DU36" i="1"/>
  <c r="DT36" i="1"/>
  <c r="DS36" i="1"/>
  <c r="DR36" i="1"/>
  <c r="DQ36" i="1"/>
  <c r="DP36" i="1"/>
  <c r="DO36" i="1"/>
  <c r="DN36" i="1"/>
  <c r="DM36" i="1"/>
  <c r="DL36" i="1"/>
  <c r="DK36" i="1"/>
  <c r="DJ36" i="1"/>
  <c r="DI36" i="1"/>
  <c r="DH36" i="1"/>
  <c r="DG36" i="1"/>
  <c r="DF36" i="1"/>
  <c r="CX36" i="1"/>
  <c r="CW36" i="1"/>
  <c r="CV36" i="1"/>
  <c r="CU36" i="1"/>
  <c r="CT36" i="1"/>
  <c r="CS36" i="1"/>
  <c r="CR36" i="1"/>
  <c r="CQ36" i="1"/>
  <c r="CP36" i="1"/>
  <c r="CO36" i="1"/>
  <c r="CN36" i="1"/>
  <c r="CM36" i="1"/>
  <c r="CK36" i="1"/>
  <c r="CJ36" i="1"/>
  <c r="CI36" i="1"/>
  <c r="CH36" i="1"/>
  <c r="CG36" i="1"/>
  <c r="AD36" i="1"/>
  <c r="AC36" i="1"/>
  <c r="AB36" i="1"/>
  <c r="AE36" i="1" s="1"/>
  <c r="AA36" i="1"/>
  <c r="Z36" i="1"/>
  <c r="AV21" i="1" s="1"/>
  <c r="X36" i="1"/>
  <c r="V36" i="1"/>
  <c r="EL35" i="1"/>
  <c r="EK35" i="1"/>
  <c r="EJ35" i="1"/>
  <c r="EI35" i="1"/>
  <c r="EH35" i="1"/>
  <c r="EG35" i="1"/>
  <c r="EF35" i="1"/>
  <c r="EE35" i="1"/>
  <c r="ED35" i="1"/>
  <c r="EC35" i="1"/>
  <c r="EB35" i="1"/>
  <c r="EA35" i="1"/>
  <c r="DZ35" i="1"/>
  <c r="DY35" i="1"/>
  <c r="DX35" i="1"/>
  <c r="DW35" i="1"/>
  <c r="DV35" i="1"/>
  <c r="DU35" i="1"/>
  <c r="DT35" i="1"/>
  <c r="DS35" i="1"/>
  <c r="DR35" i="1"/>
  <c r="DQ35" i="1"/>
  <c r="DP35" i="1"/>
  <c r="DO35" i="1"/>
  <c r="DN35" i="1"/>
  <c r="DM35" i="1"/>
  <c r="DL35" i="1"/>
  <c r="DK35" i="1"/>
  <c r="DJ35" i="1"/>
  <c r="DI35" i="1"/>
  <c r="DH35" i="1"/>
  <c r="DG35" i="1"/>
  <c r="DF35" i="1"/>
  <c r="CX35" i="1"/>
  <c r="CW35" i="1"/>
  <c r="CV35" i="1"/>
  <c r="CU35" i="1"/>
  <c r="CT35" i="1"/>
  <c r="CS35" i="1"/>
  <c r="CR35" i="1"/>
  <c r="CQ35" i="1"/>
  <c r="CP35" i="1"/>
  <c r="CO35" i="1"/>
  <c r="CN35" i="1"/>
  <c r="CM35" i="1"/>
  <c r="CK35" i="1"/>
  <c r="CJ35" i="1"/>
  <c r="CI35" i="1"/>
  <c r="CH35" i="1"/>
  <c r="CG35" i="1"/>
  <c r="AD35" i="1"/>
  <c r="AC35" i="1"/>
  <c r="AB35" i="1"/>
  <c r="AE35" i="1" s="1"/>
  <c r="AA35" i="1"/>
  <c r="Z35" i="1"/>
  <c r="AV20" i="1" s="1"/>
  <c r="V35" i="1"/>
  <c r="EL34" i="1"/>
  <c r="EK34" i="1"/>
  <c r="EJ34" i="1"/>
  <c r="EI34" i="1"/>
  <c r="EH34" i="1"/>
  <c r="EG34" i="1"/>
  <c r="EF34" i="1"/>
  <c r="EE34" i="1"/>
  <c r="ED34" i="1"/>
  <c r="EC34" i="1"/>
  <c r="EB34" i="1"/>
  <c r="EA34" i="1"/>
  <c r="DZ34" i="1"/>
  <c r="DY34" i="1"/>
  <c r="DX34" i="1"/>
  <c r="DW34" i="1"/>
  <c r="DV34" i="1"/>
  <c r="DU34" i="1"/>
  <c r="DT34" i="1"/>
  <c r="DS34" i="1"/>
  <c r="DR34" i="1"/>
  <c r="DQ34" i="1"/>
  <c r="DP34" i="1"/>
  <c r="DO34" i="1"/>
  <c r="DN34" i="1"/>
  <c r="DM34" i="1"/>
  <c r="DL34" i="1"/>
  <c r="DK34" i="1"/>
  <c r="DJ34" i="1"/>
  <c r="DI34" i="1"/>
  <c r="DH34" i="1"/>
  <c r="DG34" i="1"/>
  <c r="DF34" i="1"/>
  <c r="CX34" i="1"/>
  <c r="CW34" i="1"/>
  <c r="CV34" i="1"/>
  <c r="CU34" i="1"/>
  <c r="CT34" i="1"/>
  <c r="CS34" i="1"/>
  <c r="CR34" i="1"/>
  <c r="CQ34" i="1"/>
  <c r="CP34" i="1"/>
  <c r="CO34" i="1"/>
  <c r="CN34" i="1"/>
  <c r="CK34" i="1"/>
  <c r="CJ34" i="1"/>
  <c r="CI34" i="1"/>
  <c r="CH34" i="1"/>
  <c r="CG34" i="1"/>
  <c r="AD34" i="1"/>
  <c r="AC34" i="1"/>
  <c r="AB34" i="1"/>
  <c r="AE34" i="1" s="1"/>
  <c r="AA34" i="1"/>
  <c r="Z34" i="1"/>
  <c r="AV19" i="1" s="1"/>
  <c r="V34" i="1"/>
  <c r="EL33" i="1"/>
  <c r="EK33" i="1"/>
  <c r="EJ33" i="1"/>
  <c r="EI33" i="1"/>
  <c r="EH33" i="1"/>
  <c r="EG33" i="1"/>
  <c r="EF33" i="1"/>
  <c r="EE33" i="1"/>
  <c r="ED33" i="1"/>
  <c r="EC33" i="1"/>
  <c r="EB33" i="1"/>
  <c r="EA33" i="1"/>
  <c r="DZ33" i="1"/>
  <c r="DY33" i="1"/>
  <c r="DX33" i="1"/>
  <c r="DW33" i="1"/>
  <c r="DV33" i="1"/>
  <c r="DU33" i="1"/>
  <c r="DT33" i="1"/>
  <c r="DS33" i="1"/>
  <c r="DR33" i="1"/>
  <c r="DQ33" i="1"/>
  <c r="DP33" i="1"/>
  <c r="DO33" i="1"/>
  <c r="DN33" i="1"/>
  <c r="DM33" i="1"/>
  <c r="DL33" i="1"/>
  <c r="DK33" i="1"/>
  <c r="DJ33" i="1"/>
  <c r="DI33" i="1"/>
  <c r="DH33" i="1"/>
  <c r="DG33" i="1"/>
  <c r="DF33" i="1"/>
  <c r="CX33" i="1"/>
  <c r="CW33" i="1"/>
  <c r="CV33" i="1"/>
  <c r="CU33" i="1"/>
  <c r="CT33" i="1"/>
  <c r="CS33" i="1"/>
  <c r="CR33" i="1"/>
  <c r="CQ33" i="1"/>
  <c r="CP33" i="1"/>
  <c r="CO33" i="1"/>
  <c r="CN33" i="1"/>
  <c r="CK33" i="1"/>
  <c r="CJ33" i="1"/>
  <c r="CI33" i="1"/>
  <c r="CH33" i="1"/>
  <c r="CG33" i="1"/>
  <c r="AD33" i="1"/>
  <c r="AC33" i="1"/>
  <c r="AB33" i="1"/>
  <c r="AE33" i="1" s="1"/>
  <c r="AA33" i="1"/>
  <c r="Z33" i="1"/>
  <c r="AV18" i="1" s="1"/>
  <c r="Y33" i="1"/>
  <c r="V33" i="1"/>
  <c r="EL32" i="1"/>
  <c r="EK32" i="1"/>
  <c r="EJ32" i="1"/>
  <c r="EI32" i="1"/>
  <c r="EH32" i="1"/>
  <c r="EG32" i="1"/>
  <c r="EF32" i="1"/>
  <c r="EE32" i="1"/>
  <c r="ED32" i="1"/>
  <c r="EC32" i="1"/>
  <c r="EB32" i="1"/>
  <c r="EA32" i="1"/>
  <c r="DZ32" i="1"/>
  <c r="DY32" i="1"/>
  <c r="DX32" i="1"/>
  <c r="DW32" i="1"/>
  <c r="DV32" i="1"/>
  <c r="DU32" i="1"/>
  <c r="DT32" i="1"/>
  <c r="DS32" i="1"/>
  <c r="DR32" i="1"/>
  <c r="DQ32" i="1"/>
  <c r="DP32" i="1"/>
  <c r="DO32" i="1"/>
  <c r="DN32" i="1"/>
  <c r="DM32" i="1"/>
  <c r="DL32" i="1"/>
  <c r="DK32" i="1"/>
  <c r="DJ32" i="1"/>
  <c r="DI32" i="1"/>
  <c r="DH32" i="1"/>
  <c r="DG32" i="1"/>
  <c r="DF32" i="1"/>
  <c r="CX32" i="1"/>
  <c r="CW32" i="1"/>
  <c r="CV32" i="1"/>
  <c r="CU32" i="1"/>
  <c r="CT32" i="1"/>
  <c r="CS32" i="1"/>
  <c r="CR32" i="1"/>
  <c r="CQ32" i="1"/>
  <c r="CP32" i="1"/>
  <c r="CO32" i="1"/>
  <c r="CN32" i="1"/>
  <c r="CK32" i="1"/>
  <c r="CJ32" i="1"/>
  <c r="CI32" i="1"/>
  <c r="CH32" i="1"/>
  <c r="CG32" i="1"/>
  <c r="AD32" i="1"/>
  <c r="AC32" i="1"/>
  <c r="AB32" i="1"/>
  <c r="AE32" i="1" s="1"/>
  <c r="AA32" i="1"/>
  <c r="Z32" i="1"/>
  <c r="AV17" i="1" s="1"/>
  <c r="X32" i="1"/>
  <c r="V32" i="1"/>
  <c r="EL31" i="1"/>
  <c r="EK31" i="1"/>
  <c r="EJ31" i="1"/>
  <c r="EI31" i="1"/>
  <c r="EH31" i="1"/>
  <c r="EG31" i="1"/>
  <c r="EF31" i="1"/>
  <c r="EE31" i="1"/>
  <c r="ED31" i="1"/>
  <c r="EC31" i="1"/>
  <c r="EB31" i="1"/>
  <c r="EA31" i="1"/>
  <c r="DZ31" i="1"/>
  <c r="DY31" i="1"/>
  <c r="DX31" i="1"/>
  <c r="DW31" i="1"/>
  <c r="DV31" i="1"/>
  <c r="DU31" i="1"/>
  <c r="DT31" i="1"/>
  <c r="DS31" i="1"/>
  <c r="DR31" i="1"/>
  <c r="DQ31" i="1"/>
  <c r="DP31" i="1"/>
  <c r="DO31" i="1"/>
  <c r="DN31" i="1"/>
  <c r="DM31" i="1"/>
  <c r="DL31" i="1"/>
  <c r="DK31" i="1"/>
  <c r="DJ31" i="1"/>
  <c r="DI31" i="1"/>
  <c r="DH31" i="1"/>
  <c r="DG31" i="1"/>
  <c r="DF31" i="1"/>
  <c r="CX31" i="1"/>
  <c r="CW31" i="1"/>
  <c r="CV31" i="1"/>
  <c r="CU31" i="1"/>
  <c r="CT31" i="1"/>
  <c r="CS31" i="1"/>
  <c r="CR31" i="1"/>
  <c r="CQ31" i="1"/>
  <c r="CP31" i="1"/>
  <c r="CO31" i="1"/>
  <c r="CN31" i="1"/>
  <c r="CM31" i="1"/>
  <c r="CK31" i="1"/>
  <c r="CJ31" i="1"/>
  <c r="CI31" i="1"/>
  <c r="CH31" i="1"/>
  <c r="CG31" i="1"/>
  <c r="AD31" i="1"/>
  <c r="AC31" i="1"/>
  <c r="AB31" i="1"/>
  <c r="AE31" i="1" s="1"/>
  <c r="AA31" i="1"/>
  <c r="Z31" i="1"/>
  <c r="AV16" i="1" s="1"/>
  <c r="V31" i="1"/>
  <c r="EL30" i="1"/>
  <c r="EK30" i="1"/>
  <c r="EJ30" i="1"/>
  <c r="EI30" i="1"/>
  <c r="EH30" i="1"/>
  <c r="EG30" i="1"/>
  <c r="EF30" i="1"/>
  <c r="EE30" i="1"/>
  <c r="ED30" i="1"/>
  <c r="EC30" i="1"/>
  <c r="EB30" i="1"/>
  <c r="EA30" i="1"/>
  <c r="DZ30" i="1"/>
  <c r="DY30" i="1"/>
  <c r="DX30" i="1"/>
  <c r="DW30" i="1"/>
  <c r="DV30" i="1"/>
  <c r="DU30" i="1"/>
  <c r="DT30" i="1"/>
  <c r="DS30" i="1"/>
  <c r="DR30" i="1"/>
  <c r="DQ30" i="1"/>
  <c r="DP30" i="1"/>
  <c r="DO30" i="1"/>
  <c r="DN30" i="1"/>
  <c r="DM30" i="1"/>
  <c r="DL30" i="1"/>
  <c r="DK30" i="1"/>
  <c r="DJ30" i="1"/>
  <c r="DI30" i="1"/>
  <c r="DH30" i="1"/>
  <c r="DG30" i="1"/>
  <c r="DF30" i="1"/>
  <c r="CX30" i="1"/>
  <c r="CW30" i="1"/>
  <c r="CV30" i="1"/>
  <c r="CU30" i="1"/>
  <c r="CT30" i="1"/>
  <c r="CS30" i="1"/>
  <c r="CR30" i="1"/>
  <c r="CQ30" i="1"/>
  <c r="CP30" i="1"/>
  <c r="CO30" i="1"/>
  <c r="CN30" i="1"/>
  <c r="CK30" i="1"/>
  <c r="CJ30" i="1"/>
  <c r="CI30" i="1"/>
  <c r="CH30" i="1"/>
  <c r="CG30" i="1"/>
  <c r="AD30" i="1"/>
  <c r="AC30" i="1"/>
  <c r="AB30" i="1"/>
  <c r="AE30" i="1" s="1"/>
  <c r="AA30" i="1"/>
  <c r="Z30" i="1"/>
  <c r="AV15" i="1" s="1"/>
  <c r="V30" i="1"/>
  <c r="EL29" i="1"/>
  <c r="EK29" i="1"/>
  <c r="EJ29" i="1"/>
  <c r="EI29" i="1"/>
  <c r="EH29" i="1"/>
  <c r="EG29" i="1"/>
  <c r="EF29" i="1"/>
  <c r="EE29" i="1"/>
  <c r="ED29" i="1"/>
  <c r="EC29" i="1"/>
  <c r="EB29" i="1"/>
  <c r="EA29" i="1"/>
  <c r="DZ29" i="1"/>
  <c r="DY29" i="1"/>
  <c r="DX29" i="1"/>
  <c r="DW29" i="1"/>
  <c r="DV29" i="1"/>
  <c r="DU29" i="1"/>
  <c r="DT29" i="1"/>
  <c r="DS29" i="1"/>
  <c r="DR29" i="1"/>
  <c r="DQ29" i="1"/>
  <c r="DP29" i="1"/>
  <c r="DO29" i="1"/>
  <c r="DN29" i="1"/>
  <c r="DM29" i="1"/>
  <c r="DL29" i="1"/>
  <c r="DK29" i="1"/>
  <c r="DJ29" i="1"/>
  <c r="DI29" i="1"/>
  <c r="DH29" i="1"/>
  <c r="DG29" i="1"/>
  <c r="DF29" i="1"/>
  <c r="CX29" i="1"/>
  <c r="CW29" i="1"/>
  <c r="CV29" i="1"/>
  <c r="CU29" i="1"/>
  <c r="CT29" i="1"/>
  <c r="CS29" i="1"/>
  <c r="CR29" i="1"/>
  <c r="CQ29" i="1"/>
  <c r="CP29" i="1"/>
  <c r="CO29" i="1"/>
  <c r="CN29" i="1"/>
  <c r="CL29" i="1"/>
  <c r="CK29" i="1"/>
  <c r="CJ29" i="1"/>
  <c r="CI29" i="1"/>
  <c r="CH29" i="1"/>
  <c r="CG29" i="1"/>
  <c r="AD29" i="1"/>
  <c r="AC29" i="1"/>
  <c r="AB29" i="1"/>
  <c r="AE29" i="1" s="1"/>
  <c r="AA29" i="1"/>
  <c r="AB15" i="1" s="1"/>
  <c r="CL11" i="1" s="1"/>
  <c r="Z29" i="1"/>
  <c r="AV14" i="1" s="1"/>
  <c r="Y29" i="1"/>
  <c r="V29" i="1"/>
  <c r="EL28" i="1"/>
  <c r="EK28" i="1"/>
  <c r="EJ28" i="1"/>
  <c r="EI28" i="1"/>
  <c r="EH28" i="1"/>
  <c r="EG28" i="1"/>
  <c r="EF28" i="1"/>
  <c r="EE28" i="1"/>
  <c r="ED28" i="1"/>
  <c r="EC28" i="1"/>
  <c r="EB28" i="1"/>
  <c r="EA28" i="1"/>
  <c r="DZ28" i="1"/>
  <c r="DY28" i="1"/>
  <c r="DX28" i="1"/>
  <c r="DW28" i="1"/>
  <c r="DV28" i="1"/>
  <c r="DU28" i="1"/>
  <c r="DT28" i="1"/>
  <c r="DS28" i="1"/>
  <c r="DR28" i="1"/>
  <c r="DQ28" i="1"/>
  <c r="DP28" i="1"/>
  <c r="DO28" i="1"/>
  <c r="DN28" i="1"/>
  <c r="DM28" i="1"/>
  <c r="DL28" i="1"/>
  <c r="DK28" i="1"/>
  <c r="DJ28" i="1"/>
  <c r="DI28" i="1"/>
  <c r="DH28" i="1"/>
  <c r="DG28" i="1"/>
  <c r="DF28" i="1"/>
  <c r="CX28" i="1"/>
  <c r="CW28" i="1"/>
  <c r="CV28" i="1"/>
  <c r="CU28" i="1"/>
  <c r="CT28" i="1"/>
  <c r="CS28" i="1"/>
  <c r="CR28" i="1"/>
  <c r="CQ28" i="1"/>
  <c r="CP28" i="1"/>
  <c r="CO28" i="1"/>
  <c r="CN28" i="1"/>
  <c r="CM28" i="1"/>
  <c r="CL28" i="1"/>
  <c r="CK28" i="1"/>
  <c r="CJ28" i="1"/>
  <c r="CI28" i="1"/>
  <c r="CH28" i="1"/>
  <c r="CG28" i="1"/>
  <c r="EL27" i="1"/>
  <c r="EK27" i="1"/>
  <c r="EJ27" i="1"/>
  <c r="EI27" i="1"/>
  <c r="EH27" i="1"/>
  <c r="EG27" i="1"/>
  <c r="EF27" i="1"/>
  <c r="EE27" i="1"/>
  <c r="ED27" i="1"/>
  <c r="EC27" i="1"/>
  <c r="EB27" i="1"/>
  <c r="EA27" i="1"/>
  <c r="DZ27" i="1"/>
  <c r="DY27" i="1"/>
  <c r="DX27" i="1"/>
  <c r="DW27" i="1"/>
  <c r="DV27" i="1"/>
  <c r="DU27" i="1"/>
  <c r="DT27" i="1"/>
  <c r="DS27" i="1"/>
  <c r="DR27" i="1"/>
  <c r="DQ27" i="1"/>
  <c r="DP27" i="1"/>
  <c r="DO27" i="1"/>
  <c r="DN27" i="1"/>
  <c r="DM27" i="1"/>
  <c r="DL27" i="1"/>
  <c r="DK27" i="1"/>
  <c r="DJ27" i="1"/>
  <c r="DI27" i="1"/>
  <c r="DH27" i="1"/>
  <c r="DG27" i="1"/>
  <c r="DF27" i="1"/>
  <c r="CX27" i="1"/>
  <c r="CW27" i="1"/>
  <c r="CV27" i="1"/>
  <c r="CU27" i="1"/>
  <c r="CT27" i="1"/>
  <c r="CS27" i="1"/>
  <c r="CR27" i="1"/>
  <c r="CQ27" i="1"/>
  <c r="CP27" i="1"/>
  <c r="CO27" i="1"/>
  <c r="CN27" i="1"/>
  <c r="CK27" i="1"/>
  <c r="CJ27" i="1"/>
  <c r="CI27" i="1"/>
  <c r="CH27" i="1"/>
  <c r="CG27" i="1"/>
  <c r="EL26" i="1"/>
  <c r="EK26" i="1"/>
  <c r="EJ26" i="1"/>
  <c r="EI26" i="1"/>
  <c r="EH26" i="1"/>
  <c r="EG26" i="1"/>
  <c r="EF26" i="1"/>
  <c r="EE26" i="1"/>
  <c r="ED26" i="1"/>
  <c r="EC26" i="1"/>
  <c r="EB26" i="1"/>
  <c r="EA26" i="1"/>
  <c r="DZ26" i="1"/>
  <c r="DY26" i="1"/>
  <c r="DX26" i="1"/>
  <c r="DW26" i="1"/>
  <c r="DV26" i="1"/>
  <c r="DU26" i="1"/>
  <c r="DT26" i="1"/>
  <c r="DS26" i="1"/>
  <c r="DR26" i="1"/>
  <c r="DQ26" i="1"/>
  <c r="DP26" i="1"/>
  <c r="DO26" i="1"/>
  <c r="DN26" i="1"/>
  <c r="DM26" i="1"/>
  <c r="DL26" i="1"/>
  <c r="DK26" i="1"/>
  <c r="DJ26" i="1"/>
  <c r="DI26" i="1"/>
  <c r="DH26" i="1"/>
  <c r="DG26" i="1"/>
  <c r="DF26" i="1"/>
  <c r="CX26" i="1"/>
  <c r="CW26" i="1"/>
  <c r="CV26" i="1"/>
  <c r="CU26" i="1"/>
  <c r="CT26" i="1"/>
  <c r="CS26" i="1"/>
  <c r="CR26" i="1"/>
  <c r="CQ26" i="1"/>
  <c r="CP26" i="1"/>
  <c r="CO26" i="1"/>
  <c r="CN26" i="1"/>
  <c r="CL26" i="1"/>
  <c r="CK26" i="1"/>
  <c r="CJ26" i="1"/>
  <c r="CI26" i="1"/>
  <c r="CH26" i="1"/>
  <c r="CG26" i="1"/>
  <c r="AC26" i="1"/>
  <c r="CM22" i="1" s="1"/>
  <c r="AB26" i="1"/>
  <c r="CL22" i="1" s="1"/>
  <c r="EL25" i="1"/>
  <c r="EK25" i="1"/>
  <c r="EJ25" i="1"/>
  <c r="EI25" i="1"/>
  <c r="EH25" i="1"/>
  <c r="EG25" i="1"/>
  <c r="EF25" i="1"/>
  <c r="EE25" i="1"/>
  <c r="ED25" i="1"/>
  <c r="EC25" i="1"/>
  <c r="EB25" i="1"/>
  <c r="EA25" i="1"/>
  <c r="DZ25" i="1"/>
  <c r="DY25" i="1"/>
  <c r="DX25" i="1"/>
  <c r="DW25" i="1"/>
  <c r="DV25" i="1"/>
  <c r="DU25" i="1"/>
  <c r="DT25" i="1"/>
  <c r="DS25" i="1"/>
  <c r="DR25" i="1"/>
  <c r="DQ25" i="1"/>
  <c r="DP25" i="1"/>
  <c r="DO25" i="1"/>
  <c r="DN25" i="1"/>
  <c r="DM25" i="1"/>
  <c r="DL25" i="1"/>
  <c r="DK25" i="1"/>
  <c r="DJ25" i="1"/>
  <c r="DI25" i="1"/>
  <c r="DH25" i="1"/>
  <c r="DG25" i="1"/>
  <c r="DF25" i="1"/>
  <c r="CX25" i="1"/>
  <c r="CW25" i="1"/>
  <c r="CV25" i="1"/>
  <c r="CU25" i="1"/>
  <c r="CT25" i="1"/>
  <c r="CS25" i="1"/>
  <c r="CR25" i="1"/>
  <c r="CQ25" i="1"/>
  <c r="CP25" i="1"/>
  <c r="CO25" i="1"/>
  <c r="CN25" i="1"/>
  <c r="CM25" i="1"/>
  <c r="CL25" i="1"/>
  <c r="CK25" i="1"/>
  <c r="CJ25" i="1"/>
  <c r="CI25" i="1"/>
  <c r="CH25" i="1"/>
  <c r="CG25" i="1"/>
  <c r="AW25" i="1"/>
  <c r="AX25" i="1" s="1"/>
  <c r="AQ25" i="1"/>
  <c r="AC25" i="1"/>
  <c r="CM21" i="1" s="1"/>
  <c r="AB25" i="1"/>
  <c r="EL24" i="1"/>
  <c r="EK24" i="1"/>
  <c r="EJ24" i="1"/>
  <c r="EI24" i="1"/>
  <c r="EH24" i="1"/>
  <c r="EG24" i="1"/>
  <c r="EF24" i="1"/>
  <c r="EE24" i="1"/>
  <c r="ED24" i="1"/>
  <c r="EC24" i="1"/>
  <c r="EB24" i="1"/>
  <c r="EA24" i="1"/>
  <c r="DZ24" i="1"/>
  <c r="DY24" i="1"/>
  <c r="DX24" i="1"/>
  <c r="DW24" i="1"/>
  <c r="DV24" i="1"/>
  <c r="DU24" i="1"/>
  <c r="DT24" i="1"/>
  <c r="DS24" i="1"/>
  <c r="DR24" i="1"/>
  <c r="DQ24" i="1"/>
  <c r="DP24" i="1"/>
  <c r="DO24" i="1"/>
  <c r="DN24" i="1"/>
  <c r="DM24" i="1"/>
  <c r="DL24" i="1"/>
  <c r="DK24" i="1"/>
  <c r="DJ24" i="1"/>
  <c r="DI24" i="1"/>
  <c r="DH24" i="1"/>
  <c r="DG24" i="1"/>
  <c r="DF24" i="1"/>
  <c r="CX24" i="1"/>
  <c r="CW24" i="1"/>
  <c r="CV24" i="1"/>
  <c r="CU24" i="1"/>
  <c r="CT24" i="1"/>
  <c r="CS24" i="1"/>
  <c r="CR24" i="1"/>
  <c r="CQ24" i="1"/>
  <c r="CP24" i="1"/>
  <c r="CO24" i="1"/>
  <c r="CN24" i="1"/>
  <c r="CK24" i="1"/>
  <c r="CJ24" i="1"/>
  <c r="CI24" i="1"/>
  <c r="CH24" i="1"/>
  <c r="CG24" i="1"/>
  <c r="AW24" i="1"/>
  <c r="AR24" i="1" s="1"/>
  <c r="AQ24" i="1"/>
  <c r="AC24" i="1"/>
  <c r="CM20" i="1" s="1"/>
  <c r="AB24" i="1"/>
  <c r="CL20" i="1" s="1"/>
  <c r="EL23" i="1"/>
  <c r="EK23" i="1"/>
  <c r="EJ23" i="1"/>
  <c r="EI23" i="1"/>
  <c r="EH23" i="1"/>
  <c r="EG23" i="1"/>
  <c r="EF23" i="1"/>
  <c r="EE23" i="1"/>
  <c r="ED23" i="1"/>
  <c r="EC23" i="1"/>
  <c r="EB23" i="1"/>
  <c r="EA23" i="1"/>
  <c r="DZ23" i="1"/>
  <c r="DY23" i="1"/>
  <c r="DX23" i="1"/>
  <c r="DW23" i="1"/>
  <c r="DV23" i="1"/>
  <c r="DU23" i="1"/>
  <c r="DT23" i="1"/>
  <c r="DS23" i="1"/>
  <c r="DR23" i="1"/>
  <c r="DQ23" i="1"/>
  <c r="DP23" i="1"/>
  <c r="DO23" i="1"/>
  <c r="DN23" i="1"/>
  <c r="DM23" i="1"/>
  <c r="DL23" i="1"/>
  <c r="DK23" i="1"/>
  <c r="DJ23" i="1"/>
  <c r="DI23" i="1"/>
  <c r="DH23" i="1"/>
  <c r="DG23" i="1"/>
  <c r="DF23" i="1"/>
  <c r="CX23" i="1"/>
  <c r="CW23" i="1"/>
  <c r="CV23" i="1"/>
  <c r="CU23" i="1"/>
  <c r="CT23" i="1"/>
  <c r="CS23" i="1"/>
  <c r="CR23" i="1"/>
  <c r="CQ23" i="1"/>
  <c r="CP23" i="1"/>
  <c r="CO23" i="1"/>
  <c r="CN23" i="1"/>
  <c r="CK23" i="1"/>
  <c r="CJ23" i="1"/>
  <c r="CI23" i="1"/>
  <c r="CH23" i="1"/>
  <c r="CG23" i="1"/>
  <c r="AW23" i="1"/>
  <c r="AQ23" i="1"/>
  <c r="AC23" i="1"/>
  <c r="CM19" i="1" s="1"/>
  <c r="AB23" i="1"/>
  <c r="CL19" i="1" s="1"/>
  <c r="EL22" i="1"/>
  <c r="EK22" i="1"/>
  <c r="EJ22" i="1"/>
  <c r="EI22" i="1"/>
  <c r="EH22" i="1"/>
  <c r="EG22" i="1"/>
  <c r="EF22" i="1"/>
  <c r="EE22" i="1"/>
  <c r="ED22" i="1"/>
  <c r="EC22" i="1"/>
  <c r="EB22" i="1"/>
  <c r="EA22" i="1"/>
  <c r="DZ22" i="1"/>
  <c r="DY22" i="1"/>
  <c r="DX22" i="1"/>
  <c r="DW22" i="1"/>
  <c r="DV22" i="1"/>
  <c r="DU22" i="1"/>
  <c r="DT22" i="1"/>
  <c r="DS22" i="1"/>
  <c r="DR22" i="1"/>
  <c r="DQ22" i="1"/>
  <c r="DP22" i="1"/>
  <c r="DO22" i="1"/>
  <c r="DN22" i="1"/>
  <c r="DM22" i="1"/>
  <c r="DL22" i="1"/>
  <c r="DK22" i="1"/>
  <c r="DJ22" i="1"/>
  <c r="DI22" i="1"/>
  <c r="DH22" i="1"/>
  <c r="DG22" i="1"/>
  <c r="DF22" i="1"/>
  <c r="CX22" i="1"/>
  <c r="CW22" i="1"/>
  <c r="CV22" i="1"/>
  <c r="CU22" i="1"/>
  <c r="CT22" i="1"/>
  <c r="CS22" i="1"/>
  <c r="CR22" i="1"/>
  <c r="CQ22" i="1"/>
  <c r="CP22" i="1"/>
  <c r="CO22" i="1"/>
  <c r="CN22" i="1"/>
  <c r="CK22" i="1"/>
  <c r="CJ22" i="1"/>
  <c r="CI22" i="1"/>
  <c r="CH22" i="1"/>
  <c r="CG22" i="1"/>
  <c r="AW22" i="1"/>
  <c r="AX22" i="1" s="1"/>
  <c r="AQ22" i="1"/>
  <c r="AC22" i="1"/>
  <c r="CM18" i="1" s="1"/>
  <c r="AB22" i="1"/>
  <c r="CL18" i="1" s="1"/>
  <c r="EL21" i="1"/>
  <c r="EK21" i="1"/>
  <c r="EJ21" i="1"/>
  <c r="EI21" i="1"/>
  <c r="EH21" i="1"/>
  <c r="EG21" i="1"/>
  <c r="EF21" i="1"/>
  <c r="EE21" i="1"/>
  <c r="ED21" i="1"/>
  <c r="EC21" i="1"/>
  <c r="EB21" i="1"/>
  <c r="EA21" i="1"/>
  <c r="DZ21" i="1"/>
  <c r="DY21" i="1"/>
  <c r="DX21" i="1"/>
  <c r="DW21" i="1"/>
  <c r="DV21" i="1"/>
  <c r="DU21" i="1"/>
  <c r="DT21" i="1"/>
  <c r="DS21" i="1"/>
  <c r="DR21" i="1"/>
  <c r="DQ21" i="1"/>
  <c r="DP21" i="1"/>
  <c r="DO21" i="1"/>
  <c r="DN21" i="1"/>
  <c r="DM21" i="1"/>
  <c r="DL21" i="1"/>
  <c r="DK21" i="1"/>
  <c r="DJ21" i="1"/>
  <c r="DI21" i="1"/>
  <c r="DH21" i="1"/>
  <c r="DG21" i="1"/>
  <c r="DF21" i="1"/>
  <c r="CX21" i="1"/>
  <c r="CW21" i="1"/>
  <c r="CV21" i="1"/>
  <c r="CU21" i="1"/>
  <c r="CT21" i="1"/>
  <c r="CS21" i="1"/>
  <c r="CR21" i="1"/>
  <c r="CQ21" i="1"/>
  <c r="CP21" i="1"/>
  <c r="CO21" i="1"/>
  <c r="CN21" i="1"/>
  <c r="CL21" i="1"/>
  <c r="CK21" i="1"/>
  <c r="CJ21" i="1"/>
  <c r="CI21" i="1"/>
  <c r="CH21" i="1"/>
  <c r="CG21" i="1"/>
  <c r="AW21" i="1"/>
  <c r="AX21" i="1" s="1"/>
  <c r="AQ21" i="1"/>
  <c r="AC21" i="1"/>
  <c r="CM17" i="1" s="1"/>
  <c r="AB21" i="1"/>
  <c r="CL17" i="1" s="1"/>
  <c r="EL20" i="1"/>
  <c r="EK20" i="1"/>
  <c r="EJ20" i="1"/>
  <c r="EI20" i="1"/>
  <c r="EH20" i="1"/>
  <c r="EG20" i="1"/>
  <c r="EF20" i="1"/>
  <c r="EE20" i="1"/>
  <c r="ED20" i="1"/>
  <c r="EC20" i="1"/>
  <c r="EB20" i="1"/>
  <c r="EA20" i="1"/>
  <c r="DZ20" i="1"/>
  <c r="DY20" i="1"/>
  <c r="DX20" i="1"/>
  <c r="DW20" i="1"/>
  <c r="DV20" i="1"/>
  <c r="DU20" i="1"/>
  <c r="DT20" i="1"/>
  <c r="DS20" i="1"/>
  <c r="DR20" i="1"/>
  <c r="DQ20" i="1"/>
  <c r="DP20" i="1"/>
  <c r="DO20" i="1"/>
  <c r="DN20" i="1"/>
  <c r="DM20" i="1"/>
  <c r="DL20" i="1"/>
  <c r="DK20" i="1"/>
  <c r="DJ20" i="1"/>
  <c r="DI20" i="1"/>
  <c r="DH20" i="1"/>
  <c r="DG20" i="1"/>
  <c r="DF20" i="1"/>
  <c r="CX20" i="1"/>
  <c r="CW20" i="1"/>
  <c r="CV20" i="1"/>
  <c r="CU20" i="1"/>
  <c r="CT20" i="1"/>
  <c r="CS20" i="1"/>
  <c r="CR20" i="1"/>
  <c r="CQ20" i="1"/>
  <c r="CP20" i="1"/>
  <c r="CO20" i="1"/>
  <c r="CN20" i="1"/>
  <c r="CK20" i="1"/>
  <c r="CJ20" i="1"/>
  <c r="CI20" i="1"/>
  <c r="CH20" i="1"/>
  <c r="CG20" i="1"/>
  <c r="AW20" i="1"/>
  <c r="AX20" i="1" s="1"/>
  <c r="AQ20" i="1"/>
  <c r="AC20" i="1"/>
  <c r="CM16" i="1" s="1"/>
  <c r="AB20" i="1"/>
  <c r="CL16" i="1" s="1"/>
  <c r="EL19" i="1"/>
  <c r="EK19" i="1"/>
  <c r="EJ19" i="1"/>
  <c r="EI19" i="1"/>
  <c r="EH19" i="1"/>
  <c r="EG19" i="1"/>
  <c r="EF19" i="1"/>
  <c r="EE19" i="1"/>
  <c r="ED19" i="1"/>
  <c r="EC19" i="1"/>
  <c r="EB19" i="1"/>
  <c r="EA19" i="1"/>
  <c r="DZ19" i="1"/>
  <c r="DY19" i="1"/>
  <c r="DX19" i="1"/>
  <c r="DW19" i="1"/>
  <c r="DV19" i="1"/>
  <c r="DU19" i="1"/>
  <c r="DT19" i="1"/>
  <c r="DS19" i="1"/>
  <c r="DR19" i="1"/>
  <c r="DQ19" i="1"/>
  <c r="DP19" i="1"/>
  <c r="DO19" i="1"/>
  <c r="DN19" i="1"/>
  <c r="DM19" i="1"/>
  <c r="DL19" i="1"/>
  <c r="DK19" i="1"/>
  <c r="DJ19" i="1"/>
  <c r="DI19" i="1"/>
  <c r="DH19" i="1"/>
  <c r="DG19" i="1"/>
  <c r="DF19" i="1"/>
  <c r="CX19" i="1"/>
  <c r="CW19" i="1"/>
  <c r="CV19" i="1"/>
  <c r="CU19" i="1"/>
  <c r="CT19" i="1"/>
  <c r="CS19" i="1"/>
  <c r="CR19" i="1"/>
  <c r="CQ19" i="1"/>
  <c r="CP19" i="1"/>
  <c r="CO19" i="1"/>
  <c r="CN19" i="1"/>
  <c r="CK19" i="1"/>
  <c r="CJ19" i="1"/>
  <c r="CI19" i="1"/>
  <c r="CH19" i="1"/>
  <c r="CG19" i="1"/>
  <c r="AW19" i="1"/>
  <c r="AX19" i="1" s="1"/>
  <c r="AQ19" i="1"/>
  <c r="AC19" i="1"/>
  <c r="CM15" i="1" s="1"/>
  <c r="AB19" i="1"/>
  <c r="CL15" i="1" s="1"/>
  <c r="EL18" i="1"/>
  <c r="EK18" i="1"/>
  <c r="EJ18" i="1"/>
  <c r="EI18" i="1"/>
  <c r="EH18" i="1"/>
  <c r="EG18" i="1"/>
  <c r="EF18" i="1"/>
  <c r="EE18" i="1"/>
  <c r="ED18" i="1"/>
  <c r="EC18" i="1"/>
  <c r="EB18" i="1"/>
  <c r="EA18" i="1"/>
  <c r="DZ18" i="1"/>
  <c r="DY18" i="1"/>
  <c r="DX18" i="1"/>
  <c r="DW18" i="1"/>
  <c r="DV18" i="1"/>
  <c r="DU18" i="1"/>
  <c r="DT18" i="1"/>
  <c r="DS18" i="1"/>
  <c r="DR18" i="1"/>
  <c r="DQ18" i="1"/>
  <c r="DP18" i="1"/>
  <c r="DO18" i="1"/>
  <c r="DN18" i="1"/>
  <c r="DM18" i="1"/>
  <c r="DL18" i="1"/>
  <c r="DK18" i="1"/>
  <c r="DJ18" i="1"/>
  <c r="DI18" i="1"/>
  <c r="DH18" i="1"/>
  <c r="DG18" i="1"/>
  <c r="DF18" i="1"/>
  <c r="CX18" i="1"/>
  <c r="CW18" i="1"/>
  <c r="CV18" i="1"/>
  <c r="CU18" i="1"/>
  <c r="CT18" i="1"/>
  <c r="CS18" i="1"/>
  <c r="CR18" i="1"/>
  <c r="CQ18" i="1"/>
  <c r="CP18" i="1"/>
  <c r="CO18" i="1"/>
  <c r="CN18" i="1"/>
  <c r="CK18" i="1"/>
  <c r="CJ18" i="1"/>
  <c r="CI18" i="1"/>
  <c r="CH18" i="1"/>
  <c r="CG18" i="1"/>
  <c r="AW18" i="1"/>
  <c r="AQ18" i="1"/>
  <c r="AC18" i="1"/>
  <c r="CM14" i="1" s="1"/>
  <c r="AB18" i="1"/>
  <c r="CL14" i="1" s="1"/>
  <c r="EL17" i="1"/>
  <c r="EK17" i="1"/>
  <c r="EJ17" i="1"/>
  <c r="EI17" i="1"/>
  <c r="EH17" i="1"/>
  <c r="EG17" i="1"/>
  <c r="EF17" i="1"/>
  <c r="EE17" i="1"/>
  <c r="ED17" i="1"/>
  <c r="EC17" i="1"/>
  <c r="EB17" i="1"/>
  <c r="EA17" i="1"/>
  <c r="DZ17" i="1"/>
  <c r="DY17" i="1"/>
  <c r="DX17" i="1"/>
  <c r="DW17" i="1"/>
  <c r="DV17" i="1"/>
  <c r="DU17" i="1"/>
  <c r="DT17" i="1"/>
  <c r="DS17" i="1"/>
  <c r="DR17" i="1"/>
  <c r="DQ17" i="1"/>
  <c r="DP17" i="1"/>
  <c r="DO17" i="1"/>
  <c r="DN17" i="1"/>
  <c r="DM17" i="1"/>
  <c r="DL17" i="1"/>
  <c r="DK17" i="1"/>
  <c r="DJ17" i="1"/>
  <c r="DI17" i="1"/>
  <c r="DH17" i="1"/>
  <c r="DG17" i="1"/>
  <c r="DF17" i="1"/>
  <c r="CX17" i="1"/>
  <c r="CW17" i="1"/>
  <c r="CV17" i="1"/>
  <c r="CU17" i="1"/>
  <c r="CT17" i="1"/>
  <c r="CS17" i="1"/>
  <c r="CR17" i="1"/>
  <c r="CQ17" i="1"/>
  <c r="CP17" i="1"/>
  <c r="CO17" i="1"/>
  <c r="CN17" i="1"/>
  <c r="CK17" i="1"/>
  <c r="CJ17" i="1"/>
  <c r="CI17" i="1"/>
  <c r="CH17" i="1"/>
  <c r="CG17" i="1"/>
  <c r="AW17" i="1"/>
  <c r="AQ17" i="1"/>
  <c r="AC17" i="1"/>
  <c r="CM13" i="1" s="1"/>
  <c r="AB17" i="1"/>
  <c r="CL13" i="1" s="1"/>
  <c r="EL16" i="1"/>
  <c r="EK16" i="1"/>
  <c r="EJ16" i="1"/>
  <c r="EI16" i="1"/>
  <c r="EH16" i="1"/>
  <c r="EG16" i="1"/>
  <c r="EF16" i="1"/>
  <c r="EE16" i="1"/>
  <c r="ED16" i="1"/>
  <c r="EC16" i="1"/>
  <c r="EB16" i="1"/>
  <c r="EA16" i="1"/>
  <c r="DZ16" i="1"/>
  <c r="DY16" i="1"/>
  <c r="DX16" i="1"/>
  <c r="DW16" i="1"/>
  <c r="DV16" i="1"/>
  <c r="DU16" i="1"/>
  <c r="DT16" i="1"/>
  <c r="DS16" i="1"/>
  <c r="DR16" i="1"/>
  <c r="DQ16" i="1"/>
  <c r="DP16" i="1"/>
  <c r="DO16" i="1"/>
  <c r="DN16" i="1"/>
  <c r="DM16" i="1"/>
  <c r="DL16" i="1"/>
  <c r="DK16" i="1"/>
  <c r="DJ16" i="1"/>
  <c r="DI16" i="1"/>
  <c r="DH16" i="1"/>
  <c r="DG16" i="1"/>
  <c r="DF16" i="1"/>
  <c r="CX16" i="1"/>
  <c r="CW16" i="1"/>
  <c r="CV16" i="1"/>
  <c r="CU16" i="1"/>
  <c r="CT16" i="1"/>
  <c r="CS16" i="1"/>
  <c r="CR16" i="1"/>
  <c r="CQ16" i="1"/>
  <c r="CP16" i="1"/>
  <c r="CO16" i="1"/>
  <c r="CN16" i="1"/>
  <c r="CK16" i="1"/>
  <c r="CJ16" i="1"/>
  <c r="CI16" i="1"/>
  <c r="CH16" i="1"/>
  <c r="CG16" i="1"/>
  <c r="AW16" i="1"/>
  <c r="AX16" i="1" s="1"/>
  <c r="AQ16" i="1"/>
  <c r="AC16" i="1"/>
  <c r="CM12" i="1" s="1"/>
  <c r="AB16" i="1"/>
  <c r="CL12" i="1" s="1"/>
  <c r="EL15" i="1"/>
  <c r="EK15" i="1"/>
  <c r="EJ15" i="1"/>
  <c r="EI15" i="1"/>
  <c r="EH15" i="1"/>
  <c r="EG15" i="1"/>
  <c r="EF15" i="1"/>
  <c r="EE15" i="1"/>
  <c r="ED15" i="1"/>
  <c r="EC15" i="1"/>
  <c r="EB15" i="1"/>
  <c r="EA15" i="1"/>
  <c r="DZ15" i="1"/>
  <c r="DY15" i="1"/>
  <c r="DX15" i="1"/>
  <c r="DW15" i="1"/>
  <c r="DV15" i="1"/>
  <c r="DU15" i="1"/>
  <c r="DT15" i="1"/>
  <c r="DS15" i="1"/>
  <c r="DR15" i="1"/>
  <c r="DQ15" i="1"/>
  <c r="DP15" i="1"/>
  <c r="DO15" i="1"/>
  <c r="DN15" i="1"/>
  <c r="DM15" i="1"/>
  <c r="DL15" i="1"/>
  <c r="DK15" i="1"/>
  <c r="DJ15" i="1"/>
  <c r="DI15" i="1"/>
  <c r="DH15" i="1"/>
  <c r="DG15" i="1"/>
  <c r="DF15" i="1"/>
  <c r="CX15" i="1"/>
  <c r="CW15" i="1"/>
  <c r="CV15" i="1"/>
  <c r="CU15" i="1"/>
  <c r="CT15" i="1"/>
  <c r="CS15" i="1"/>
  <c r="CR15" i="1"/>
  <c r="CQ15" i="1"/>
  <c r="CP15" i="1"/>
  <c r="CO15" i="1"/>
  <c r="CN15" i="1"/>
  <c r="CK15" i="1"/>
  <c r="CJ15" i="1"/>
  <c r="CI15" i="1"/>
  <c r="CH15" i="1"/>
  <c r="CG15" i="1"/>
  <c r="AW15" i="1"/>
  <c r="AQ15" i="1"/>
  <c r="AC15" i="1"/>
  <c r="CM11" i="1" s="1"/>
  <c r="EL14" i="1"/>
  <c r="EK14" i="1"/>
  <c r="EJ14" i="1"/>
  <c r="EI14" i="1"/>
  <c r="EH14" i="1"/>
  <c r="EG14" i="1"/>
  <c r="EF14" i="1"/>
  <c r="EE14" i="1"/>
  <c r="ED14" i="1"/>
  <c r="EC14" i="1"/>
  <c r="EB14" i="1"/>
  <c r="EA14" i="1"/>
  <c r="DZ14" i="1"/>
  <c r="DY14" i="1"/>
  <c r="DX14" i="1"/>
  <c r="DW14" i="1"/>
  <c r="DV14" i="1"/>
  <c r="DU14" i="1"/>
  <c r="DT14" i="1"/>
  <c r="DS14" i="1"/>
  <c r="DR14" i="1"/>
  <c r="DQ14" i="1"/>
  <c r="DP14" i="1"/>
  <c r="DO14" i="1"/>
  <c r="DN14" i="1"/>
  <c r="DM14" i="1"/>
  <c r="DL14" i="1"/>
  <c r="DK14" i="1"/>
  <c r="DJ14" i="1"/>
  <c r="DI14" i="1"/>
  <c r="DH14" i="1"/>
  <c r="DG14" i="1"/>
  <c r="DF14" i="1"/>
  <c r="CX14" i="1"/>
  <c r="CW14" i="1"/>
  <c r="CV14" i="1"/>
  <c r="CU14" i="1"/>
  <c r="CT14" i="1"/>
  <c r="CS14" i="1"/>
  <c r="CR14" i="1"/>
  <c r="CQ14" i="1"/>
  <c r="CP14" i="1"/>
  <c r="CO14" i="1"/>
  <c r="CN14" i="1"/>
  <c r="CK14" i="1"/>
  <c r="CJ14" i="1"/>
  <c r="CI14" i="1"/>
  <c r="CH14" i="1"/>
  <c r="CG14" i="1"/>
  <c r="AW14" i="1"/>
  <c r="AR14" i="1" s="1"/>
  <c r="EL13" i="1"/>
  <c r="EK13" i="1"/>
  <c r="EJ13" i="1"/>
  <c r="EI13" i="1"/>
  <c r="EH13" i="1"/>
  <c r="EG13" i="1"/>
  <c r="EF13" i="1"/>
  <c r="EE13" i="1"/>
  <c r="ED13" i="1"/>
  <c r="EC13" i="1"/>
  <c r="EB13" i="1"/>
  <c r="EA13" i="1"/>
  <c r="DZ13" i="1"/>
  <c r="DY13" i="1"/>
  <c r="DX13" i="1"/>
  <c r="DW13" i="1"/>
  <c r="DV13" i="1"/>
  <c r="DU13" i="1"/>
  <c r="DT13" i="1"/>
  <c r="DS13" i="1"/>
  <c r="DR13" i="1"/>
  <c r="DQ13" i="1"/>
  <c r="DP13" i="1"/>
  <c r="DO13" i="1"/>
  <c r="DN13" i="1"/>
  <c r="DM13" i="1"/>
  <c r="DL13" i="1"/>
  <c r="DK13" i="1"/>
  <c r="DJ13" i="1"/>
  <c r="DI13" i="1"/>
  <c r="DH13" i="1"/>
  <c r="DG13" i="1"/>
  <c r="DF13" i="1"/>
  <c r="CX13" i="1"/>
  <c r="CW13" i="1"/>
  <c r="CV13" i="1"/>
  <c r="CU13" i="1"/>
  <c r="CT13" i="1"/>
  <c r="CS13" i="1"/>
  <c r="CR13" i="1"/>
  <c r="CQ13" i="1"/>
  <c r="CP13" i="1"/>
  <c r="CO13" i="1"/>
  <c r="CN13" i="1"/>
  <c r="CK13" i="1"/>
  <c r="CJ13" i="1"/>
  <c r="CI13" i="1"/>
  <c r="CH13" i="1"/>
  <c r="CG13" i="1"/>
  <c r="EL12" i="1"/>
  <c r="EK12" i="1"/>
  <c r="EJ12" i="1"/>
  <c r="EI12" i="1"/>
  <c r="EH12" i="1"/>
  <c r="EG12" i="1"/>
  <c r="EF12" i="1"/>
  <c r="EE12" i="1"/>
  <c r="ED12" i="1"/>
  <c r="EC12" i="1"/>
  <c r="EB12" i="1"/>
  <c r="EA12" i="1"/>
  <c r="DZ12" i="1"/>
  <c r="DY12" i="1"/>
  <c r="DX12" i="1"/>
  <c r="DW12" i="1"/>
  <c r="DV12" i="1"/>
  <c r="DU12" i="1"/>
  <c r="DT12" i="1"/>
  <c r="DS12" i="1"/>
  <c r="DR12" i="1"/>
  <c r="DQ12" i="1"/>
  <c r="DP12" i="1"/>
  <c r="DO12" i="1"/>
  <c r="DN12" i="1"/>
  <c r="DM12" i="1"/>
  <c r="DL12" i="1"/>
  <c r="DK12" i="1"/>
  <c r="DJ12" i="1"/>
  <c r="DI12" i="1"/>
  <c r="DH12" i="1"/>
  <c r="DG12" i="1"/>
  <c r="DF12" i="1"/>
  <c r="CX12" i="1"/>
  <c r="CW12" i="1"/>
  <c r="CV12" i="1"/>
  <c r="CU12" i="1"/>
  <c r="CT12" i="1"/>
  <c r="CS12" i="1"/>
  <c r="CR12" i="1"/>
  <c r="CQ12" i="1"/>
  <c r="CP12" i="1"/>
  <c r="CO12" i="1"/>
  <c r="CN12" i="1"/>
  <c r="CK12" i="1"/>
  <c r="CJ12" i="1"/>
  <c r="CI12" i="1"/>
  <c r="CH12" i="1"/>
  <c r="CG12" i="1"/>
  <c r="EL11" i="1"/>
  <c r="EK11" i="1"/>
  <c r="EJ11" i="1"/>
  <c r="EI11" i="1"/>
  <c r="EH11" i="1"/>
  <c r="EG11" i="1"/>
  <c r="EF11" i="1"/>
  <c r="EE11" i="1"/>
  <c r="ED11" i="1"/>
  <c r="EC11" i="1"/>
  <c r="EB11" i="1"/>
  <c r="EA11" i="1"/>
  <c r="DZ11" i="1"/>
  <c r="DY11" i="1"/>
  <c r="DX11" i="1"/>
  <c r="DW11" i="1"/>
  <c r="DV11" i="1"/>
  <c r="DU11" i="1"/>
  <c r="DT11" i="1"/>
  <c r="DS11" i="1"/>
  <c r="DR11" i="1"/>
  <c r="DQ11" i="1"/>
  <c r="DP11" i="1"/>
  <c r="DO11" i="1"/>
  <c r="DN11" i="1"/>
  <c r="DM11" i="1"/>
  <c r="DL11" i="1"/>
  <c r="DK11" i="1"/>
  <c r="DJ11" i="1"/>
  <c r="DI11" i="1"/>
  <c r="DH11" i="1"/>
  <c r="DG11" i="1"/>
  <c r="DF11" i="1"/>
  <c r="CX11" i="1"/>
  <c r="CW11" i="1"/>
  <c r="CV11" i="1"/>
  <c r="CU11" i="1"/>
  <c r="CT11" i="1"/>
  <c r="CS11" i="1"/>
  <c r="CR11" i="1"/>
  <c r="CQ11" i="1"/>
  <c r="CP11" i="1"/>
  <c r="CO11" i="1"/>
  <c r="CN11" i="1"/>
  <c r="CK11" i="1"/>
  <c r="CJ11" i="1"/>
  <c r="CI11" i="1"/>
  <c r="CH11" i="1"/>
  <c r="CG11" i="1"/>
  <c r="DL6" i="1"/>
  <c r="DK6" i="1"/>
  <c r="DJ6" i="1"/>
  <c r="DI6" i="1"/>
  <c r="DH6" i="1"/>
  <c r="DG6" i="1"/>
  <c r="DF6" i="1"/>
  <c r="DE6" i="1"/>
  <c r="DD6" i="1"/>
  <c r="DC6" i="1"/>
  <c r="DB6" i="1"/>
  <c r="DA6" i="1"/>
  <c r="CZ6" i="1"/>
  <c r="CY6" i="1"/>
  <c r="CX6" i="1"/>
  <c r="CW6" i="1"/>
  <c r="CV6" i="1"/>
  <c r="CU6" i="1"/>
  <c r="CT6" i="1"/>
  <c r="CS6" i="1"/>
  <c r="CR6" i="1"/>
  <c r="CQ6" i="1"/>
  <c r="CP6" i="1"/>
  <c r="CO6" i="1"/>
  <c r="CN6" i="1"/>
  <c r="CM6" i="1"/>
  <c r="CL6" i="1"/>
  <c r="CJ6" i="1"/>
  <c r="CI6" i="1"/>
  <c r="CH6" i="1"/>
  <c r="CG6" i="1"/>
  <c r="X5" i="1"/>
  <c r="AT137" i="1" l="1"/>
  <c r="AS137" i="1"/>
  <c r="AT141" i="1"/>
  <c r="AS141" i="1"/>
  <c r="BA285" i="1"/>
  <c r="BB285" i="1"/>
  <c r="AS333" i="1"/>
  <c r="AT333" i="1"/>
  <c r="AX18" i="1"/>
  <c r="BB185" i="1"/>
  <c r="BA185" i="1"/>
  <c r="BA188" i="1"/>
  <c r="BB188" i="1"/>
  <c r="AS475" i="1"/>
  <c r="AT475" i="1"/>
  <c r="AX24" i="1"/>
  <c r="AS89" i="1"/>
  <c r="AT89" i="1"/>
  <c r="Y129" i="1"/>
  <c r="X129" i="1"/>
  <c r="AS283" i="1"/>
  <c r="AT283" i="1"/>
  <c r="BA283" i="1"/>
  <c r="BB283" i="1"/>
  <c r="AT379" i="1"/>
  <c r="AS379" i="1"/>
  <c r="BA379" i="1"/>
  <c r="BB379" i="1"/>
  <c r="AT430" i="1"/>
  <c r="AS430" i="1"/>
  <c r="BB475" i="1"/>
  <c r="BA475" i="1"/>
  <c r="BB93" i="1"/>
  <c r="BA93" i="1"/>
  <c r="AT350" i="1"/>
  <c r="AR377" i="1" s="1" a="1"/>
  <c r="AR377" i="1" s="1"/>
  <c r="BB430" i="1"/>
  <c r="BA430" i="1"/>
  <c r="AU15" i="1"/>
  <c r="AX15" i="1"/>
  <c r="BB334" i="1"/>
  <c r="BA334" i="1"/>
  <c r="AU350" i="1"/>
  <c r="AR305" i="1"/>
  <c r="AS474" i="1"/>
  <c r="AT474" i="1"/>
  <c r="AU23" i="1"/>
  <c r="AX23" i="1"/>
  <c r="AU17" i="1"/>
  <c r="AX17" i="1"/>
  <c r="AX14" i="1"/>
  <c r="AU163" i="1"/>
  <c r="AT357" i="1"/>
  <c r="AZ378" i="1" s="1" a="1"/>
  <c r="AZ378" i="1" s="1"/>
  <c r="AT451" i="1"/>
  <c r="AR478" i="1" s="1" a="1"/>
  <c r="AR478" i="1" s="1"/>
  <c r="AR70" i="1"/>
  <c r="AR120" i="1"/>
  <c r="AR358" i="1"/>
  <c r="AT24" i="1"/>
  <c r="AZ45" i="1" s="1" a="1"/>
  <c r="AZ45" i="1" s="1"/>
  <c r="AR69" i="1"/>
  <c r="AR113" i="1"/>
  <c r="AT120" i="1"/>
  <c r="AZ141" i="1" s="1" a="1"/>
  <c r="AZ141" i="1" s="1"/>
  <c r="AU162" i="1"/>
  <c r="AU358" i="1"/>
  <c r="AT69" i="1"/>
  <c r="AZ90" i="1" s="1" a="1"/>
  <c r="AZ90" i="1" s="1"/>
  <c r="X462" i="1"/>
  <c r="AT263" i="1"/>
  <c r="AZ284" i="1" s="1" a="1"/>
  <c r="AZ284" i="1" s="1"/>
  <c r="AT119" i="1"/>
  <c r="AZ140" i="1" s="1" a="1"/>
  <c r="AZ140" i="1" s="1"/>
  <c r="AR206" i="1"/>
  <c r="AR163" i="1"/>
  <c r="AT261" i="1"/>
  <c r="AZ282" i="1" s="1" a="1"/>
  <c r="AZ282" i="1" s="1"/>
  <c r="Y319" i="1"/>
  <c r="X319" i="1"/>
  <c r="AU167" i="1"/>
  <c r="AR64" i="1"/>
  <c r="Y174" i="1"/>
  <c r="AT207" i="1"/>
  <c r="AR234" i="1" s="1" a="1"/>
  <c r="AR234" i="1" s="1"/>
  <c r="AT212" i="1"/>
  <c r="AZ233" i="1" s="1" a="1"/>
  <c r="AZ233" i="1" s="1"/>
  <c r="AT305" i="1"/>
  <c r="AR332" i="1" s="1" a="1"/>
  <c r="AR332" i="1" s="1"/>
  <c r="AT64" i="1"/>
  <c r="AR91" i="1" s="1" a="1"/>
  <c r="AR91" i="1" s="1"/>
  <c r="AT91" i="1" s="1"/>
  <c r="AU64" i="1"/>
  <c r="AU212" i="1"/>
  <c r="AU305" i="1"/>
  <c r="AU24" i="1"/>
  <c r="AU69" i="1"/>
  <c r="AT63" i="1"/>
  <c r="AR162" i="1"/>
  <c r="AR263" i="1"/>
  <c r="AT402" i="1"/>
  <c r="AR429" i="1" s="1" a="1"/>
  <c r="AR429" i="1" s="1"/>
  <c r="AT118" i="1"/>
  <c r="AZ139" i="1" s="1" a="1"/>
  <c r="AZ139" i="1" s="1"/>
  <c r="AR121" i="1"/>
  <c r="AR167" i="1"/>
  <c r="AT206" i="1"/>
  <c r="AR233" i="1" s="1" a="1"/>
  <c r="AR233" i="1" s="1"/>
  <c r="AT213" i="1"/>
  <c r="AZ234" i="1" s="1" a="1"/>
  <c r="AZ234" i="1" s="1"/>
  <c r="Y229" i="1"/>
  <c r="Y463" i="1"/>
  <c r="AU121" i="1"/>
  <c r="AU408" i="1"/>
  <c r="Y222" i="1"/>
  <c r="X222" i="1"/>
  <c r="X274" i="1"/>
  <c r="Y274" i="1"/>
  <c r="AR19" i="1"/>
  <c r="AT14" i="1"/>
  <c r="AT19" i="1"/>
  <c r="AR46" i="1" s="1" a="1"/>
  <c r="AR46" i="1" s="1"/>
  <c r="AR62" i="1"/>
  <c r="AU118" i="1"/>
  <c r="AU207" i="1"/>
  <c r="AR262" i="1"/>
  <c r="AR452" i="1"/>
  <c r="AU14" i="1"/>
  <c r="AU19" i="1"/>
  <c r="AT258" i="1"/>
  <c r="AR285" i="1" s="1" a="1"/>
  <c r="AR285" i="1" s="1"/>
  <c r="AU262" i="1"/>
  <c r="AR401" i="1"/>
  <c r="AU409" i="1"/>
  <c r="AU448" i="1"/>
  <c r="AT452" i="1"/>
  <c r="AZ473" i="1" s="1" a="1"/>
  <c r="AZ473" i="1" s="1"/>
  <c r="AR256" i="1"/>
  <c r="AU258" i="1"/>
  <c r="AR304" i="1"/>
  <c r="AR306" i="1"/>
  <c r="AT401" i="1"/>
  <c r="AR428" i="1" s="1" a="1"/>
  <c r="AR428" i="1" s="1"/>
  <c r="X87" i="1"/>
  <c r="X126" i="1"/>
  <c r="AT161" i="1"/>
  <c r="AR188" i="1" s="1" a="1"/>
  <c r="AR188" i="1" s="1"/>
  <c r="Y175" i="1"/>
  <c r="AU206" i="1"/>
  <c r="AR261" i="1"/>
  <c r="AU306" i="1"/>
  <c r="AT71" i="1"/>
  <c r="AZ92" i="1" s="1" a="1"/>
  <c r="AZ92" i="1" s="1"/>
  <c r="AT113" i="1"/>
  <c r="AR140" i="1" s="1" a="1"/>
  <c r="AR140" i="1" s="1"/>
  <c r="AR208" i="1"/>
  <c r="AU214" i="1"/>
  <c r="AU261" i="1"/>
  <c r="AU357" i="1"/>
  <c r="AT361" i="1"/>
  <c r="AZ382" i="1" s="1" a="1"/>
  <c r="AZ382" i="1" s="1"/>
  <c r="Y82" i="1"/>
  <c r="AU71" i="1"/>
  <c r="AU208" i="1"/>
  <c r="X366" i="1"/>
  <c r="X372" i="1"/>
  <c r="X413" i="1"/>
  <c r="AR118" i="1"/>
  <c r="AT162" i="1"/>
  <c r="AR189" i="1" s="1" a="1"/>
  <c r="AR189" i="1" s="1"/>
  <c r="AU164" i="1"/>
  <c r="AR207" i="1"/>
  <c r="AU213" i="1"/>
  <c r="Y278" i="1"/>
  <c r="X317" i="1"/>
  <c r="AR402" i="1"/>
  <c r="X466" i="1"/>
  <c r="Y466" i="1"/>
  <c r="X78" i="1"/>
  <c r="Y78" i="1"/>
  <c r="Y228" i="1"/>
  <c r="X228" i="1"/>
  <c r="X370" i="1"/>
  <c r="Y370" i="1"/>
  <c r="X424" i="1"/>
  <c r="Y424" i="1"/>
  <c r="X132" i="1"/>
  <c r="Y132" i="1"/>
  <c r="X365" i="1"/>
  <c r="Y365" i="1"/>
  <c r="X85" i="1"/>
  <c r="Y85" i="1"/>
  <c r="Y130" i="1"/>
  <c r="X225" i="1"/>
  <c r="Y323" i="1"/>
  <c r="X373" i="1"/>
  <c r="Y415" i="1"/>
  <c r="AT15" i="1"/>
  <c r="AR42" i="1" s="1" a="1"/>
  <c r="AR42" i="1" s="1"/>
  <c r="AR18" i="1"/>
  <c r="AT25" i="1"/>
  <c r="AZ46" i="1" s="1" a="1"/>
  <c r="AZ46" i="1" s="1"/>
  <c r="AT73" i="1"/>
  <c r="AZ94" i="1" s="1" a="1"/>
  <c r="AZ94" i="1" s="1"/>
  <c r="X81" i="1"/>
  <c r="X88" i="1"/>
  <c r="AR114" i="1"/>
  <c r="AU263" i="1"/>
  <c r="AT303" i="1"/>
  <c r="AR330" i="1" s="1" a="1"/>
  <c r="AR330" i="1" s="1"/>
  <c r="X327" i="1"/>
  <c r="AU402" i="1"/>
  <c r="AU403" i="1"/>
  <c r="X423" i="1"/>
  <c r="AU452" i="1"/>
  <c r="AR453" i="1"/>
  <c r="X465" i="1"/>
  <c r="AR15" i="1"/>
  <c r="AR25" i="1"/>
  <c r="AT18" i="1"/>
  <c r="AR45" i="1" s="1" a="1"/>
  <c r="AR45" i="1" s="1"/>
  <c r="AU25" i="1"/>
  <c r="AR111" i="1"/>
  <c r="AU114" i="1"/>
  <c r="AR168" i="1"/>
  <c r="AR254" i="1"/>
  <c r="AR311" i="1"/>
  <c r="AR406" i="1"/>
  <c r="AT453" i="1"/>
  <c r="AZ474" i="1" s="1" a="1"/>
  <c r="AZ474" i="1" s="1"/>
  <c r="AR454" i="1"/>
  <c r="AU18" i="1"/>
  <c r="AT20" i="1"/>
  <c r="AZ41" i="1" s="1" a="1"/>
  <c r="AZ41" i="1" s="1"/>
  <c r="Z58" i="1"/>
  <c r="AT111" i="1"/>
  <c r="AR138" i="1" s="1" a="1"/>
  <c r="AR138" i="1" s="1"/>
  <c r="AT168" i="1"/>
  <c r="AZ189" i="1" s="1" a="1"/>
  <c r="AZ189" i="1" s="1"/>
  <c r="AR169" i="1"/>
  <c r="AT254" i="1"/>
  <c r="AR281" i="1" s="1" a="1"/>
  <c r="AR281" i="1" s="1"/>
  <c r="AR260" i="1"/>
  <c r="AT311" i="1"/>
  <c r="AZ332" i="1" s="1" a="1"/>
  <c r="AZ332" i="1" s="1"/>
  <c r="AR351" i="1"/>
  <c r="AR352" i="1"/>
  <c r="AR356" i="1"/>
  <c r="AT406" i="1"/>
  <c r="AZ427" i="1" s="1" a="1"/>
  <c r="AZ427" i="1" s="1"/>
  <c r="AR407" i="1"/>
  <c r="AR446" i="1"/>
  <c r="AU453" i="1"/>
  <c r="AU454" i="1"/>
  <c r="AT66" i="1"/>
  <c r="AU111" i="1"/>
  <c r="X131" i="1"/>
  <c r="AU168" i="1"/>
  <c r="AU169" i="1"/>
  <c r="AT255" i="1"/>
  <c r="AR282" i="1" s="1" a="1"/>
  <c r="AR282" i="1" s="1"/>
  <c r="AT260" i="1"/>
  <c r="AZ281" i="1" s="1" a="1"/>
  <c r="AZ281" i="1" s="1"/>
  <c r="X270" i="1"/>
  <c r="AR302" i="1"/>
  <c r="AT309" i="1"/>
  <c r="AZ330" i="1" s="1" a="1"/>
  <c r="AZ330" i="1" s="1"/>
  <c r="AR310" i="1"/>
  <c r="AT312" i="1"/>
  <c r="AZ333" i="1" s="1" a="1"/>
  <c r="AZ333" i="1" s="1"/>
  <c r="AR313" i="1"/>
  <c r="AT351" i="1"/>
  <c r="AR378" i="1" s="1" a="1"/>
  <c r="AR378" i="1" s="1"/>
  <c r="AU352" i="1"/>
  <c r="AT355" i="1"/>
  <c r="AR382" i="1" s="1" a="1"/>
  <c r="AR382" i="1" s="1"/>
  <c r="AT356" i="1"/>
  <c r="AZ377" i="1" s="1" a="1"/>
  <c r="AZ377" i="1" s="1"/>
  <c r="X371" i="1"/>
  <c r="AT407" i="1"/>
  <c r="AZ428" i="1" s="1" a="1"/>
  <c r="AZ428" i="1" s="1"/>
  <c r="AR408" i="1"/>
  <c r="AT446" i="1"/>
  <c r="AR473" i="1" s="1" a="1"/>
  <c r="AR473" i="1" s="1"/>
  <c r="AU154" i="1"/>
  <c r="AU255" i="1"/>
  <c r="AR259" i="1"/>
  <c r="AU312" i="1"/>
  <c r="AU313" i="1"/>
  <c r="AU351" i="1"/>
  <c r="AR357" i="1"/>
  <c r="AR400" i="1"/>
  <c r="AT408" i="1"/>
  <c r="AZ429" i="1" s="1" a="1"/>
  <c r="AZ429" i="1" s="1"/>
  <c r="AR409" i="1"/>
  <c r="AR447" i="1"/>
  <c r="AR448" i="1"/>
  <c r="AT457" i="1"/>
  <c r="AZ478" i="1" s="1" a="1"/>
  <c r="AZ478" i="1" s="1"/>
  <c r="BK200" i="1"/>
  <c r="AT209" i="1"/>
  <c r="AR236" i="1" s="1" a="1"/>
  <c r="AR236" i="1" s="1"/>
  <c r="AT400" i="1"/>
  <c r="AR427" i="1" s="1" a="1"/>
  <c r="AR427" i="1" s="1"/>
  <c r="AS441" i="1"/>
  <c r="X393" i="1"/>
  <c r="AS345" i="1"/>
  <c r="AS297" i="1"/>
  <c r="X441" i="1"/>
  <c r="X345" i="1"/>
  <c r="X249" i="1"/>
  <c r="X201" i="1"/>
  <c r="AS153" i="1"/>
  <c r="X297" i="1"/>
  <c r="AS9" i="1"/>
  <c r="AS393" i="1"/>
  <c r="AS201" i="1"/>
  <c r="AS57" i="1"/>
  <c r="X105" i="1"/>
  <c r="CK6" i="1"/>
  <c r="AS249" i="1"/>
  <c r="X153" i="1"/>
  <c r="AS105" i="1"/>
  <c r="Y80" i="1"/>
  <c r="X80" i="1"/>
  <c r="Y31" i="1"/>
  <c r="X31" i="1"/>
  <c r="Y34" i="1"/>
  <c r="X34" i="1"/>
  <c r="X77" i="1"/>
  <c r="Y77" i="1"/>
  <c r="Y35" i="1"/>
  <c r="X35" i="1"/>
  <c r="Y39" i="1"/>
  <c r="X39" i="1"/>
  <c r="Y38" i="1"/>
  <c r="X38" i="1"/>
  <c r="Y30" i="1"/>
  <c r="X30" i="1"/>
  <c r="AR158" i="1"/>
  <c r="X40" i="1"/>
  <c r="X86" i="1"/>
  <c r="AU216" i="1"/>
  <c r="AT216" i="1"/>
  <c r="AZ237" i="1" s="1" a="1"/>
  <c r="AZ237" i="1" s="1"/>
  <c r="AR216" i="1"/>
  <c r="Y221" i="1"/>
  <c r="X221" i="1"/>
  <c r="Y273" i="1"/>
  <c r="Y328" i="1"/>
  <c r="X461" i="1"/>
  <c r="Y461" i="1"/>
  <c r="AR20" i="1"/>
  <c r="Y32" i="1"/>
  <c r="Y36" i="1"/>
  <c r="BK104" i="1"/>
  <c r="X183" i="1"/>
  <c r="Y269" i="1"/>
  <c r="X269" i="1"/>
  <c r="Z346" i="1"/>
  <c r="AR209" i="1"/>
  <c r="Y224" i="1"/>
  <c r="X224" i="1"/>
  <c r="X279" i="1"/>
  <c r="Y279" i="1"/>
  <c r="AR303" i="1"/>
  <c r="AU20" i="1"/>
  <c r="AR21" i="1"/>
  <c r="X29" i="1"/>
  <c r="X33" i="1"/>
  <c r="X37" i="1"/>
  <c r="Y272" i="1"/>
  <c r="X272" i="1"/>
  <c r="Z442" i="1"/>
  <c r="AU394" i="1"/>
  <c r="Z394" i="1"/>
  <c r="Z298" i="1"/>
  <c r="Z106" i="1"/>
  <c r="AU346" i="1"/>
  <c r="AU442" i="1"/>
  <c r="AU250" i="1"/>
  <c r="Z154" i="1"/>
  <c r="AU202" i="1"/>
  <c r="AU298" i="1"/>
  <c r="Z250" i="1"/>
  <c r="AT21" i="1"/>
  <c r="AZ42" i="1" s="1" a="1"/>
  <c r="AZ42" i="1" s="1"/>
  <c r="AR119" i="1"/>
  <c r="Y128" i="1"/>
  <c r="AU159" i="1"/>
  <c r="AT159" i="1"/>
  <c r="AR186" i="1" s="1" a="1"/>
  <c r="AR186" i="1" s="1"/>
  <c r="AR159" i="1"/>
  <c r="Y176" i="1"/>
  <c r="Y179" i="1"/>
  <c r="X179" i="1"/>
  <c r="Y275" i="1"/>
  <c r="X275" i="1"/>
  <c r="AU308" i="1"/>
  <c r="AT308" i="1"/>
  <c r="AZ329" i="1" s="1" a="1"/>
  <c r="AZ329" i="1" s="1"/>
  <c r="AR308" i="1"/>
  <c r="X420" i="1"/>
  <c r="Y468" i="1"/>
  <c r="X468" i="1"/>
  <c r="AR16" i="1"/>
  <c r="AU21" i="1"/>
  <c r="AR22" i="1"/>
  <c r="AU58" i="1"/>
  <c r="AU62" i="1"/>
  <c r="AU63" i="1"/>
  <c r="AR65" i="1"/>
  <c r="X79" i="1"/>
  <c r="AU117" i="1"/>
  <c r="AT117" i="1"/>
  <c r="AZ138" i="1" s="1" a="1"/>
  <c r="AZ138" i="1" s="1"/>
  <c r="AR117" i="1"/>
  <c r="Y127" i="1"/>
  <c r="X127" i="1"/>
  <c r="Y134" i="1"/>
  <c r="X134" i="1"/>
  <c r="Y182" i="1"/>
  <c r="X182" i="1"/>
  <c r="AT215" i="1"/>
  <c r="AZ236" i="1" s="1" a="1"/>
  <c r="AZ236" i="1" s="1"/>
  <c r="Y223" i="1"/>
  <c r="X223" i="1"/>
  <c r="X227" i="1"/>
  <c r="AU165" i="1"/>
  <c r="AT165" i="1"/>
  <c r="AZ186" i="1" s="1" a="1"/>
  <c r="AZ186" i="1" s="1"/>
  <c r="AR165" i="1"/>
  <c r="Y276" i="1"/>
  <c r="X276" i="1"/>
  <c r="Y471" i="1"/>
  <c r="X471" i="1"/>
  <c r="AT16" i="1"/>
  <c r="AR43" i="1" s="1" a="1"/>
  <c r="AR43" i="1" s="1"/>
  <c r="AT22" i="1"/>
  <c r="AZ43" i="1" s="1" a="1"/>
  <c r="AZ43" i="1" s="1"/>
  <c r="AT65" i="1"/>
  <c r="AR92" i="1" s="1" a="1"/>
  <c r="AR92" i="1" s="1"/>
  <c r="AT92" i="1" s="1"/>
  <c r="AR66" i="1"/>
  <c r="AR164" i="1"/>
  <c r="Y230" i="1"/>
  <c r="X230" i="1"/>
  <c r="Y271" i="1"/>
  <c r="X271" i="1"/>
  <c r="Y376" i="1"/>
  <c r="X376" i="1"/>
  <c r="AU16" i="1"/>
  <c r="AR17" i="1"/>
  <c r="AU22" i="1"/>
  <c r="AR23" i="1"/>
  <c r="AU65" i="1"/>
  <c r="AR67" i="1"/>
  <c r="AR68" i="1"/>
  <c r="AR72" i="1"/>
  <c r="AU210" i="1"/>
  <c r="AT210" i="1"/>
  <c r="AR237" i="1" s="1" a="1"/>
  <c r="AR237" i="1" s="1"/>
  <c r="AR210" i="1"/>
  <c r="AR215" i="1"/>
  <c r="AT257" i="1"/>
  <c r="AR284" i="1" s="1" a="1"/>
  <c r="AR284" i="1" s="1"/>
  <c r="AR257" i="1"/>
  <c r="Y322" i="1"/>
  <c r="X322" i="1"/>
  <c r="AT307" i="1"/>
  <c r="AR334" i="1" s="1" a="1"/>
  <c r="AR334" i="1" s="1"/>
  <c r="AT17" i="1"/>
  <c r="AR44" i="1" s="1" a="1"/>
  <c r="AR44" i="1" s="1"/>
  <c r="AT23" i="1"/>
  <c r="AZ44" i="1" s="1" a="1"/>
  <c r="AZ44" i="1" s="1"/>
  <c r="BK56" i="1"/>
  <c r="AT67" i="1"/>
  <c r="AR94" i="1" s="1" a="1"/>
  <c r="AR94" i="1" s="1"/>
  <c r="AT94" i="1" s="1"/>
  <c r="AT68" i="1"/>
  <c r="AZ89" i="1" s="1" a="1"/>
  <c r="AZ89" i="1" s="1"/>
  <c r="AT70" i="1"/>
  <c r="AZ91" i="1" s="1" a="1"/>
  <c r="AZ91" i="1" s="1"/>
  <c r="AU72" i="1"/>
  <c r="AU73" i="1"/>
  <c r="AR73" i="1"/>
  <c r="AU116" i="1"/>
  <c r="AT116" i="1"/>
  <c r="AZ137" i="1" s="1" a="1"/>
  <c r="AZ137" i="1" s="1"/>
  <c r="AR116" i="1"/>
  <c r="X125" i="1"/>
  <c r="Y178" i="1"/>
  <c r="Y181" i="1"/>
  <c r="X181" i="1"/>
  <c r="Y226" i="1"/>
  <c r="AU265" i="1"/>
  <c r="AT265" i="1"/>
  <c r="AZ286" i="1" s="1" a="1"/>
  <c r="AZ286" i="1" s="1"/>
  <c r="AR265" i="1"/>
  <c r="AR307" i="1"/>
  <c r="AU67" i="1"/>
  <c r="AU68" i="1"/>
  <c r="AU106" i="1"/>
  <c r="AU110" i="1"/>
  <c r="AR110" i="1"/>
  <c r="Y136" i="1"/>
  <c r="X136" i="1"/>
  <c r="AT158" i="1"/>
  <c r="AR185" i="1" s="1" a="1"/>
  <c r="AR185" i="1" s="1"/>
  <c r="Z202" i="1"/>
  <c r="AU307" i="1"/>
  <c r="Y325" i="1"/>
  <c r="X325" i="1"/>
  <c r="BK392" i="1"/>
  <c r="BK296" i="1"/>
  <c r="BK152" i="1"/>
  <c r="BK440" i="1"/>
  <c r="BK344" i="1"/>
  <c r="BK248" i="1"/>
  <c r="Y83" i="1"/>
  <c r="Y84" i="1"/>
  <c r="Y133" i="1"/>
  <c r="AU158" i="1"/>
  <c r="Y184" i="1"/>
  <c r="Y232" i="1"/>
  <c r="X232" i="1"/>
  <c r="Y280" i="1"/>
  <c r="X280" i="1"/>
  <c r="X318" i="1"/>
  <c r="Y318" i="1"/>
  <c r="AT121" i="1"/>
  <c r="AZ142" i="1" s="1" a="1"/>
  <c r="AZ142" i="1" s="1"/>
  <c r="AT163" i="1"/>
  <c r="AR190" i="1" s="1" a="1"/>
  <c r="AR190" i="1" s="1"/>
  <c r="AT169" i="1"/>
  <c r="AZ190" i="1" s="1" a="1"/>
  <c r="AZ190" i="1" s="1"/>
  <c r="AT208" i="1"/>
  <c r="AR235" i="1" s="1" a="1"/>
  <c r="AR235" i="1" s="1"/>
  <c r="AT214" i="1"/>
  <c r="AZ235" i="1" s="1" a="1"/>
  <c r="AZ235" i="1" s="1"/>
  <c r="AU256" i="1"/>
  <c r="Y368" i="1"/>
  <c r="X368" i="1"/>
  <c r="AU404" i="1"/>
  <c r="AT404" i="1"/>
  <c r="AZ425" i="1" s="1" a="1"/>
  <c r="AZ425" i="1" s="1"/>
  <c r="BA425" i="1" s="1"/>
  <c r="AR404" i="1"/>
  <c r="Y416" i="1"/>
  <c r="X416" i="1"/>
  <c r="AR112" i="1"/>
  <c r="AR255" i="1"/>
  <c r="AT259" i="1"/>
  <c r="AR286" i="1" s="1" a="1"/>
  <c r="AR286" i="1" s="1"/>
  <c r="AR264" i="1"/>
  <c r="AT302" i="1"/>
  <c r="AR329" i="1" s="1" a="1"/>
  <c r="AR329" i="1" s="1"/>
  <c r="AT310" i="1"/>
  <c r="AZ331" i="1" s="1" a="1"/>
  <c r="AZ331" i="1" s="1"/>
  <c r="AU359" i="1"/>
  <c r="AT359" i="1"/>
  <c r="AZ380" i="1" s="1" a="1"/>
  <c r="AZ380" i="1" s="1"/>
  <c r="AR359" i="1"/>
  <c r="AU398" i="1"/>
  <c r="AT398" i="1"/>
  <c r="AR425" i="1" s="1" a="1"/>
  <c r="AR425" i="1" s="1"/>
  <c r="AR398" i="1"/>
  <c r="Y470" i="1"/>
  <c r="X470" i="1"/>
  <c r="AT112" i="1"/>
  <c r="AR139" i="1" s="1" a="1"/>
  <c r="AR139" i="1" s="1"/>
  <c r="AU302" i="1"/>
  <c r="Y321" i="1"/>
  <c r="X321" i="1"/>
  <c r="Y367" i="1"/>
  <c r="Y419" i="1"/>
  <c r="Y464" i="1"/>
  <c r="X464" i="1"/>
  <c r="Y467" i="1"/>
  <c r="X467" i="1"/>
  <c r="AU112" i="1"/>
  <c r="X180" i="1"/>
  <c r="X326" i="1"/>
  <c r="Y375" i="1"/>
  <c r="X375" i="1"/>
  <c r="AU455" i="1"/>
  <c r="AT455" i="1"/>
  <c r="AZ476" i="1" s="1" a="1"/>
  <c r="AZ476" i="1" s="1"/>
  <c r="AR455" i="1"/>
  <c r="AR115" i="1"/>
  <c r="AR160" i="1"/>
  <c r="AR166" i="1"/>
  <c r="AR211" i="1"/>
  <c r="AR217" i="1"/>
  <c r="X277" i="1"/>
  <c r="X418" i="1"/>
  <c r="Y422" i="1"/>
  <c r="X422" i="1"/>
  <c r="AT115" i="1"/>
  <c r="AR142" i="1" s="1" a="1"/>
  <c r="AR142" i="1" s="1"/>
  <c r="AT160" i="1"/>
  <c r="AR187" i="1" s="1" a="1"/>
  <c r="AR187" i="1" s="1"/>
  <c r="AT166" i="1"/>
  <c r="AZ187" i="1" s="1" a="1"/>
  <c r="AZ187" i="1" s="1"/>
  <c r="AT211" i="1"/>
  <c r="AR238" i="1" s="1" a="1"/>
  <c r="AR238" i="1" s="1"/>
  <c r="AT217" i="1"/>
  <c r="AZ238" i="1" s="1" a="1"/>
  <c r="AZ238" i="1" s="1"/>
  <c r="Y320" i="1"/>
  <c r="X320" i="1"/>
  <c r="AU449" i="1"/>
  <c r="AT449" i="1"/>
  <c r="AR476" i="1" s="1" a="1"/>
  <c r="AR476" i="1" s="1"/>
  <c r="AR449" i="1"/>
  <c r="Y469" i="1"/>
  <c r="X469" i="1"/>
  <c r="X135" i="1"/>
  <c r="X231" i="1"/>
  <c r="AT304" i="1"/>
  <c r="AR331" i="1" s="1" a="1"/>
  <c r="AR331" i="1" s="1"/>
  <c r="X324" i="1"/>
  <c r="AU353" i="1"/>
  <c r="AT353" i="1"/>
  <c r="AR380" i="1" s="1" a="1"/>
  <c r="AR380" i="1" s="1"/>
  <c r="AR353" i="1"/>
  <c r="Y374" i="1"/>
  <c r="X374" i="1"/>
  <c r="Y414" i="1"/>
  <c r="X414" i="1"/>
  <c r="X472" i="1"/>
  <c r="AR258" i="1"/>
  <c r="AR309" i="1"/>
  <c r="AR312" i="1"/>
  <c r="X369" i="1"/>
  <c r="Y421" i="1"/>
  <c r="Y417" i="1"/>
  <c r="X417" i="1"/>
  <c r="AR355" i="1"/>
  <c r="AR361" i="1"/>
  <c r="AR451" i="1"/>
  <c r="AR457" i="1"/>
  <c r="AR354" i="1"/>
  <c r="AR360" i="1"/>
  <c r="AR399" i="1"/>
  <c r="AR405" i="1"/>
  <c r="AR450" i="1"/>
  <c r="AR456" i="1"/>
  <c r="AT354" i="1"/>
  <c r="AR381" i="1" s="1" a="1"/>
  <c r="AR381" i="1" s="1"/>
  <c r="AT360" i="1"/>
  <c r="AZ381" i="1" s="1" a="1"/>
  <c r="AZ381" i="1" s="1"/>
  <c r="AT399" i="1"/>
  <c r="AR426" i="1" s="1" a="1"/>
  <c r="AR426" i="1" s="1"/>
  <c r="AT405" i="1"/>
  <c r="AZ426" i="1" s="1" a="1"/>
  <c r="AZ426" i="1" s="1"/>
  <c r="AT450" i="1"/>
  <c r="AR477" i="1" s="1" a="1"/>
  <c r="AR477" i="1" s="1"/>
  <c r="AT456" i="1"/>
  <c r="AZ477" i="1" s="1" a="1"/>
  <c r="AZ477" i="1" s="1"/>
  <c r="AU354" i="1"/>
  <c r="AU360" i="1"/>
  <c r="AU399" i="1"/>
  <c r="AU405" i="1"/>
  <c r="AU450" i="1"/>
  <c r="AU456" i="1"/>
  <c r="BA377" i="1" l="1"/>
  <c r="BB377" i="1"/>
  <c r="BB187" i="1"/>
  <c r="BA187" i="1"/>
  <c r="AS189" i="1"/>
  <c r="AT189" i="1"/>
  <c r="BA92" i="1"/>
  <c r="BB92" i="1"/>
  <c r="AS46" i="1"/>
  <c r="AT46" i="1"/>
  <c r="BA378" i="1"/>
  <c r="BB378" i="1"/>
  <c r="AT140" i="1"/>
  <c r="AS140" i="1"/>
  <c r="BB477" i="1"/>
  <c r="BA477" i="1"/>
  <c r="AS190" i="1"/>
  <c r="AT190" i="1"/>
  <c r="AS477" i="1"/>
  <c r="AT477" i="1"/>
  <c r="BA237" i="1"/>
  <c r="BB237" i="1"/>
  <c r="BB478" i="1"/>
  <c r="BA478" i="1"/>
  <c r="AR90" i="1" a="1"/>
  <c r="AR90" i="1" s="1"/>
  <c r="AT90" i="1" s="1"/>
  <c r="AT332" i="1"/>
  <c r="AS332" i="1"/>
  <c r="BA282" i="1"/>
  <c r="BB282" i="1"/>
  <c r="BB141" i="1"/>
  <c r="BA141" i="1"/>
  <c r="BB426" i="1"/>
  <c r="BA426" i="1"/>
  <c r="AS476" i="1"/>
  <c r="AT476" i="1"/>
  <c r="AT284" i="1"/>
  <c r="AS284" i="1"/>
  <c r="AT378" i="1"/>
  <c r="AS378" i="1"/>
  <c r="BB382" i="1"/>
  <c r="BA382" i="1"/>
  <c r="AT42" i="1"/>
  <c r="AS42" i="1"/>
  <c r="BB142" i="1"/>
  <c r="BA142" i="1"/>
  <c r="AT142" i="1"/>
  <c r="AS142" i="1"/>
  <c r="AS426" i="1"/>
  <c r="AT426" i="1"/>
  <c r="AT139" i="1"/>
  <c r="AS139" i="1"/>
  <c r="BB186" i="1"/>
  <c r="BA186" i="1"/>
  <c r="AT473" i="1"/>
  <c r="AS473" i="1"/>
  <c r="BB332" i="1"/>
  <c r="BA332" i="1"/>
  <c r="BB474" i="1"/>
  <c r="BA474" i="1"/>
  <c r="AT285" i="1"/>
  <c r="AS285" i="1"/>
  <c r="BA234" i="1"/>
  <c r="BB234" i="1"/>
  <c r="BB233" i="1"/>
  <c r="BA233" i="1"/>
  <c r="BB91" i="1"/>
  <c r="BA91" i="1"/>
  <c r="AS188" i="1"/>
  <c r="AT188" i="1"/>
  <c r="BA41" i="1"/>
  <c r="BB41" i="1"/>
  <c r="BB333" i="1"/>
  <c r="BA333" i="1"/>
  <c r="AT233" i="1"/>
  <c r="AS233" i="1"/>
  <c r="AT234" i="1"/>
  <c r="AS234" i="1"/>
  <c r="BB140" i="1"/>
  <c r="BA140" i="1"/>
  <c r="BB380" i="1"/>
  <c r="BA380" i="1"/>
  <c r="AT380" i="1"/>
  <c r="AS380" i="1"/>
  <c r="AS381" i="1"/>
  <c r="AT381" i="1"/>
  <c r="BA44" i="1"/>
  <c r="BB44" i="1"/>
  <c r="BA429" i="1"/>
  <c r="BB429" i="1"/>
  <c r="BB428" i="1"/>
  <c r="BA428" i="1"/>
  <c r="AT428" i="1"/>
  <c r="AS428" i="1"/>
  <c r="BA45" i="1"/>
  <c r="BB45" i="1"/>
  <c r="AT238" i="1"/>
  <c r="AS238" i="1"/>
  <c r="AT382" i="1"/>
  <c r="AS382" i="1"/>
  <c r="BA381" i="1"/>
  <c r="BB381" i="1"/>
  <c r="AT329" i="1"/>
  <c r="AS329" i="1"/>
  <c r="AT331" i="1"/>
  <c r="AS331" i="1"/>
  <c r="BB137" i="1"/>
  <c r="BA137" i="1"/>
  <c r="AS44" i="1"/>
  <c r="AT44" i="1"/>
  <c r="BB138" i="1"/>
  <c r="BA138" i="1"/>
  <c r="AS186" i="1"/>
  <c r="AT186" i="1"/>
  <c r="BA330" i="1"/>
  <c r="BB330" i="1"/>
  <c r="AR93" i="1" a="1"/>
  <c r="AR93" i="1" s="1"/>
  <c r="AT93" i="1" s="1"/>
  <c r="AS281" i="1"/>
  <c r="AT281" i="1"/>
  <c r="BA94" i="1"/>
  <c r="BB94" i="1"/>
  <c r="BA284" i="1"/>
  <c r="BB284" i="1"/>
  <c r="BB190" i="1"/>
  <c r="BA190" i="1"/>
  <c r="AT330" i="1"/>
  <c r="AS330" i="1"/>
  <c r="BB139" i="1"/>
  <c r="BA139" i="1"/>
  <c r="AT236" i="1"/>
  <c r="AS236" i="1"/>
  <c r="AT187" i="1"/>
  <c r="AS187" i="1"/>
  <c r="BA331" i="1"/>
  <c r="BB331" i="1"/>
  <c r="BB286" i="1"/>
  <c r="BA286" i="1"/>
  <c r="AT286" i="1"/>
  <c r="AS286" i="1"/>
  <c r="AT237" i="1"/>
  <c r="AS237" i="1"/>
  <c r="AS43" i="1"/>
  <c r="AT43" i="1"/>
  <c r="BA236" i="1"/>
  <c r="BB236" i="1"/>
  <c r="AS91" i="1"/>
  <c r="BB189" i="1"/>
  <c r="BA189" i="1"/>
  <c r="AS45" i="1"/>
  <c r="AT45" i="1"/>
  <c r="AS377" i="1"/>
  <c r="AT377" i="1"/>
  <c r="AS478" i="1"/>
  <c r="AT478" i="1"/>
  <c r="BA42" i="1"/>
  <c r="BB42" i="1"/>
  <c r="AT425" i="1"/>
  <c r="AS425" i="1"/>
  <c r="BA235" i="1"/>
  <c r="BB235" i="1"/>
  <c r="AT334" i="1"/>
  <c r="AS334" i="1"/>
  <c r="BB281" i="1"/>
  <c r="BA281" i="1"/>
  <c r="BB46" i="1"/>
  <c r="BA46" i="1"/>
  <c r="AS429" i="1"/>
  <c r="AT429" i="1"/>
  <c r="BB427" i="1"/>
  <c r="BA427" i="1"/>
  <c r="BB89" i="1"/>
  <c r="BA89" i="1"/>
  <c r="BB476" i="1"/>
  <c r="BA476" i="1"/>
  <c r="AT185" i="1"/>
  <c r="AS185" i="1"/>
  <c r="BA43" i="1"/>
  <c r="BB43" i="1"/>
  <c r="BA329" i="1"/>
  <c r="BB329" i="1"/>
  <c r="BA238" i="1"/>
  <c r="BB238" i="1"/>
  <c r="AT235" i="1"/>
  <c r="AS235" i="1"/>
  <c r="AS427" i="1"/>
  <c r="AT427" i="1"/>
  <c r="AT282" i="1"/>
  <c r="AS282" i="1"/>
  <c r="AT138" i="1"/>
  <c r="AS138" i="1"/>
  <c r="BA473" i="1"/>
  <c r="BB473" i="1"/>
  <c r="BB90" i="1"/>
  <c r="BA90" i="1"/>
  <c r="AR41" i="1" a="1"/>
  <c r="AR41" i="1" s="1"/>
  <c r="AT41" i="1" s="1"/>
  <c r="AS92" i="1"/>
  <c r="BB425" i="1"/>
  <c r="AS94" i="1"/>
  <c r="AS93" i="1" l="1"/>
  <c r="AS90" i="1"/>
  <c r="AS4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<sst xmlns="http://schemas.openxmlformats.org/spreadsheetml/2006/main" count="2330" uniqueCount="146">
  <si>
    <r>
      <rPr>
        <b/>
        <sz val="22"/>
        <color theme="1"/>
        <rFont val="Calibri"/>
        <family val="2"/>
      </rPr>
      <t xml:space="preserve">FAMAX TECHNOLOGY (M) SDN. BHD.
</t>
    </r>
    <r>
      <rPr>
        <b/>
        <sz val="14"/>
        <color theme="1"/>
        <rFont val="Calibri"/>
        <family val="2"/>
      </rPr>
      <t>200601028954 (748710 - K )</t>
    </r>
  </si>
  <si>
    <r>
      <rPr>
        <b/>
        <sz val="22"/>
        <color theme="1"/>
        <rFont val="Calibri"/>
        <family val="2"/>
      </rPr>
      <t>FAMAX TECHNOLOGY (M) SDN. BHD.</t>
    </r>
    <r>
      <rPr>
        <b/>
        <sz val="24"/>
        <color theme="1"/>
        <rFont val="Calibri"/>
        <family val="2"/>
      </rPr>
      <t xml:space="preserve"> </t>
    </r>
    <r>
      <rPr>
        <b/>
        <sz val="14"/>
        <color theme="1"/>
        <rFont val="Calibri"/>
        <family val="2"/>
      </rPr>
      <t>200601028954 (748710 - K )</t>
    </r>
  </si>
  <si>
    <t xml:space="preserve">BUY OFF REPORT </t>
  </si>
  <si>
    <t xml:space="preserve">IPQC REPORT </t>
  </si>
  <si>
    <t>WORK AND INSPECTION GUIDE</t>
  </si>
  <si>
    <t xml:space="preserve">TRANSFER TABLE </t>
  </si>
  <si>
    <t>GENERAL INFORMATION</t>
  </si>
  <si>
    <t>PART DESCRIPTION :</t>
  </si>
  <si>
    <t>PREPARED BY:</t>
  </si>
  <si>
    <t>VERIFIED BY:</t>
  </si>
  <si>
    <t>APPROVE BY:</t>
  </si>
  <si>
    <t>DOCUMENT NO:</t>
  </si>
  <si>
    <t>PART NO:</t>
  </si>
  <si>
    <t>ENG</t>
  </si>
  <si>
    <t>QA</t>
  </si>
  <si>
    <t>DIRECTOR</t>
  </si>
  <si>
    <t>RAW MATERIAL GRADE:</t>
  </si>
  <si>
    <t>RAW MATERIAL SIZE</t>
  </si>
  <si>
    <t>PROCESS :</t>
  </si>
  <si>
    <t>PROCESS NO:</t>
  </si>
  <si>
    <t>BUYOFF TIME FROM:</t>
  </si>
  <si>
    <t>BUYOFF TIME TO::</t>
  </si>
  <si>
    <t>NEW SETTING</t>
  </si>
  <si>
    <t>RESETTING</t>
  </si>
  <si>
    <t>MORNING SHIFT</t>
  </si>
  <si>
    <t>NIGHT SHIFT</t>
  </si>
  <si>
    <t>MACHINE NO</t>
  </si>
  <si>
    <t>INSEPCT BY: ( TECHNICIAN)</t>
  </si>
  <si>
    <t>INSPECTION DATE: ( TECHNICIAN)</t>
  </si>
  <si>
    <t>VERIFIED BY: ( TECHNICIAN)</t>
  </si>
  <si>
    <t>VERIFIED DATE: ( TECHNICIAN)</t>
  </si>
  <si>
    <t>INSEPCT BY: (QC)</t>
  </si>
  <si>
    <t>INSPECTION DATE: ( QC)</t>
  </si>
  <si>
    <t>VERIFIED BY: ( QC)</t>
  </si>
  <si>
    <t>VERIFIED DATE: ( QC)</t>
  </si>
  <si>
    <t>J/O NO:</t>
  </si>
  <si>
    <t>M/O NO:</t>
  </si>
  <si>
    <t>REQUESTED BY:</t>
  </si>
  <si>
    <t>REQUESTED DATE:</t>
  </si>
  <si>
    <t>Morning Shift</t>
  </si>
  <si>
    <t>Night Shift</t>
  </si>
  <si>
    <t>Machine No:</t>
  </si>
  <si>
    <t>RAW MATERIAL:</t>
  </si>
  <si>
    <t>REVISION NO:</t>
  </si>
  <si>
    <t>EFFECTIVE DATE:</t>
  </si>
  <si>
    <t>BUYOFF REPORT</t>
  </si>
  <si>
    <t>PAGE NO:</t>
  </si>
  <si>
    <t>/</t>
  </si>
  <si>
    <t>DATE:</t>
  </si>
  <si>
    <t>POINT (DWG ZONE)</t>
  </si>
  <si>
    <t>INST</t>
  </si>
  <si>
    <t>MIN  or "OK"</t>
  </si>
  <si>
    <t>MAXor "NG"</t>
  </si>
  <si>
    <t>SC?</t>
  </si>
  <si>
    <t>Estimate(on Desire Cpk)</t>
  </si>
  <si>
    <t>INSTRUMENT SERIAL NUMBER</t>
  </si>
  <si>
    <t>TECHNICIAN</t>
  </si>
  <si>
    <t>QC</t>
  </si>
  <si>
    <t xml:space="preserve">BUYOFF TIME: </t>
  </si>
  <si>
    <t>FROM:</t>
  </si>
  <si>
    <t>NEW SETTING:</t>
  </si>
  <si>
    <t xml:space="preserve"> SHIFT</t>
  </si>
  <si>
    <t>MORNING :</t>
  </si>
  <si>
    <t>MACHINE NO:</t>
  </si>
  <si>
    <t>(LSL)</t>
  </si>
  <si>
    <t>(USL)</t>
  </si>
  <si>
    <t xml:space="preserve">QC/QCF/- </t>
  </si>
  <si>
    <t>LCL</t>
  </si>
  <si>
    <t>UCL</t>
  </si>
  <si>
    <t>8.00-9.00</t>
  </si>
  <si>
    <t>9.00-10.00</t>
  </si>
  <si>
    <t>10.00-11.00</t>
  </si>
  <si>
    <t>11.00-12.00</t>
  </si>
  <si>
    <t>12.00-1.00</t>
  </si>
  <si>
    <t>2.00-3.00</t>
  </si>
  <si>
    <t>3.00-4.00</t>
  </si>
  <si>
    <t>4.00-5.00</t>
  </si>
  <si>
    <t>5.00-6.00</t>
  </si>
  <si>
    <t>6.00-7.00</t>
  </si>
  <si>
    <t>7.00-8.00</t>
  </si>
  <si>
    <t>TO:</t>
  </si>
  <si>
    <t>RESETTING:</t>
  </si>
  <si>
    <t>NIGHT:</t>
  </si>
  <si>
    <t xml:space="preserve">MACHINE NO:  </t>
  </si>
  <si>
    <t xml:space="preserve">PROCESS SEQUENCE </t>
  </si>
  <si>
    <t>MEASURING INSTRUMENT</t>
  </si>
  <si>
    <t>MAXor"NG"</t>
  </si>
  <si>
    <t>QC/QCF?</t>
  </si>
  <si>
    <t>CHARACTERISTICS</t>
  </si>
  <si>
    <t>MACHINE/DEVICE/TOOLS/JIG FOR MANUFACTURING:</t>
  </si>
  <si>
    <t>METHODS</t>
  </si>
  <si>
    <t>ACCEPTANCE CRITERIA</t>
  </si>
  <si>
    <t>REJECTION CRITERIA</t>
  </si>
  <si>
    <t>PROCESS</t>
  </si>
  <si>
    <t xml:space="preserve">MEASURING INSTRUMENT </t>
  </si>
  <si>
    <t>(V/A)</t>
  </si>
  <si>
    <t>CHARACTERISTICS NO :</t>
  </si>
  <si>
    <t>CHARACTERISTICS TYPE :</t>
  </si>
  <si>
    <t>PRODUCT</t>
  </si>
  <si>
    <t>DESCRIPTION:</t>
  </si>
  <si>
    <t>PRODUCT/PROCESS SPECIFICATION/TOLERANCE :</t>
  </si>
  <si>
    <t>-</t>
  </si>
  <si>
    <t xml:space="preserve"> TYPE OF ACTION :</t>
  </si>
  <si>
    <t>WORK</t>
  </si>
  <si>
    <t>EVALUATION/MEASUREMENT TECHNIQUE:</t>
  </si>
  <si>
    <t>SPECIAL CHARACTERISTICS?</t>
  </si>
  <si>
    <t>PRODUCT / PROCESS CHARACTERISTICS :</t>
  </si>
  <si>
    <t>POKA YOKE? (Y/N) :</t>
  </si>
  <si>
    <t>SAMPLE PLAN</t>
  </si>
  <si>
    <t>SIZE:</t>
  </si>
  <si>
    <t>CONTROL METHOD :</t>
  </si>
  <si>
    <t>STORE HANDLING</t>
  </si>
  <si>
    <t>FREQUENCY:</t>
  </si>
  <si>
    <t>INSPECTION ANALYSIS</t>
  </si>
  <si>
    <t>DISP/N</t>
  </si>
  <si>
    <t>MAX</t>
  </si>
  <si>
    <t>MIN</t>
  </si>
  <si>
    <t>VAR/ATT</t>
  </si>
  <si>
    <t>TARGET CPK:</t>
  </si>
  <si>
    <t>Xbar (AVG)</t>
  </si>
  <si>
    <t>Range</t>
  </si>
  <si>
    <t>Sigma</t>
  </si>
  <si>
    <t>Cpk</t>
  </si>
  <si>
    <t>REACTION PLAN? ( EXAMPLE:  REFER TO SOP NO? )</t>
  </si>
  <si>
    <t>EVALUATION /MEASUREMENT TECHNIQUE:</t>
  </si>
  <si>
    <t>REMARK:</t>
  </si>
  <si>
    <t>INSPECTED BY:</t>
  </si>
  <si>
    <t>AC</t>
  </si>
  <si>
    <t>ACCEPTED</t>
  </si>
  <si>
    <t>RE</t>
  </si>
  <si>
    <t>REJECTED</t>
  </si>
  <si>
    <t>CA</t>
  </si>
  <si>
    <t>CONDITIONAL APPROVE</t>
  </si>
  <si>
    <t>EFFECTIVE DATE :12 MARCH 2025                            REC-QAS027-05</t>
  </si>
  <si>
    <t xml:space="preserve"> EFFECTIVE DATE: 12 MARCH 2025</t>
  </si>
  <si>
    <t>REC-ENG002-09</t>
  </si>
  <si>
    <t>NO:</t>
  </si>
  <si>
    <t xml:space="preserve">WORK INSTRUCTION FOR PROCESS     </t>
  </si>
  <si>
    <t>REC-QAS005-07</t>
  </si>
  <si>
    <t>EFFECTIVE DATE: 12 MARCH 2025</t>
  </si>
  <si>
    <t>RETENTION PERIOD: 2 YEARS</t>
  </si>
  <si>
    <t>DIS POSITION CODE:</t>
  </si>
  <si>
    <t>REC-QAS002-08</t>
  </si>
  <si>
    <t>QA / ENG</t>
  </si>
  <si>
    <t xml:space="preserve">QA HoD / Eng HoD </t>
  </si>
  <si>
    <t>REMARKS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</si>
</sst>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d\-mm\-yyyy"/>
  </numFmts>
  <fonts count="18" x14ac:knownFonts="1">
    <font>
      <sz val="11"/>
      <color theme="1"/>
      <name val="Aptos Narrow"/>
      <family val="2"/>
      <scheme val="minor"/>
    </font>
    <font>
      <sz val="9"/>
      <color theme="1"/>
      <name val="Calibri"/>
      <family val="2"/>
    </font>
    <font>
      <b/>
      <sz val="24"/>
      <color theme="1"/>
      <name val="Calibri"/>
      <family val="2"/>
    </font>
    <font>
      <b/>
      <sz val="22"/>
      <color theme="1"/>
      <name val="Calibri"/>
      <family val="2"/>
    </font>
    <font>
      <b/>
      <sz val="14"/>
      <color theme="1"/>
      <name val="Calibri"/>
      <family val="2"/>
    </font>
    <font>
      <b/>
      <sz val="23"/>
      <color theme="1"/>
      <name val="Calibri"/>
      <family val="2"/>
    </font>
    <font>
      <sz val="8"/>
      <color theme="1"/>
      <name val="Calibri"/>
      <family val="2"/>
    </font>
    <font>
      <sz val="8.5"/>
      <color theme="1"/>
      <name val="Calibri"/>
      <family val="2"/>
    </font>
    <font>
      <sz val="10"/>
      <color theme="1"/>
      <name val="Aptos Narrow"/>
      <family val="2"/>
      <scheme val="minor"/>
    </font>
    <font>
      <sz val="9"/>
      <color theme="1"/>
      <name val="Aptos Narrow"/>
      <family val="2"/>
      <scheme val="minor"/>
    </font>
    <font>
      <sz val="10"/>
      <color theme="1"/>
      <name val="Calibri"/>
      <family val="2"/>
    </font>
    <font>
      <sz val="7.5"/>
      <color theme="1"/>
      <name val="Aptos Narrow"/>
      <family val="2"/>
      <scheme val="minor"/>
    </font>
    <font>
      <sz val="8.3000000000000007"/>
      <color theme="1"/>
      <name val="Calibri"/>
      <family val="2"/>
    </font>
    <font>
      <sz val="8.5"/>
      <color theme="1"/>
      <name val="Aptos Narrow"/>
      <family val="2"/>
      <scheme val="minor"/>
    </font>
    <font>
      <sz val="8"/>
      <color theme="1"/>
      <name val="Aptos Narrow"/>
      <family val="2"/>
      <scheme val="minor"/>
    </font>
    <font>
      <sz val="11"/>
      <color theme="1"/>
      <name val="Calibri"/>
      <family val="2"/>
    </font>
    <font>
      <sz val="8"/>
      <name val="Aptos Narrow"/>
      <family val="2"/>
      <scheme val="minor"/>
    </font>
    <font>
      <sz val="9"/>
      <color rgb="FF000000"/>
      <name val="Calibri"/>
      <family val="2"/>
    </font>
  </fonts>
  <fills count="3">
    <fill>
      <patternFill patternType="none"/>
    </fill>
    <fill>
      <patternFill patternType="gray125"/>
    </fill>
    <fill>
      <patternFill patternType="solid">
        <fgColor theme="2" tint="-9.9978637043366805E-2"/>
        <bgColor indexed="64"/>
      </patternFill>
    </fill>
  </fills>
  <borders count="48">
    <border>
      <left/>
      <right/>
      <top/>
      <bottom/>
      <diagonal/>
    </border>
    <border>
      <left style="medium">
        <color auto="1"/>
      </left>
      <right/>
      <top style="medium">
        <color auto="1"/>
      </top>
      <bottom/>
      <diagonal/>
    </border>
    <border>
      <left/>
      <right style="thin">
        <color indexed="64"/>
      </right>
      <top style="medium">
        <color auto="1"/>
      </top>
      <bottom/>
      <diagonal/>
    </border>
    <border>
      <left style="thin">
        <color indexed="64"/>
      </left>
      <right/>
      <top style="medium">
        <color auto="1"/>
      </top>
      <bottom/>
      <diagonal/>
    </border>
    <border>
      <left/>
      <right/>
      <top style="medium">
        <color auto="1"/>
      </top>
      <bottom/>
      <diagonal/>
    </border>
    <border>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style="medium">
        <color auto="1"/>
      </top>
      <bottom style="medium">
        <color auto="1"/>
      </bottom>
      <diagonal/>
    </border>
    <border>
      <left/>
      <right/>
      <top style="thin">
        <color indexed="64"/>
      </top>
      <bottom style="medium">
        <color auto="1"/>
      </bottom>
      <diagonal/>
    </border>
    <border>
      <left/>
      <right style="medium">
        <color auto="1"/>
      </right>
      <top style="thin">
        <color indexed="64"/>
      </top>
      <bottom style="medium">
        <color auto="1"/>
      </bottom>
      <diagonal/>
    </border>
    <border>
      <left/>
      <right style="thin">
        <color indexed="64"/>
      </right>
      <top style="medium">
        <color indexed="64"/>
      </top>
      <bottom style="thin">
        <color indexed="64"/>
      </bottom>
      <diagonal/>
    </border>
  </borders>
  <cellStyleXfs count="1">
    <xf numFmtId="0" fontId="0" fillId="0" borderId="0"/>
  </cellStyleXfs>
  <cellXfs count="367">
    <xf numFmtId="0" fontId="0" fillId="0" borderId="0" xfId="0"/>
    <xf numFmtId="0" fontId="2" fillId="0" borderId="0" xfId="0" applyFont="1" applyAlignment="1" applyProtection="1">
      <alignment horizontal="left" vertical="center" wrapText="1" indent="4"/>
      <protection hidden="1"/>
    </xf>
    <xf numFmtId="0" fontId="0" fillId="0" borderId="0" xfId="0" applyProtection="1">
      <protection hidden="1"/>
    </xf>
    <xf numFmtId="0" fontId="1" fillId="0" borderId="21" xfId="0" applyFont="1" applyBorder="1" applyProtection="1">
      <protection hidden="1"/>
    </xf>
    <xf numFmtId="0" fontId="1" fillId="0" borderId="22" xfId="0" applyFont="1" applyBorder="1" applyProtection="1">
      <protection hidden="1"/>
    </xf>
    <xf numFmtId="0" fontId="1" fillId="0" borderId="14" xfId="0" applyFont="1" applyBorder="1" applyProtection="1">
      <protection hidden="1"/>
    </xf>
    <xf numFmtId="0" fontId="1" fillId="0" borderId="19" xfId="0" applyFont="1" applyBorder="1" applyAlignment="1" applyProtection="1">
      <alignment horizontal="left"/>
      <protection hidden="1"/>
    </xf>
    <xf numFmtId="0" fontId="1" fillId="0" borderId="20" xfId="0" applyFont="1" applyBorder="1" applyAlignment="1" applyProtection="1">
      <alignment horizontal="left"/>
      <protection hidden="1"/>
    </xf>
    <xf numFmtId="0" fontId="1" fillId="0" borderId="20" xfId="0" applyFont="1" applyBorder="1" applyProtection="1">
      <protection hidden="1"/>
    </xf>
    <xf numFmtId="0" fontId="1" fillId="0" borderId="11" xfId="0" applyFont="1" applyBorder="1" applyAlignment="1" applyProtection="1">
      <alignment horizontal="left"/>
      <protection hidden="1"/>
    </xf>
    <xf numFmtId="0" fontId="0" fillId="0" borderId="11" xfId="0" applyBorder="1" applyProtection="1">
      <protection hidden="1"/>
    </xf>
    <xf numFmtId="0" fontId="1" fillId="0" borderId="17" xfId="0" applyFont="1" applyBorder="1" applyProtection="1">
      <protection hidden="1"/>
    </xf>
    <xf numFmtId="0" fontId="6" fillId="0" borderId="19" xfId="0" applyFont="1" applyBorder="1" applyProtection="1">
      <protection hidden="1"/>
    </xf>
    <xf numFmtId="0" fontId="6" fillId="0" borderId="20" xfId="0" applyFont="1" applyBorder="1" applyProtection="1">
      <protection hidden="1"/>
    </xf>
    <xf numFmtId="0" fontId="1" fillId="0" borderId="11" xfId="0" applyFont="1" applyBorder="1" applyAlignment="1" applyProtection="1">
      <alignment horizontal="center"/>
      <protection hidden="1"/>
    </xf>
    <xf numFmtId="164" fontId="0" fillId="0" borderId="11" xfId="0" applyNumberFormat="1" applyBorder="1" applyProtection="1">
      <protection hidden="1"/>
    </xf>
    <xf numFmtId="0" fontId="1" fillId="0" borderId="23" xfId="0" applyFont="1" applyBorder="1" applyProtection="1">
      <protection hidden="1"/>
    </xf>
    <xf numFmtId="0" fontId="1" fillId="0" borderId="25" xfId="0" applyFont="1" applyBorder="1" applyAlignment="1" applyProtection="1">
      <alignment horizontal="center"/>
      <protection hidden="1"/>
    </xf>
    <xf numFmtId="0" fontId="7" fillId="0" borderId="20" xfId="0" applyFont="1" applyBorder="1" applyProtection="1">
      <protection hidden="1"/>
    </xf>
    <xf numFmtId="0" fontId="1" fillId="0" borderId="29" xfId="0" applyFont="1" applyBorder="1" applyProtection="1">
      <protection hidden="1"/>
    </xf>
    <xf numFmtId="0" fontId="1" fillId="0" borderId="0" xfId="0" applyFont="1" applyProtection="1">
      <protection hidden="1"/>
    </xf>
    <xf numFmtId="0" fontId="1" fillId="0" borderId="24" xfId="0" applyFont="1" applyBorder="1" applyProtection="1">
      <protection hidden="1"/>
    </xf>
    <xf numFmtId="0" fontId="0" fillId="0" borderId="10" xfId="0" applyBorder="1" applyProtection="1">
      <protection hidden="1"/>
    </xf>
    <xf numFmtId="0" fontId="1" fillId="0" borderId="10" xfId="0" applyFont="1" applyBorder="1" applyProtection="1">
      <protection hidden="1"/>
    </xf>
    <xf numFmtId="0" fontId="8" fillId="0" borderId="23" xfId="0" applyFont="1" applyBorder="1" applyAlignment="1" applyProtection="1">
      <alignment wrapText="1"/>
      <protection hidden="1"/>
    </xf>
    <xf numFmtId="0" fontId="1" fillId="0" borderId="13" xfId="0" applyFont="1" applyBorder="1" applyAlignment="1" applyProtection="1">
      <alignment horizontal="center"/>
      <protection hidden="1"/>
    </xf>
    <xf numFmtId="0" fontId="1" fillId="0" borderId="30" xfId="0" applyFont="1" applyBorder="1" applyAlignment="1" applyProtection="1">
      <alignment horizontal="center"/>
      <protection hidden="1"/>
    </xf>
    <xf numFmtId="0" fontId="1" fillId="0" borderId="0" xfId="0" applyFont="1" applyAlignment="1" applyProtection="1">
      <alignment horizontal="center"/>
      <protection hidden="1"/>
    </xf>
    <xf numFmtId="0" fontId="0" fillId="0" borderId="11" xfId="0" applyBorder="1" applyProtection="1">
      <protection locked="0" hidden="1"/>
    </xf>
    <xf numFmtId="0" fontId="1" fillId="0" borderId="11" xfId="0" applyFont="1" applyBorder="1" applyProtection="1">
      <protection hidden="1"/>
    </xf>
    <xf numFmtId="0" fontId="8" fillId="0" borderId="0" xfId="0" applyFont="1" applyAlignment="1" applyProtection="1">
      <alignment wrapText="1"/>
      <protection hidden="1"/>
    </xf>
    <xf numFmtId="0" fontId="1" fillId="0" borderId="17" xfId="0" applyFont="1" applyBorder="1" applyAlignment="1" applyProtection="1">
      <alignment horizontal="center"/>
      <protection hidden="1"/>
    </xf>
    <xf numFmtId="0" fontId="1" fillId="0" borderId="29" xfId="0" applyFont="1" applyBorder="1" applyAlignment="1" applyProtection="1">
      <alignment horizontal="center"/>
      <protection hidden="1"/>
    </xf>
    <xf numFmtId="0" fontId="0" fillId="0" borderId="7" xfId="0" applyBorder="1" applyProtection="1">
      <protection hidden="1"/>
    </xf>
    <xf numFmtId="0" fontId="1" fillId="0" borderId="7" xfId="0" applyFont="1" applyBorder="1" applyProtection="1">
      <protection hidden="1"/>
    </xf>
    <xf numFmtId="0" fontId="0" fillId="0" borderId="17" xfId="0" applyBorder="1" applyProtection="1">
      <protection locked="0" hidden="1"/>
    </xf>
    <xf numFmtId="0" fontId="0" fillId="0" borderId="18" xfId="0" applyBorder="1" applyAlignment="1" applyProtection="1">
      <alignment horizontal="center" vertical="center"/>
      <protection hidden="1"/>
    </xf>
    <xf numFmtId="0" fontId="0" fillId="0" borderId="17" xfId="0" applyBorder="1" applyAlignment="1" applyProtection="1">
      <alignment horizontal="center" vertical="center"/>
      <protection hidden="1"/>
    </xf>
    <xf numFmtId="0" fontId="0" fillId="0" borderId="11" xfId="0" applyBorder="1" applyAlignment="1" applyProtection="1">
      <alignment horizontal="center" vertical="center"/>
      <protection hidden="1"/>
    </xf>
    <xf numFmtId="0" fontId="0" fillId="0" borderId="11" xfId="0" applyBorder="1" applyAlignment="1" applyProtection="1">
      <alignment horizontal="left"/>
      <protection locked="0" hidden="1"/>
    </xf>
    <xf numFmtId="0" fontId="0" fillId="0" borderId="29" xfId="0" applyBorder="1" applyAlignment="1" applyProtection="1">
      <alignment horizontal="left"/>
      <protection locked="0" hidden="1"/>
    </xf>
    <xf numFmtId="0" fontId="7" fillId="0" borderId="11" xfId="0" applyFont="1" applyBorder="1" applyAlignment="1" applyProtection="1">
      <alignment horizontal="center" wrapText="1"/>
      <protection locked="0" hidden="1"/>
    </xf>
    <xf numFmtId="0" fontId="7" fillId="0" borderId="30" xfId="0" applyFont="1" applyBorder="1" applyAlignment="1" applyProtection="1">
      <alignment horizontal="center" wrapText="1"/>
      <protection locked="0" hidden="1"/>
    </xf>
    <xf numFmtId="0" fontId="7" fillId="0" borderId="11" xfId="0" applyFont="1" applyBorder="1" applyAlignment="1" applyProtection="1">
      <alignment wrapText="1"/>
      <protection locked="0" hidden="1"/>
    </xf>
    <xf numFmtId="0" fontId="7" fillId="0" borderId="11" xfId="0" applyFont="1" applyBorder="1" applyAlignment="1" applyProtection="1">
      <alignment wrapText="1"/>
      <protection hidden="1"/>
    </xf>
    <xf numFmtId="0" fontId="7" fillId="0" borderId="20" xfId="0" applyFont="1" applyBorder="1" applyAlignment="1" applyProtection="1">
      <alignment wrapText="1"/>
      <protection locked="0" hidden="1"/>
    </xf>
    <xf numFmtId="0" fontId="0" fillId="0" borderId="33" xfId="0" applyBorder="1" applyAlignment="1" applyProtection="1">
      <alignment horizontal="left"/>
      <protection locked="0" hidden="1"/>
    </xf>
    <xf numFmtId="0" fontId="0" fillId="0" borderId="33" xfId="0" applyBorder="1" applyAlignment="1" applyProtection="1">
      <alignment horizontal="left"/>
      <protection hidden="1"/>
    </xf>
    <xf numFmtId="0" fontId="0" fillId="0" borderId="11" xfId="0" applyBorder="1" applyAlignment="1" applyProtection="1">
      <alignment horizontal="center"/>
      <protection hidden="1"/>
    </xf>
    <xf numFmtId="0" fontId="0" fillId="0" borderId="33" xfId="0" applyBorder="1" applyAlignment="1" applyProtection="1">
      <alignment horizontal="center" vertical="center"/>
      <protection hidden="1"/>
    </xf>
    <xf numFmtId="0" fontId="0" fillId="0" borderId="33" xfId="0" applyBorder="1" applyProtection="1">
      <protection locked="0" hidden="1"/>
    </xf>
    <xf numFmtId="0" fontId="0" fillId="0" borderId="29" xfId="0" applyBorder="1" applyProtection="1">
      <protection locked="0" hidden="1"/>
    </xf>
    <xf numFmtId="0" fontId="0" fillId="0" borderId="36" xfId="0" applyBorder="1" applyAlignment="1" applyProtection="1">
      <alignment horizontal="left"/>
      <protection hidden="1"/>
    </xf>
    <xf numFmtId="0" fontId="0" fillId="0" borderId="6" xfId="0" applyBorder="1" applyProtection="1">
      <protection hidden="1"/>
    </xf>
    <xf numFmtId="0" fontId="0" fillId="0" borderId="37" xfId="0" applyBorder="1" applyProtection="1">
      <protection hidden="1"/>
    </xf>
    <xf numFmtId="0" fontId="0" fillId="0" borderId="12" xfId="0" applyBorder="1" applyProtection="1">
      <protection hidden="1"/>
    </xf>
    <xf numFmtId="0" fontId="0" fillId="0" borderId="15" xfId="0" applyBorder="1" applyProtection="1">
      <protection hidden="1"/>
    </xf>
    <xf numFmtId="0" fontId="0" fillId="0" borderId="29" xfId="0" applyBorder="1" applyAlignment="1" applyProtection="1">
      <alignment horizontal="center" vertical="center"/>
      <protection hidden="1"/>
    </xf>
    <xf numFmtId="0" fontId="0" fillId="0" borderId="27" xfId="0" applyBorder="1" applyProtection="1">
      <protection hidden="1"/>
    </xf>
    <xf numFmtId="0" fontId="0" fillId="0" borderId="20" xfId="0" applyBorder="1" applyProtection="1">
      <protection hidden="1"/>
    </xf>
    <xf numFmtId="0" fontId="0" fillId="0" borderId="17" xfId="0" applyBorder="1" applyProtection="1">
      <protection hidden="1"/>
    </xf>
    <xf numFmtId="0" fontId="0" fillId="0" borderId="19" xfId="0" applyBorder="1" applyProtection="1">
      <protection hidden="1"/>
    </xf>
    <xf numFmtId="0" fontId="1" fillId="0" borderId="17" xfId="0" applyFont="1" applyBorder="1" applyProtection="1">
      <protection locked="0" hidden="1"/>
    </xf>
    <xf numFmtId="0" fontId="0" fillId="0" borderId="39" xfId="0" applyBorder="1" applyAlignment="1" applyProtection="1">
      <alignment horizontal="center" vertical="center"/>
      <protection hidden="1"/>
    </xf>
    <xf numFmtId="0" fontId="0" fillId="0" borderId="40" xfId="0" applyBorder="1" applyAlignment="1" applyProtection="1">
      <alignment horizontal="center" vertical="center"/>
      <protection hidden="1"/>
    </xf>
    <xf numFmtId="0" fontId="0" fillId="0" borderId="16" xfId="0" applyBorder="1" applyProtection="1">
      <protection hidden="1"/>
    </xf>
    <xf numFmtId="0" fontId="0" fillId="0" borderId="15" xfId="0" applyBorder="1" applyAlignment="1" applyProtection="1">
      <alignment horizontal="center"/>
      <protection hidden="1"/>
    </xf>
    <xf numFmtId="0" fontId="0" fillId="0" borderId="41"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42" xfId="0" applyBorder="1" applyProtection="1">
      <protection hidden="1"/>
    </xf>
    <xf numFmtId="0" fontId="0" fillId="0" borderId="43" xfId="0" applyBorder="1" applyProtection="1">
      <protection hidden="1"/>
    </xf>
    <xf numFmtId="0" fontId="0" fillId="0" borderId="44" xfId="0" applyBorder="1" applyProtection="1">
      <protection hidden="1"/>
    </xf>
    <xf numFmtId="0" fontId="10" fillId="0" borderId="9" xfId="0" applyFont="1" applyBorder="1" applyAlignment="1" applyProtection="1">
      <alignment horizontal="center"/>
      <protection hidden="1"/>
    </xf>
    <xf numFmtId="0" fontId="1" fillId="0" borderId="22"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19" xfId="0" applyFont="1" applyBorder="1" applyAlignment="1" applyProtection="1">
      <alignment horizontal="center" vertical="center"/>
      <protection hidden="1"/>
    </xf>
    <xf numFmtId="0" fontId="1" fillId="0" borderId="11" xfId="0" applyFont="1" applyBorder="1" applyAlignment="1" applyProtection="1">
      <alignment horizontal="center" vertical="center"/>
      <protection hidden="1"/>
    </xf>
    <xf numFmtId="0" fontId="9" fillId="0" borderId="11"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11" xfId="0" applyFont="1" applyBorder="1" applyAlignment="1" applyProtection="1">
      <alignment horizontal="center" vertical="center"/>
      <protection locked="0" hidden="1"/>
    </xf>
    <xf numFmtId="0" fontId="1" fillId="0" borderId="29" xfId="0" applyFont="1" applyBorder="1" applyAlignment="1" applyProtection="1">
      <alignment horizontal="center" vertical="center"/>
      <protection hidden="1"/>
    </xf>
    <xf numFmtId="0" fontId="0" fillId="0" borderId="20" xfId="0" applyBorder="1" applyAlignment="1" applyProtection="1">
      <alignment horizontal="center"/>
      <protection hidden="1"/>
    </xf>
    <xf numFmtId="0" fontId="6" fillId="0" borderId="11" xfId="0" applyFont="1" applyBorder="1" applyAlignment="1" applyProtection="1">
      <alignment horizontal="center" vertical="center"/>
      <protection hidden="1"/>
    </xf>
    <xf numFmtId="0" fontId="15" fillId="0" borderId="0" xfId="0" applyFont="1" applyAlignment="1" applyProtection="1">
      <alignment horizontal="center" vertical="center"/>
      <protection hidden="1"/>
    </xf>
    <xf numFmtId="0" fontId="15" fillId="0" borderId="10" xfId="0" applyFont="1" applyBorder="1" applyAlignment="1" applyProtection="1">
      <alignment horizontal="center" vertical="center"/>
      <protection hidden="1"/>
    </xf>
    <xf numFmtId="0" fontId="10" fillId="0" borderId="11" xfId="0" applyFont="1" applyBorder="1" applyAlignment="1" applyProtection="1">
      <alignment horizontal="center" vertical="center"/>
      <protection hidden="1"/>
    </xf>
    <xf numFmtId="0" fontId="15" fillId="0" borderId="11" xfId="0" applyFont="1" applyBorder="1" applyAlignment="1" applyProtection="1">
      <alignment horizontal="center" vertical="center"/>
      <protection locked="0" hidden="1"/>
    </xf>
    <xf numFmtId="0" fontId="15" fillId="0" borderId="7" xfId="0" applyFont="1" applyBorder="1" applyAlignment="1" applyProtection="1">
      <alignment horizontal="center" vertical="center"/>
      <protection hidden="1"/>
    </xf>
    <xf numFmtId="0" fontId="7" fillId="0" borderId="11" xfId="0" applyFont="1" applyBorder="1" applyAlignment="1" applyProtection="1">
      <alignment horizontal="center" vertical="center"/>
      <protection hidden="1"/>
    </xf>
    <xf numFmtId="0" fontId="15" fillId="0" borderId="18" xfId="0" applyFont="1" applyBorder="1" applyAlignment="1" applyProtection="1">
      <alignment horizontal="center" vertical="center"/>
      <protection hidden="1"/>
    </xf>
    <xf numFmtId="0" fontId="15" fillId="0" borderId="17" xfId="0" applyFont="1" applyBorder="1" applyAlignment="1" applyProtection="1">
      <alignment horizontal="center" vertical="center"/>
      <protection hidden="1"/>
    </xf>
    <xf numFmtId="0" fontId="15" fillId="0" borderId="11" xfId="0" applyFont="1" applyBorder="1" applyAlignment="1" applyProtection="1">
      <alignment horizontal="center" vertical="center"/>
      <protection hidden="1"/>
    </xf>
    <xf numFmtId="0" fontId="15" fillId="0" borderId="11" xfId="0" applyFont="1" applyBorder="1" applyAlignment="1" applyProtection="1">
      <alignment horizontal="left" vertical="center"/>
      <protection locked="0" hidden="1"/>
    </xf>
    <xf numFmtId="0" fontId="1" fillId="0" borderId="28" xfId="0" applyFont="1"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10" xfId="0" applyFont="1" applyBorder="1" applyAlignment="1" applyProtection="1">
      <alignment horizontal="center" vertical="center"/>
      <protection hidden="1"/>
    </xf>
    <xf numFmtId="0" fontId="8" fillId="0" borderId="0" xfId="0" applyFont="1" applyAlignment="1" applyProtection="1">
      <alignment horizontal="center" vertical="center" wrapText="1"/>
      <protection hidden="1"/>
    </xf>
    <xf numFmtId="0" fontId="0" fillId="0" borderId="19" xfId="0" applyBorder="1" applyAlignment="1" applyProtection="1">
      <alignment horizontal="center" vertical="center"/>
      <protection hidden="1"/>
    </xf>
    <xf numFmtId="0" fontId="0" fillId="0" borderId="17" xfId="0" applyBorder="1" applyAlignment="1" applyProtection="1">
      <alignment horizontal="left"/>
      <protection locked="0" hidden="1"/>
    </xf>
    <xf numFmtId="0" fontId="0" fillId="0" borderId="47" xfId="0" applyBorder="1" applyAlignment="1" applyProtection="1">
      <alignment horizontal="left"/>
      <protection hidden="1"/>
    </xf>
    <xf numFmtId="49" fontId="1" fillId="0" borderId="21" xfId="0" applyNumberFormat="1" applyFont="1" applyBorder="1" applyAlignment="1" applyProtection="1">
      <alignment horizontal="center" vertical="center"/>
      <protection hidden="1"/>
    </xf>
    <xf numFmtId="49" fontId="1" fillId="0" borderId="11" xfId="0" applyNumberFormat="1"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1" fillId="0" borderId="17"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20" xfId="0" applyFont="1" applyBorder="1" applyAlignment="1" applyProtection="1">
      <alignment horizontal="center"/>
      <protection hidden="1"/>
    </xf>
    <xf numFmtId="0" fontId="1" fillId="0" borderId="19" xfId="0" applyFont="1" applyBorder="1" applyAlignment="1" applyProtection="1">
      <alignment horizontal="center"/>
      <protection hidden="1"/>
    </xf>
    <xf numFmtId="0" fontId="1" fillId="0" borderId="17" xfId="0" applyFont="1" applyBorder="1" applyAlignment="1" applyProtection="1">
      <alignment horizontal="center"/>
      <protection hidden="1"/>
    </xf>
    <xf numFmtId="0" fontId="1" fillId="0" borderId="18" xfId="0" applyFont="1" applyBorder="1" applyAlignment="1" applyProtection="1">
      <alignment horizontal="center"/>
      <protection hidden="1"/>
    </xf>
    <xf numFmtId="0" fontId="1" fillId="0" borderId="19" xfId="0" applyFont="1" applyBorder="1" applyAlignment="1" applyProtection="1">
      <alignment horizontal="center" vertical="center"/>
      <protection hidden="1"/>
    </xf>
    <xf numFmtId="0" fontId="1" fillId="0" borderId="21" xfId="0" applyFont="1" applyBorder="1" applyAlignment="1" applyProtection="1">
      <alignment horizontal="center" vertical="center"/>
      <protection hidden="1"/>
    </xf>
    <xf numFmtId="0" fontId="1" fillId="0" borderId="22" xfId="0" applyFont="1" applyBorder="1" applyAlignment="1" applyProtection="1">
      <alignment horizontal="center" vertical="center"/>
      <protection hidden="1"/>
    </xf>
    <xf numFmtId="0" fontId="1" fillId="0" borderId="14" xfId="0" applyFont="1" applyBorder="1" applyAlignment="1" applyProtection="1">
      <alignment horizontal="center" vertical="center"/>
      <protection hidden="1"/>
    </xf>
    <xf numFmtId="0" fontId="1" fillId="0" borderId="13" xfId="0" applyFont="1" applyBorder="1" applyAlignment="1" applyProtection="1">
      <alignment horizontal="center" vertical="center"/>
      <protection hidden="1"/>
    </xf>
    <xf numFmtId="0" fontId="1" fillId="0" borderId="23"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hidden="1"/>
    </xf>
    <xf numFmtId="0" fontId="7" fillId="0" borderId="21" xfId="0" applyFont="1" applyBorder="1" applyAlignment="1" applyProtection="1">
      <alignment horizontal="center" wrapText="1"/>
      <protection locked="0" hidden="1"/>
    </xf>
    <xf numFmtId="0" fontId="7" fillId="0" borderId="23" xfId="0" applyFont="1" applyBorder="1" applyAlignment="1" applyProtection="1">
      <alignment horizontal="center" wrapText="1"/>
      <protection locked="0" hidden="1"/>
    </xf>
    <xf numFmtId="0" fontId="7" fillId="0" borderId="22" xfId="0" applyFont="1" applyBorder="1" applyAlignment="1" applyProtection="1">
      <alignment horizontal="center" wrapText="1"/>
      <protection locked="0" hidden="1"/>
    </xf>
    <xf numFmtId="0" fontId="7" fillId="0" borderId="9" xfId="0" applyFont="1" applyBorder="1" applyAlignment="1" applyProtection="1">
      <alignment horizontal="center" wrapText="1"/>
      <protection locked="0" hidden="1"/>
    </xf>
    <xf numFmtId="0" fontId="7" fillId="0" borderId="0" xfId="0" applyFont="1" applyAlignment="1" applyProtection="1">
      <alignment horizontal="center" wrapText="1"/>
      <protection locked="0" hidden="1"/>
    </xf>
    <xf numFmtId="0" fontId="7" fillId="0" borderId="8" xfId="0" applyFont="1" applyBorder="1" applyAlignment="1" applyProtection="1">
      <alignment horizontal="center" wrapText="1"/>
      <protection locked="0" hidden="1"/>
    </xf>
    <xf numFmtId="0" fontId="7" fillId="0" borderId="14" xfId="0" applyFont="1" applyBorder="1" applyAlignment="1" applyProtection="1">
      <alignment horizontal="center" wrapText="1"/>
      <protection locked="0" hidden="1"/>
    </xf>
    <xf numFmtId="0" fontId="7" fillId="0" borderId="15" xfId="0" applyFont="1" applyBorder="1" applyAlignment="1" applyProtection="1">
      <alignment horizontal="center" wrapText="1"/>
      <protection locked="0" hidden="1"/>
    </xf>
    <xf numFmtId="0" fontId="7" fillId="0" borderId="13" xfId="0" applyFont="1" applyBorder="1" applyAlignment="1" applyProtection="1">
      <alignment horizontal="center" wrapText="1"/>
      <protection locked="0" hidden="1"/>
    </xf>
    <xf numFmtId="0" fontId="13" fillId="0" borderId="18" xfId="0" applyFont="1" applyBorder="1" applyAlignment="1" applyProtection="1">
      <alignment horizontal="center" vertical="center"/>
      <protection hidden="1"/>
    </xf>
    <xf numFmtId="0" fontId="13" fillId="0" borderId="19" xfId="0" applyFont="1" applyBorder="1" applyAlignment="1" applyProtection="1">
      <alignment horizontal="center" vertical="center"/>
      <protection hidden="1"/>
    </xf>
    <xf numFmtId="0" fontId="13" fillId="0" borderId="17" xfId="0" applyFont="1" applyBorder="1" applyAlignment="1" applyProtection="1">
      <alignment horizontal="center" vertical="center"/>
      <protection hidden="1"/>
    </xf>
    <xf numFmtId="0" fontId="7" fillId="0" borderId="21" xfId="0" applyFont="1" applyBorder="1" applyAlignment="1" applyProtection="1">
      <alignment horizontal="center" vertical="center" wrapText="1"/>
      <protection hidden="1"/>
    </xf>
    <xf numFmtId="0" fontId="7" fillId="0" borderId="23" xfId="0" applyFont="1" applyBorder="1" applyAlignment="1" applyProtection="1">
      <alignment horizontal="center" vertical="center" wrapText="1"/>
      <protection hidden="1"/>
    </xf>
    <xf numFmtId="0" fontId="7" fillId="0" borderId="22"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0" fontId="7" fillId="0" borderId="15"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wrapText="1"/>
      <protection hidden="1"/>
    </xf>
    <xf numFmtId="0" fontId="11" fillId="0" borderId="21" xfId="0" applyFont="1" applyBorder="1" applyAlignment="1" applyProtection="1">
      <alignment horizontal="center" vertical="center" wrapText="1"/>
      <protection hidden="1"/>
    </xf>
    <xf numFmtId="0" fontId="11" fillId="0" borderId="22" xfId="0" applyFont="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11" fillId="0" borderId="13" xfId="0" applyFont="1" applyBorder="1" applyAlignment="1" applyProtection="1">
      <alignment horizontal="center" vertical="center" wrapText="1"/>
      <protection hidden="1"/>
    </xf>
    <xf numFmtId="0" fontId="0" fillId="0" borderId="21" xfId="0" applyBorder="1" applyAlignment="1" applyProtection="1">
      <alignment horizontal="center"/>
      <protection hidden="1"/>
    </xf>
    <xf numFmtId="0" fontId="0" fillId="0" borderId="23" xfId="0" applyBorder="1" applyAlignment="1" applyProtection="1">
      <alignment horizontal="center"/>
      <protection hidden="1"/>
    </xf>
    <xf numFmtId="0" fontId="0" fillId="0" borderId="22" xfId="0" applyBorder="1" applyAlignment="1" applyProtection="1">
      <alignment horizontal="center"/>
      <protection hidden="1"/>
    </xf>
    <xf numFmtId="0" fontId="0" fillId="0" borderId="9" xfId="0" applyBorder="1" applyAlignment="1" applyProtection="1">
      <alignment horizontal="center"/>
      <protection hidden="1"/>
    </xf>
    <xf numFmtId="0" fontId="0" fillId="0" borderId="0" xfId="0" applyAlignment="1" applyProtection="1">
      <alignment horizontal="center"/>
      <protection hidden="1"/>
    </xf>
    <xf numFmtId="0" fontId="0" fillId="0" borderId="8" xfId="0" applyBorder="1" applyAlignment="1" applyProtection="1">
      <alignment horizontal="center"/>
      <protection hidden="1"/>
    </xf>
    <xf numFmtId="0" fontId="0" fillId="0" borderId="14" xfId="0" applyBorder="1" applyAlignment="1" applyProtection="1">
      <alignment horizontal="center"/>
      <protection hidden="1"/>
    </xf>
    <xf numFmtId="0" fontId="0" fillId="0" borderId="15" xfId="0" applyBorder="1" applyAlignment="1" applyProtection="1">
      <alignment horizontal="center"/>
      <protection hidden="1"/>
    </xf>
    <xf numFmtId="0" fontId="0" fillId="0" borderId="13" xfId="0" applyBorder="1" applyAlignment="1" applyProtection="1">
      <alignment horizontal="center"/>
      <protection hidden="1"/>
    </xf>
    <xf numFmtId="0" fontId="13" fillId="0" borderId="20" xfId="0" applyFont="1" applyBorder="1" applyAlignment="1" applyProtection="1">
      <alignment horizontal="center"/>
      <protection hidden="1"/>
    </xf>
    <xf numFmtId="0" fontId="13" fillId="0" borderId="19" xfId="0" applyFont="1" applyBorder="1" applyAlignment="1" applyProtection="1">
      <alignment horizontal="center"/>
      <protection hidden="1"/>
    </xf>
    <xf numFmtId="0" fontId="13" fillId="0" borderId="26" xfId="0" applyFont="1" applyBorder="1" applyAlignment="1" applyProtection="1">
      <alignment horizontal="center"/>
      <protection hidden="1"/>
    </xf>
    <xf numFmtId="0" fontId="7" fillId="0" borderId="20" xfId="0" applyFont="1" applyBorder="1" applyAlignment="1" applyProtection="1">
      <alignment horizontal="center" wrapText="1"/>
      <protection locked="0" hidden="1"/>
    </xf>
    <xf numFmtId="0" fontId="7" fillId="0" borderId="19" xfId="0" applyFont="1" applyBorder="1" applyAlignment="1" applyProtection="1">
      <alignment horizontal="center" wrapText="1"/>
      <protection locked="0" hidden="1"/>
    </xf>
    <xf numFmtId="0" fontId="7" fillId="0" borderId="26" xfId="0" applyFont="1" applyBorder="1" applyAlignment="1" applyProtection="1">
      <alignment horizontal="center" wrapText="1"/>
      <protection locked="0" hidden="1"/>
    </xf>
    <xf numFmtId="0" fontId="7" fillId="0" borderId="24" xfId="0" applyFont="1" applyBorder="1" applyAlignment="1" applyProtection="1">
      <alignment horizontal="center" vertical="center" wrapText="1"/>
      <protection hidden="1"/>
    </xf>
    <xf numFmtId="0" fontId="7" fillId="0" borderId="16" xfId="0" applyFont="1" applyBorder="1" applyAlignment="1" applyProtection="1">
      <alignment horizontal="center" vertical="center" wrapText="1"/>
      <protection hidden="1"/>
    </xf>
    <xf numFmtId="0" fontId="7" fillId="0" borderId="18" xfId="0" applyFont="1" applyBorder="1" applyAlignment="1" applyProtection="1">
      <alignment horizontal="right" wrapText="1"/>
      <protection hidden="1"/>
    </xf>
    <xf numFmtId="0" fontId="7" fillId="0" borderId="17" xfId="0" applyFont="1" applyBorder="1" applyAlignment="1" applyProtection="1">
      <alignment horizontal="right" wrapText="1"/>
      <protection hidden="1"/>
    </xf>
    <xf numFmtId="0" fontId="14" fillId="0" borderId="21" xfId="0" applyFont="1" applyBorder="1" applyAlignment="1" applyProtection="1">
      <alignment horizontal="center" vertical="center" wrapText="1"/>
      <protection hidden="1"/>
    </xf>
    <xf numFmtId="0" fontId="14" fillId="0" borderId="22" xfId="0" applyFont="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4" fillId="0" borderId="13" xfId="0" applyFont="1" applyBorder="1" applyAlignment="1" applyProtection="1">
      <alignment horizontal="center" vertical="center" wrapText="1"/>
      <protection hidden="1"/>
    </xf>
    <xf numFmtId="0" fontId="14" fillId="0" borderId="21" xfId="0" applyFont="1" applyBorder="1" applyAlignment="1" applyProtection="1">
      <alignment horizontal="center"/>
      <protection locked="0" hidden="1"/>
    </xf>
    <xf numFmtId="0" fontId="14" fillId="0" borderId="23" xfId="0" applyFont="1" applyBorder="1" applyAlignment="1" applyProtection="1">
      <alignment horizontal="center"/>
      <protection locked="0" hidden="1"/>
    </xf>
    <xf numFmtId="0" fontId="14" fillId="0" borderId="22" xfId="0" applyFont="1" applyBorder="1" applyAlignment="1" applyProtection="1">
      <alignment horizontal="center"/>
      <protection locked="0" hidden="1"/>
    </xf>
    <xf numFmtId="0" fontId="14" fillId="0" borderId="14" xfId="0" applyFont="1" applyBorder="1" applyAlignment="1" applyProtection="1">
      <alignment horizontal="center"/>
      <protection locked="0" hidden="1"/>
    </xf>
    <xf numFmtId="0" fontId="14" fillId="0" borderId="15" xfId="0" applyFont="1" applyBorder="1" applyAlignment="1" applyProtection="1">
      <alignment horizontal="center"/>
      <protection locked="0" hidden="1"/>
    </xf>
    <xf numFmtId="0" fontId="14" fillId="0" borderId="13" xfId="0" applyFont="1" applyBorder="1" applyAlignment="1" applyProtection="1">
      <alignment horizontal="center"/>
      <protection locked="0" hidden="1"/>
    </xf>
    <xf numFmtId="0" fontId="0" fillId="0" borderId="27" xfId="0" applyBorder="1" applyAlignment="1" applyProtection="1">
      <alignment horizontal="center"/>
      <protection locked="0" hidden="1"/>
    </xf>
    <xf numFmtId="0" fontId="0" fillId="0" borderId="23" xfId="0" applyBorder="1" applyAlignment="1" applyProtection="1">
      <alignment horizontal="center"/>
      <protection locked="0" hidden="1"/>
    </xf>
    <xf numFmtId="0" fontId="0" fillId="0" borderId="22" xfId="0" applyBorder="1" applyAlignment="1" applyProtection="1">
      <alignment horizontal="center"/>
      <protection locked="0" hidden="1"/>
    </xf>
    <xf numFmtId="0" fontId="0" fillId="0" borderId="7" xfId="0" applyBorder="1" applyAlignment="1" applyProtection="1">
      <alignment horizontal="center"/>
      <protection locked="0" hidden="1"/>
    </xf>
    <xf numFmtId="0" fontId="0" fillId="0" borderId="0" xfId="0" applyAlignment="1" applyProtection="1">
      <alignment horizontal="center"/>
      <protection locked="0" hidden="1"/>
    </xf>
    <xf numFmtId="0" fontId="0" fillId="0" borderId="8" xfId="0"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0" borderId="15" xfId="0" applyBorder="1" applyAlignment="1" applyProtection="1">
      <alignment horizontal="center"/>
      <protection locked="0" hidden="1"/>
    </xf>
    <xf numFmtId="0" fontId="0" fillId="0" borderId="13" xfId="0" applyBorder="1" applyAlignment="1" applyProtection="1">
      <alignment horizontal="center"/>
      <protection locked="0" hidden="1"/>
    </xf>
    <xf numFmtId="0" fontId="0" fillId="0" borderId="21" xfId="0" applyBorder="1" applyAlignment="1" applyProtection="1">
      <alignment horizontal="center"/>
      <protection locked="0" hidden="1"/>
    </xf>
    <xf numFmtId="0" fontId="0" fillId="0" borderId="9" xfId="0" applyBorder="1" applyAlignment="1" applyProtection="1">
      <alignment horizontal="center"/>
      <protection locked="0" hidden="1"/>
    </xf>
    <xf numFmtId="0" fontId="0" fillId="0" borderId="14" xfId="0" applyBorder="1" applyAlignment="1" applyProtection="1">
      <alignment horizontal="center"/>
      <protection locked="0" hidden="1"/>
    </xf>
    <xf numFmtId="0" fontId="6" fillId="0" borderId="11" xfId="0" applyFont="1" applyBorder="1" applyAlignment="1" applyProtection="1">
      <alignment horizontal="center" vertical="center"/>
      <protection hidden="1"/>
    </xf>
    <xf numFmtId="0" fontId="1" fillId="0" borderId="1" xfId="0" applyFont="1" applyBorder="1" applyAlignment="1" applyProtection="1">
      <alignment horizontal="center"/>
      <protection hidden="1"/>
    </xf>
    <xf numFmtId="0" fontId="1" fillId="0" borderId="2"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1" fillId="0" borderId="8" xfId="0" applyFont="1" applyBorder="1" applyAlignment="1" applyProtection="1">
      <alignment horizontal="center"/>
      <protection hidden="1"/>
    </xf>
    <xf numFmtId="0" fontId="1" fillId="0" borderId="12" xfId="0" applyFont="1" applyBorder="1" applyAlignment="1" applyProtection="1">
      <alignment horizontal="center"/>
      <protection hidden="1"/>
    </xf>
    <xf numFmtId="0" fontId="1" fillId="0" borderId="13" xfId="0" applyFont="1" applyBorder="1" applyAlignment="1" applyProtection="1">
      <alignment horizontal="center"/>
      <protection hidden="1"/>
    </xf>
    <xf numFmtId="0" fontId="2" fillId="0" borderId="6"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0" borderId="4"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0" borderId="10" xfId="0" applyFont="1" applyBorder="1" applyAlignment="1" applyProtection="1">
      <alignment horizontal="center" vertical="center" wrapText="1"/>
      <protection hidden="1"/>
    </xf>
    <xf numFmtId="0" fontId="2" fillId="0" borderId="15" xfId="0" applyFont="1" applyBorder="1" applyAlignment="1" applyProtection="1">
      <alignment horizontal="center" vertical="center" wrapText="1"/>
      <protection hidden="1"/>
    </xf>
    <xf numFmtId="0" fontId="2" fillId="0" borderId="16" xfId="0" applyFont="1" applyBorder="1" applyAlignment="1" applyProtection="1">
      <alignment horizontal="center" vertical="center" wrapText="1"/>
      <protection hidden="1"/>
    </xf>
    <xf numFmtId="14" fontId="1" fillId="0" borderId="20" xfId="0" applyNumberFormat="1" applyFont="1" applyBorder="1" applyAlignment="1" applyProtection="1">
      <alignment horizontal="center" vertical="center"/>
      <protection hidden="1"/>
    </xf>
    <xf numFmtId="14" fontId="1" fillId="0" borderId="17" xfId="0" applyNumberFormat="1" applyFont="1" applyBorder="1" applyAlignment="1" applyProtection="1">
      <alignment horizontal="center" vertical="center"/>
      <protection hidden="1"/>
    </xf>
    <xf numFmtId="0" fontId="7" fillId="0" borderId="18" xfId="0" applyFont="1" applyBorder="1" applyAlignment="1" applyProtection="1">
      <alignment horizontal="center" wrapText="1"/>
      <protection locked="0" hidden="1"/>
    </xf>
    <xf numFmtId="0" fontId="7" fillId="0" borderId="17" xfId="0" applyFont="1" applyBorder="1" applyAlignment="1" applyProtection="1">
      <alignment horizontal="center" wrapText="1"/>
      <protection locked="0" hidden="1"/>
    </xf>
    <xf numFmtId="0" fontId="7" fillId="0" borderId="20" xfId="0" applyFont="1" applyBorder="1" applyAlignment="1" applyProtection="1">
      <alignment horizontal="center"/>
      <protection hidden="1"/>
    </xf>
    <xf numFmtId="0" fontId="7" fillId="0" borderId="19" xfId="0" applyFont="1" applyBorder="1" applyAlignment="1" applyProtection="1">
      <alignment horizontal="center"/>
      <protection hidden="1"/>
    </xf>
    <xf numFmtId="0" fontId="7" fillId="0" borderId="17" xfId="0" applyFont="1" applyBorder="1" applyAlignment="1" applyProtection="1">
      <alignment horizontal="center"/>
      <protection hidden="1"/>
    </xf>
    <xf numFmtId="0" fontId="7" fillId="0" borderId="20" xfId="0" applyFont="1" applyBorder="1" applyAlignment="1" applyProtection="1">
      <alignment horizontal="center" wrapText="1"/>
      <protection hidden="1"/>
    </xf>
    <xf numFmtId="0" fontId="7" fillId="0" borderId="19" xfId="0" applyFont="1" applyBorder="1" applyAlignment="1" applyProtection="1">
      <alignment horizontal="center" wrapText="1"/>
      <protection hidden="1"/>
    </xf>
    <xf numFmtId="0" fontId="7" fillId="0" borderId="17" xfId="0" applyFont="1" applyBorder="1" applyAlignment="1" applyProtection="1">
      <alignment horizontal="center" wrapText="1"/>
      <protection hidden="1"/>
    </xf>
    <xf numFmtId="0" fontId="6" fillId="0" borderId="20" xfId="0" applyFont="1" applyBorder="1" applyAlignment="1" applyProtection="1">
      <alignment horizontal="left" vertical="center" wrapText="1"/>
      <protection hidden="1"/>
    </xf>
    <xf numFmtId="0" fontId="6" fillId="0" borderId="19" xfId="0" applyFont="1" applyBorder="1" applyAlignment="1" applyProtection="1">
      <alignment horizontal="left" vertical="center" wrapText="1"/>
      <protection hidden="1"/>
    </xf>
    <xf numFmtId="0" fontId="6" fillId="0" borderId="17" xfId="0" applyFont="1" applyBorder="1" applyAlignment="1" applyProtection="1">
      <alignment horizontal="left" vertical="center" wrapText="1"/>
      <protection hidden="1"/>
    </xf>
    <xf numFmtId="0" fontId="6" fillId="0" borderId="18" xfId="0" applyFont="1" applyBorder="1" applyAlignment="1" applyProtection="1">
      <alignment horizontal="right" wrapText="1"/>
      <protection hidden="1"/>
    </xf>
    <xf numFmtId="0" fontId="6" fillId="0" borderId="17" xfId="0" applyFont="1" applyBorder="1" applyAlignment="1" applyProtection="1">
      <alignment horizontal="right" wrapText="1"/>
      <protection hidden="1"/>
    </xf>
    <xf numFmtId="0" fontId="7" fillId="0" borderId="18" xfId="0" applyFont="1" applyBorder="1" applyAlignment="1" applyProtection="1">
      <alignment horizontal="center" wrapText="1"/>
      <protection hidden="1"/>
    </xf>
    <xf numFmtId="0" fontId="7" fillId="0" borderId="20" xfId="0" applyFont="1" applyBorder="1" applyAlignment="1" applyProtection="1">
      <alignment horizontal="right" wrapText="1"/>
      <protection hidden="1"/>
    </xf>
    <xf numFmtId="0" fontId="7" fillId="0" borderId="24" xfId="0" applyFont="1" applyBorder="1" applyAlignment="1" applyProtection="1">
      <alignment horizontal="center" wrapText="1"/>
      <protection locked="0" hidden="1"/>
    </xf>
    <xf numFmtId="0" fontId="7" fillId="0" borderId="10" xfId="0" applyFont="1" applyBorder="1" applyAlignment="1" applyProtection="1">
      <alignment horizontal="center" wrapText="1"/>
      <protection locked="0" hidden="1"/>
    </xf>
    <xf numFmtId="0" fontId="7" fillId="0" borderId="16" xfId="0" applyFont="1" applyBorder="1" applyAlignment="1" applyProtection="1">
      <alignment horizontal="center" wrapText="1"/>
      <protection locked="0" hidden="1"/>
    </xf>
    <xf numFmtId="0" fontId="6" fillId="0" borderId="20" xfId="0" applyFont="1" applyBorder="1" applyAlignment="1" applyProtection="1">
      <alignment horizontal="center" vertical="center" wrapText="1"/>
      <protection locked="0" hidden="1"/>
    </xf>
    <xf numFmtId="0" fontId="6" fillId="0" borderId="19" xfId="0" applyFont="1" applyBorder="1" applyAlignment="1" applyProtection="1">
      <alignment horizontal="center" vertical="center" wrapText="1"/>
      <protection locked="0" hidden="1"/>
    </xf>
    <xf numFmtId="0" fontId="6" fillId="0" borderId="17" xfId="0" applyFont="1" applyBorder="1" applyAlignment="1" applyProtection="1">
      <alignment horizontal="center" vertical="center" wrapText="1"/>
      <protection locked="0" hidden="1"/>
    </xf>
    <xf numFmtId="0" fontId="7" fillId="0" borderId="25" xfId="0" applyFont="1" applyBorder="1" applyAlignment="1" applyProtection="1">
      <alignment horizontal="center" wrapText="1"/>
      <protection hidden="1"/>
    </xf>
    <xf numFmtId="0" fontId="7" fillId="0" borderId="30" xfId="0" applyFont="1" applyBorder="1" applyAlignment="1" applyProtection="1">
      <alignment horizontal="center" wrapText="1"/>
      <protection hidden="1"/>
    </xf>
    <xf numFmtId="0" fontId="0" fillId="0" borderId="19" xfId="0" applyBorder="1" applyAlignment="1" applyProtection="1">
      <alignment horizontal="center"/>
      <protection hidden="1"/>
    </xf>
    <xf numFmtId="0" fontId="0" fillId="0" borderId="26" xfId="0" applyBorder="1" applyAlignment="1" applyProtection="1">
      <alignment horizontal="center"/>
      <protection hidden="1"/>
    </xf>
    <xf numFmtId="0" fontId="13" fillId="0" borderId="27" xfId="0" applyFont="1" applyBorder="1" applyAlignment="1" applyProtection="1">
      <alignment horizontal="center" vertical="center"/>
      <protection hidden="1"/>
    </xf>
    <xf numFmtId="0" fontId="13" fillId="0" borderId="23" xfId="0" applyFont="1" applyBorder="1" applyAlignment="1" applyProtection="1">
      <alignment horizontal="center" vertical="center"/>
      <protection hidden="1"/>
    </xf>
    <xf numFmtId="0" fontId="13" fillId="0" borderId="22" xfId="0" applyFont="1" applyBorder="1" applyAlignment="1" applyProtection="1">
      <alignment horizontal="center" vertical="center"/>
      <protection hidden="1"/>
    </xf>
    <xf numFmtId="0" fontId="7" fillId="0" borderId="0" xfId="0" applyFont="1" applyAlignment="1" applyProtection="1">
      <alignment horizontal="center" vertical="center" wrapText="1"/>
      <protection hidden="1"/>
    </xf>
    <xf numFmtId="0" fontId="7" fillId="0" borderId="9" xfId="0" applyFont="1" applyBorder="1" applyAlignment="1" applyProtection="1">
      <alignment horizontal="center" vertical="center" wrapText="1"/>
      <protection hidden="1"/>
    </xf>
    <xf numFmtId="0" fontId="7" fillId="0" borderId="8"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wrapText="1"/>
      <protection hidden="1"/>
    </xf>
    <xf numFmtId="0" fontId="7" fillId="0" borderId="15" xfId="0" applyFont="1" applyBorder="1" applyAlignment="1" applyProtection="1">
      <alignment horizontal="center" wrapText="1"/>
      <protection hidden="1"/>
    </xf>
    <xf numFmtId="0" fontId="7" fillId="0" borderId="13" xfId="0" applyFont="1" applyBorder="1" applyAlignment="1" applyProtection="1">
      <alignment horizontal="center" wrapText="1"/>
      <protection hidden="1"/>
    </xf>
    <xf numFmtId="0" fontId="0" fillId="0" borderId="45" xfId="0" applyBorder="1" applyAlignment="1" applyProtection="1">
      <alignment horizontal="center"/>
      <protection hidden="1"/>
    </xf>
    <xf numFmtId="0" fontId="0" fillId="0" borderId="45" xfId="0" applyBorder="1" applyAlignment="1" applyProtection="1">
      <alignment horizontal="right" vertical="center"/>
      <protection hidden="1"/>
    </xf>
    <xf numFmtId="0" fontId="0" fillId="0" borderId="46" xfId="0" applyBorder="1" applyAlignment="1" applyProtection="1">
      <alignment horizontal="right" vertical="center"/>
      <protection hidden="1"/>
    </xf>
    <xf numFmtId="49" fontId="1" fillId="0" borderId="11" xfId="0" applyNumberFormat="1" applyFont="1" applyBorder="1" applyAlignment="1" applyProtection="1">
      <alignment horizontal="center" vertical="center"/>
      <protection hidden="1"/>
    </xf>
    <xf numFmtId="49" fontId="1" fillId="0" borderId="20" xfId="0" quotePrefix="1" applyNumberFormat="1" applyFont="1" applyBorder="1" applyAlignment="1" applyProtection="1">
      <alignment horizontal="center" vertical="center"/>
      <protection hidden="1"/>
    </xf>
    <xf numFmtId="49" fontId="1" fillId="0" borderId="17" xfId="0" applyNumberFormat="1" applyFont="1" applyBorder="1" applyAlignment="1" applyProtection="1">
      <alignment horizontal="center" vertical="center"/>
      <protection hidden="1"/>
    </xf>
    <xf numFmtId="0" fontId="1" fillId="2" borderId="11" xfId="0" applyFont="1" applyFill="1" applyBorder="1" applyAlignment="1" applyProtection="1">
      <alignment horizontal="center"/>
      <protection hidden="1"/>
    </xf>
    <xf numFmtId="0" fontId="1" fillId="2" borderId="29" xfId="0" applyFont="1" applyFill="1" applyBorder="1" applyAlignment="1" applyProtection="1">
      <alignment horizontal="center"/>
      <protection hidden="1"/>
    </xf>
    <xf numFmtId="0" fontId="1" fillId="2" borderId="20" xfId="0" applyFont="1" applyFill="1" applyBorder="1" applyAlignment="1" applyProtection="1">
      <alignment horizontal="center"/>
      <protection hidden="1"/>
    </xf>
    <xf numFmtId="0" fontId="1" fillId="2" borderId="19" xfId="0" applyFont="1" applyFill="1" applyBorder="1" applyAlignment="1" applyProtection="1">
      <alignment horizontal="center"/>
      <protection hidden="1"/>
    </xf>
    <xf numFmtId="0" fontId="1" fillId="2" borderId="26" xfId="0" applyFont="1" applyFill="1" applyBorder="1" applyAlignment="1" applyProtection="1">
      <alignment horizontal="center"/>
      <protection hidden="1"/>
    </xf>
    <xf numFmtId="49" fontId="1" fillId="0" borderId="11" xfId="0" quotePrefix="1" applyNumberFormat="1" applyFont="1" applyBorder="1" applyAlignment="1" applyProtection="1">
      <alignment horizontal="center" vertical="center"/>
      <protection hidden="1"/>
    </xf>
    <xf numFmtId="164" fontId="1" fillId="0" borderId="20" xfId="0" applyNumberFormat="1" applyFont="1" applyBorder="1" applyAlignment="1" applyProtection="1">
      <alignment horizontal="center" vertical="center"/>
      <protection locked="0" hidden="1"/>
    </xf>
    <xf numFmtId="164" fontId="1" fillId="0" borderId="17" xfId="0" applyNumberFormat="1" applyFont="1" applyBorder="1" applyAlignment="1" applyProtection="1">
      <alignment horizontal="center" vertical="center"/>
      <protection locked="0" hidden="1"/>
    </xf>
    <xf numFmtId="0" fontId="0" fillId="0" borderId="20" xfId="0" applyBorder="1" applyAlignment="1" applyProtection="1">
      <alignment horizontal="center"/>
      <protection locked="0" hidden="1"/>
    </xf>
    <xf numFmtId="0" fontId="0" fillId="0" borderId="17" xfId="0" applyBorder="1" applyAlignment="1" applyProtection="1">
      <alignment horizontal="center"/>
      <protection locked="0" hidden="1"/>
    </xf>
    <xf numFmtId="0" fontId="0" fillId="0" borderId="20" xfId="0" applyBorder="1" applyAlignment="1" applyProtection="1">
      <alignment horizontal="center"/>
      <protection hidden="1"/>
    </xf>
    <xf numFmtId="0" fontId="0" fillId="0" borderId="17" xfId="0" applyBorder="1" applyAlignment="1" applyProtection="1">
      <alignment horizontal="center"/>
      <protection hidden="1"/>
    </xf>
    <xf numFmtId="0" fontId="1" fillId="0" borderId="24" xfId="0" applyFont="1" applyBorder="1" applyAlignment="1" applyProtection="1">
      <alignment horizontal="center" vertical="center"/>
      <protection hidden="1"/>
    </xf>
    <xf numFmtId="0" fontId="1" fillId="0" borderId="16" xfId="0" applyFont="1" applyBorder="1" applyAlignment="1" applyProtection="1">
      <alignment horizontal="center" vertical="center"/>
      <protection hidden="1"/>
    </xf>
    <xf numFmtId="0" fontId="0" fillId="0" borderId="21" xfId="0"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0" fillId="0" borderId="22"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8" xfId="0" applyBorder="1" applyAlignment="1" applyProtection="1">
      <alignment horizontal="center" vertical="center"/>
      <protection hidden="1"/>
    </xf>
    <xf numFmtId="0" fontId="0" fillId="0" borderId="14" xfId="0" applyBorder="1" applyAlignment="1" applyProtection="1">
      <alignment horizontal="center" vertical="center"/>
      <protection hidden="1"/>
    </xf>
    <xf numFmtId="0" fontId="0" fillId="0" borderId="13" xfId="0" applyBorder="1" applyAlignment="1" applyProtection="1">
      <alignment horizontal="center" vertical="center"/>
      <protection hidden="1"/>
    </xf>
    <xf numFmtId="0" fontId="0" fillId="0" borderId="15" xfId="0" applyBorder="1" applyAlignment="1" applyProtection="1">
      <alignment horizontal="center" vertical="center"/>
      <protection hidden="1"/>
    </xf>
    <xf numFmtId="0" fontId="7" fillId="0" borderId="31" xfId="0" applyFont="1" applyBorder="1" applyAlignment="1" applyProtection="1">
      <alignment horizontal="center" wrapText="1"/>
      <protection hidden="1"/>
    </xf>
    <xf numFmtId="0" fontId="7" fillId="0" borderId="32" xfId="0" applyFont="1" applyBorder="1" applyAlignment="1" applyProtection="1">
      <alignment horizontal="center" wrapText="1"/>
      <protection hidden="1"/>
    </xf>
    <xf numFmtId="0" fontId="9" fillId="0" borderId="11" xfId="0" applyFont="1" applyBorder="1" applyAlignment="1" applyProtection="1">
      <alignment horizontal="center" vertical="center" wrapText="1"/>
      <protection hidden="1"/>
    </xf>
    <xf numFmtId="0" fontId="9" fillId="0" borderId="14" xfId="0" applyFont="1" applyBorder="1" applyAlignment="1" applyProtection="1">
      <alignment horizontal="center" wrapText="1"/>
      <protection hidden="1"/>
    </xf>
    <xf numFmtId="0" fontId="12" fillId="0" borderId="0" xfId="0" applyFont="1" applyAlignment="1" applyProtection="1">
      <alignment horizontal="center"/>
      <protection hidden="1"/>
    </xf>
    <xf numFmtId="0" fontId="1" fillId="0" borderId="9" xfId="0" applyFont="1" applyBorder="1" applyAlignment="1" applyProtection="1">
      <alignment horizontal="center" vertical="center"/>
      <protection hidden="1"/>
    </xf>
    <xf numFmtId="0" fontId="1" fillId="0" borderId="8" xfId="0" applyFont="1" applyBorder="1" applyAlignment="1" applyProtection="1">
      <alignment horizontal="center" vertical="center"/>
      <protection hidden="1"/>
    </xf>
    <xf numFmtId="0" fontId="10" fillId="0" borderId="11" xfId="0" applyFont="1" applyBorder="1" applyAlignment="1" applyProtection="1">
      <alignment horizontal="center" vertical="center" wrapText="1"/>
      <protection hidden="1"/>
    </xf>
    <xf numFmtId="164" fontId="1" fillId="0" borderId="14" xfId="0" applyNumberFormat="1" applyFont="1" applyBorder="1" applyAlignment="1" applyProtection="1">
      <alignment horizontal="center" vertical="center"/>
      <protection locked="0" hidden="1"/>
    </xf>
    <xf numFmtId="164" fontId="1" fillId="0" borderId="13" xfId="0" applyNumberFormat="1" applyFont="1" applyBorder="1" applyAlignment="1" applyProtection="1">
      <alignment horizontal="center" vertical="center"/>
      <protection locked="0" hidden="1"/>
    </xf>
    <xf numFmtId="0" fontId="1" fillId="0" borderId="11" xfId="0" applyFont="1" applyBorder="1" applyAlignment="1" applyProtection="1">
      <alignment horizontal="center"/>
      <protection hidden="1"/>
    </xf>
    <xf numFmtId="0" fontId="7" fillId="0" borderId="25" xfId="0" applyFont="1" applyBorder="1" applyAlignment="1" applyProtection="1">
      <alignment horizontal="center" vertical="center" wrapText="1"/>
      <protection hidden="1"/>
    </xf>
    <xf numFmtId="0" fontId="7" fillId="0" borderId="38" xfId="0" applyFont="1" applyBorder="1" applyAlignment="1" applyProtection="1">
      <alignment horizontal="center" vertical="center" wrapText="1"/>
      <protection hidden="1"/>
    </xf>
    <xf numFmtId="0" fontId="7" fillId="0" borderId="30" xfId="0" applyFont="1" applyBorder="1" applyAlignment="1" applyProtection="1">
      <alignment horizontal="center" vertical="center" wrapText="1"/>
      <protection hidden="1"/>
    </xf>
    <xf numFmtId="0" fontId="8" fillId="0" borderId="11" xfId="0" applyFont="1" applyBorder="1" applyAlignment="1" applyProtection="1">
      <alignment horizontal="center"/>
      <protection hidden="1"/>
    </xf>
    <xf numFmtId="0" fontId="15" fillId="0" borderId="20" xfId="0" applyFont="1" applyBorder="1" applyAlignment="1" applyProtection="1">
      <alignment horizontal="center"/>
      <protection hidden="1"/>
    </xf>
    <xf numFmtId="0" fontId="15" fillId="0" borderId="17" xfId="0" applyFont="1" applyBorder="1" applyAlignment="1" applyProtection="1">
      <alignment horizontal="center"/>
      <protection hidden="1"/>
    </xf>
    <xf numFmtId="0" fontId="1" fillId="0" borderId="21" xfId="0" applyFont="1" applyBorder="1" applyAlignment="1" applyProtection="1">
      <alignment horizontal="center"/>
      <protection locked="0" hidden="1"/>
    </xf>
    <xf numFmtId="0" fontId="1" fillId="0" borderId="22" xfId="0" applyFont="1" applyBorder="1" applyAlignment="1" applyProtection="1">
      <alignment horizontal="center"/>
      <protection locked="0" hidden="1"/>
    </xf>
    <xf numFmtId="0" fontId="1" fillId="0" borderId="9" xfId="0" applyFont="1" applyBorder="1" applyAlignment="1" applyProtection="1">
      <alignment horizontal="center"/>
      <protection locked="0" hidden="1"/>
    </xf>
    <xf numFmtId="0" fontId="1" fillId="0" borderId="8" xfId="0" applyFont="1" applyBorder="1" applyAlignment="1" applyProtection="1">
      <alignment horizontal="center"/>
      <protection locked="0" hidden="1"/>
    </xf>
    <xf numFmtId="0" fontId="1" fillId="0" borderId="14" xfId="0" applyFont="1" applyBorder="1" applyAlignment="1" applyProtection="1">
      <alignment horizontal="center"/>
      <protection locked="0" hidden="1"/>
    </xf>
    <xf numFmtId="0" fontId="1" fillId="0" borderId="13" xfId="0" applyFont="1" applyBorder="1" applyAlignment="1" applyProtection="1">
      <alignment horizontal="center"/>
      <protection locked="0" hidden="1"/>
    </xf>
    <xf numFmtId="0" fontId="0" fillId="0" borderId="34" xfId="0" applyBorder="1" applyAlignment="1" applyProtection="1">
      <alignment horizontal="center"/>
      <protection hidden="1"/>
    </xf>
    <xf numFmtId="0" fontId="0" fillId="0" borderId="35" xfId="0" applyBorder="1" applyAlignment="1" applyProtection="1">
      <alignment horizontal="center"/>
      <protection hidden="1"/>
    </xf>
    <xf numFmtId="0" fontId="0" fillId="0" borderId="20" xfId="0" applyBorder="1" applyAlignment="1" applyProtection="1">
      <alignment horizontal="center" vertical="center"/>
      <protection hidden="1"/>
    </xf>
    <xf numFmtId="0" fontId="0" fillId="0" borderId="17" xfId="0" applyBorder="1" applyAlignment="1" applyProtection="1">
      <alignment horizontal="center" vertical="center"/>
      <protection hidden="1"/>
    </xf>
    <xf numFmtId="0" fontId="2" fillId="0" borderId="17" xfId="0" applyFont="1" applyBorder="1" applyAlignment="1" applyProtection="1">
      <alignment horizontal="center" vertical="center" wrapText="1"/>
      <protection hidden="1"/>
    </xf>
    <xf numFmtId="0" fontId="2" fillId="0" borderId="25" xfId="0" applyFont="1" applyBorder="1" applyAlignment="1" applyProtection="1">
      <alignment horizontal="center" vertical="center" wrapText="1"/>
      <protection hidden="1"/>
    </xf>
    <xf numFmtId="0" fontId="2" fillId="0" borderId="3"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8" xfId="0" applyFont="1" applyBorder="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13" xfId="0" applyFont="1" applyBorder="1" applyAlignment="1" applyProtection="1">
      <alignment horizontal="center" vertical="center" wrapText="1"/>
      <protection hidden="1"/>
    </xf>
    <xf numFmtId="0" fontId="1" fillId="0" borderId="4" xfId="0" applyFont="1" applyBorder="1" applyAlignment="1" applyProtection="1">
      <alignment horizontal="center"/>
      <protection hidden="1"/>
    </xf>
    <xf numFmtId="0" fontId="1" fillId="0" borderId="0" xfId="0" applyFont="1" applyAlignment="1" applyProtection="1">
      <alignment horizontal="center"/>
      <protection hidden="1"/>
    </xf>
    <xf numFmtId="0" fontId="1" fillId="0" borderId="15" xfId="0" applyFont="1" applyBorder="1" applyAlignment="1" applyProtection="1">
      <alignment horizontal="center"/>
      <protection hidden="1"/>
    </xf>
    <xf numFmtId="0" fontId="5" fillId="0" borderId="3" xfId="0" applyFont="1" applyBorder="1" applyAlignment="1" applyProtection="1">
      <alignment horizontal="center" vertical="center" wrapText="1"/>
      <protection hidden="1"/>
    </xf>
    <xf numFmtId="0" fontId="5" fillId="0" borderId="4"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hidden="1"/>
    </xf>
    <xf numFmtId="0" fontId="5" fillId="0" borderId="9" xfId="0" applyFont="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8" xfId="0" applyFont="1" applyBorder="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0" fontId="5" fillId="0" borderId="13" xfId="0" applyFont="1" applyBorder="1" applyAlignment="1" applyProtection="1">
      <alignment horizontal="center" vertical="center" wrapText="1"/>
      <protection hidden="1"/>
    </xf>
    <xf numFmtId="0" fontId="1" fillId="0" borderId="11" xfId="0" applyFont="1" applyBorder="1" applyAlignment="1" applyProtection="1">
      <alignment horizontal="center" vertical="center"/>
      <protection hidden="1"/>
    </xf>
    <xf numFmtId="0" fontId="1" fillId="0" borderId="25" xfId="0" applyFont="1" applyBorder="1" applyAlignment="1" applyProtection="1">
      <alignment horizontal="center" vertical="center"/>
      <protection hidden="1"/>
    </xf>
    <xf numFmtId="0" fontId="1" fillId="0" borderId="26" xfId="0" applyFont="1" applyBorder="1" applyAlignment="1" applyProtection="1">
      <alignment horizontal="center" vertical="center"/>
      <protection hidden="1"/>
    </xf>
    <xf numFmtId="0" fontId="0" fillId="0" borderId="11" xfId="0" applyBorder="1" applyAlignment="1" applyProtection="1">
      <alignment horizontal="center"/>
      <protection hidden="1"/>
    </xf>
    <xf numFmtId="165" fontId="1" fillId="0" borderId="20" xfId="0" applyNumberFormat="1" applyFont="1" applyBorder="1" applyAlignment="1" applyProtection="1">
      <alignment horizontal="center"/>
      <protection hidden="1"/>
    </xf>
    <xf numFmtId="165" fontId="1" fillId="0" borderId="19" xfId="0" applyNumberFormat="1" applyFont="1" applyBorder="1" applyAlignment="1" applyProtection="1">
      <alignment horizontal="center"/>
      <protection hidden="1"/>
    </xf>
    <xf numFmtId="165" fontId="1" fillId="0" borderId="26" xfId="0" applyNumberFormat="1" applyFont="1" applyBorder="1" applyAlignment="1" applyProtection="1">
      <alignment horizontal="center"/>
      <protection hidden="1"/>
    </xf>
    <xf numFmtId="0" fontId="1" fillId="0" borderId="26" xfId="0" applyFont="1" applyBorder="1" applyAlignment="1" applyProtection="1">
      <alignment horizontal="center"/>
      <protection hidden="1"/>
    </xf>
    <xf numFmtId="0" fontId="1" fillId="2" borderId="20" xfId="0" applyFont="1" applyFill="1" applyBorder="1" applyAlignment="1" applyProtection="1">
      <alignment horizontal="center" vertical="center"/>
      <protection hidden="1"/>
    </xf>
    <xf numFmtId="0" fontId="1" fillId="2" borderId="19" xfId="0" applyFont="1" applyFill="1" applyBorder="1" applyAlignment="1" applyProtection="1">
      <alignment horizontal="center" vertical="center"/>
      <protection hidden="1"/>
    </xf>
    <xf numFmtId="0" fontId="1" fillId="2" borderId="17" xfId="0" applyFont="1" applyFill="1" applyBorder="1" applyAlignment="1" applyProtection="1">
      <alignment horizontal="center" vertical="center"/>
      <protection hidden="1"/>
    </xf>
    <xf numFmtId="0" fontId="1" fillId="0" borderId="21" xfId="0" applyFont="1" applyBorder="1" applyAlignment="1" applyProtection="1">
      <alignment horizontal="center"/>
      <protection hidden="1"/>
    </xf>
    <xf numFmtId="0" fontId="1" fillId="0" borderId="23" xfId="0" applyFont="1" applyBorder="1" applyAlignment="1" applyProtection="1">
      <alignment horizontal="center"/>
      <protection hidden="1"/>
    </xf>
    <xf numFmtId="0" fontId="1" fillId="0" borderId="24" xfId="0" applyFont="1" applyBorder="1" applyAlignment="1" applyProtection="1">
      <alignment horizontal="center"/>
      <protection hidden="1"/>
    </xf>
    <xf numFmtId="0" fontId="1" fillId="0" borderId="14" xfId="0" applyFont="1" applyBorder="1" applyAlignment="1" applyProtection="1">
      <alignment horizontal="center"/>
      <protection hidden="1"/>
    </xf>
    <xf numFmtId="0" fontId="1" fillId="0" borderId="16" xfId="0" applyFont="1" applyBorder="1" applyAlignment="1" applyProtection="1">
      <alignment horizontal="center"/>
      <protection hidden="1"/>
    </xf>
    <xf numFmtId="0" fontId="1" fillId="2" borderId="18" xfId="0" applyFont="1" applyFill="1" applyBorder="1" applyAlignment="1" applyProtection="1">
      <alignment horizontal="center" vertical="center"/>
      <protection hidden="1"/>
    </xf>
    <xf numFmtId="0" fontId="1" fillId="0" borderId="27" xfId="0" applyFont="1" applyBorder="1" applyAlignment="1" applyProtection="1">
      <alignment horizontal="center"/>
      <protection locked="0" hidden="1"/>
    </xf>
    <xf numFmtId="0" fontId="1" fillId="0" borderId="23" xfId="0" applyFont="1" applyBorder="1" applyAlignment="1" applyProtection="1">
      <alignment horizontal="center"/>
      <protection locked="0" hidden="1"/>
    </xf>
    <xf numFmtId="0" fontId="1" fillId="0" borderId="0" xfId="0" applyFont="1" applyAlignment="1" applyProtection="1">
      <alignment horizontal="center"/>
      <protection locked="0" hidden="1"/>
    </xf>
    <xf numFmtId="0" fontId="1" fillId="0" borderId="7" xfId="0" applyFont="1" applyBorder="1" applyAlignment="1" applyProtection="1">
      <alignment horizontal="center"/>
      <protection locked="0" hidden="1"/>
    </xf>
    <xf numFmtId="0" fontId="1" fillId="0" borderId="12" xfId="0" applyFont="1" applyBorder="1" applyAlignment="1" applyProtection="1">
      <alignment horizontal="center"/>
      <protection locked="0" hidden="1"/>
    </xf>
    <xf numFmtId="0" fontId="1" fillId="0" borderId="15" xfId="0" applyFont="1" applyBorder="1" applyAlignment="1" applyProtection="1">
      <alignment horizontal="center"/>
      <protection locked="0" hidden="1"/>
    </xf>
    <xf numFmtId="0" fontId="10" fillId="0" borderId="20" xfId="0" applyFont="1" applyBorder="1" applyAlignment="1" applyProtection="1">
      <alignment horizontal="center"/>
      <protection hidden="1"/>
    </xf>
    <xf numFmtId="0" fontId="10" fillId="0" borderId="19" xfId="0" applyFont="1" applyBorder="1" applyAlignment="1" applyProtection="1">
      <alignment horizontal="center"/>
      <protection hidden="1"/>
    </xf>
    <xf numFmtId="0" fontId="10" fillId="0" borderId="26" xfId="0" applyFont="1" applyBorder="1" applyAlignment="1" applyProtection="1">
      <alignment horizontal="center"/>
      <protection hidden="1"/>
    </xf>
    <xf numFmtId="0" fontId="1" fillId="0" borderId="11" xfId="0" applyFont="1" applyBorder="1" applyAlignment="1" applyProtection="1">
      <alignment horizontal="center" vertical="center" wrapText="1"/>
      <protection hidden="1"/>
    </xf>
    <xf numFmtId="0" fontId="1" fillId="0" borderId="30" xfId="0" applyFont="1" applyBorder="1" applyAlignment="1" applyProtection="1">
      <alignment horizontal="center" vertical="center" wrapText="1"/>
      <protection hidden="1"/>
    </xf>
    <xf numFmtId="0" fontId="12" fillId="0" borderId="0" xfId="0" applyFont="1" applyAlignment="1" applyProtection="1">
      <alignment horizontal="center" vertical="center"/>
      <protection hidden="1"/>
    </xf>
    <xf numFmtId="0" fontId="6" fillId="0" borderId="22" xfId="0" applyFont="1" applyBorder="1" applyAlignment="1" applyProtection="1">
      <alignment horizontal="center" wrapText="1"/>
      <protection hidden="1"/>
    </xf>
    <xf numFmtId="0" fontId="6" fillId="0" borderId="13" xfId="0" applyFont="1" applyBorder="1" applyAlignment="1" applyProtection="1">
      <alignment horizontal="center" wrapText="1"/>
      <protection hidden="1"/>
    </xf>
    <xf numFmtId="0" fontId="7" fillId="0" borderId="8" xfId="0" applyFont="1" applyBorder="1" applyAlignment="1" applyProtection="1">
      <alignment horizontal="center" wrapText="1"/>
      <protection hidden="1"/>
    </xf>
    <xf numFmtId="0" fontId="9" fillId="0" borderId="30" xfId="0" applyFont="1" applyBorder="1" applyAlignment="1" applyProtection="1">
      <alignment horizontal="center" wrapText="1"/>
      <protection hidden="1"/>
    </xf>
    <xf numFmtId="0" fontId="9" fillId="0" borderId="11" xfId="0" applyFont="1" applyBorder="1" applyAlignment="1" applyProtection="1">
      <alignment horizontal="center" wrapText="1"/>
      <protection hidden="1"/>
    </xf>
    <xf numFmtId="0" fontId="9" fillId="0" borderId="9" xfId="0" applyFont="1" applyBorder="1" applyAlignment="1" applyProtection="1">
      <alignment horizontal="center" wrapText="1"/>
      <protection hidden="1"/>
    </xf>
    <xf numFmtId="0" fontId="7" fillId="0" borderId="31" xfId="0" applyFont="1" applyBorder="1" applyAlignment="1" applyProtection="1">
      <alignment horizontal="center" vertical="center" wrapText="1"/>
      <protection hidden="1"/>
    </xf>
    <xf numFmtId="0" fontId="7" fillId="0" borderId="32" xfId="0" applyFont="1" applyBorder="1" applyAlignment="1" applyProtection="1">
      <alignment horizontal="center" vertical="center" wrapText="1"/>
      <protection hidden="1"/>
    </xf>
    <xf numFmtId="0" fontId="15" fillId="0" borderId="20" xfId="0" applyFont="1" applyBorder="1" applyAlignment="1" applyProtection="1">
      <alignment horizontal="center" vertical="center"/>
      <protection hidden="1"/>
    </xf>
    <xf numFmtId="0" fontId="15" fillId="0" borderId="17" xfId="0" applyFont="1" applyBorder="1" applyAlignment="1" applyProtection="1">
      <alignment horizontal="center" vertical="center"/>
      <protection hidden="1"/>
    </xf>
    <xf numFmtId="0" fontId="15" fillId="0" borderId="20" xfId="0" applyFont="1" applyBorder="1" applyAlignment="1" applyProtection="1">
      <alignment horizontal="center" vertical="center"/>
      <protection locked="0" hidden="1"/>
    </xf>
    <xf numFmtId="0" fontId="15" fillId="0" borderId="17" xfId="0" applyFont="1" applyBorder="1" applyAlignment="1" applyProtection="1">
      <alignment horizontal="center" vertical="center"/>
      <protection locked="0" hidden="1"/>
    </xf>
    <xf numFmtId="0" fontId="11" fillId="0" borderId="23" xfId="0" applyFont="1" applyBorder="1" applyAlignment="1" applyProtection="1">
      <alignment horizontal="center" vertical="center" wrapText="1"/>
      <protection hidden="1"/>
    </xf>
    <xf numFmtId="0" fontId="11" fillId="0" borderId="0" xfId="0" applyFont="1" applyAlignment="1" applyProtection="1">
      <alignment horizontal="center" vertical="center" wrapText="1"/>
      <protection hidden="1"/>
    </xf>
    <xf numFmtId="0" fontId="7" fillId="0" borderId="19" xfId="0" applyFont="1" applyBorder="1" applyAlignment="1" applyProtection="1">
      <alignment horizontal="right" wrapText="1"/>
      <protection hidden="1"/>
    </xf>
    <xf numFmtId="0" fontId="0" fillId="0" borderId="18" xfId="0" applyBorder="1" applyAlignment="1" applyProtection="1">
      <alignment horizontal="center"/>
      <protection hidden="1"/>
    </xf>
    <xf numFmtId="0" fontId="14" fillId="0" borderId="23" xfId="0" applyFont="1" applyBorder="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6" fillId="0" borderId="31" xfId="0" applyFont="1" applyBorder="1" applyAlignment="1" applyProtection="1">
      <alignment horizontal="center" wrapText="1"/>
      <protection hidden="1"/>
    </xf>
    <xf numFmtId="0" fontId="6" fillId="0" borderId="32" xfId="0" applyFont="1" applyBorder="1" applyAlignment="1" applyProtection="1">
      <alignment horizontal="center" wrapText="1"/>
      <protection hidden="1"/>
    </xf>
    <xf numFmtId="0" fontId="0" fillId="0" borderId="7" xfId="0" applyBorder="1" applyAlignment="1" applyProtection="1">
      <alignment horizontal="center"/>
      <protection hidden="1"/>
    </xf>
    <xf numFmtId="0" fontId="0" fillId="0" borderId="11" xfId="0" applyBorder="1" applyAlignment="1" applyProtection="1">
      <alignment horizontal="center" vertical="center"/>
      <protection hidden="1"/>
    </xf>
    <xf numFmtId="0" fontId="9" fillId="0" borderId="20" xfId="0" applyFont="1" applyBorder="1" applyAlignment="1" applyProtection="1">
      <alignment horizontal="center" vertical="center"/>
      <protection hidden="1"/>
    </xf>
    <xf numFmtId="0" fontId="9" fillId="0" borderId="19" xfId="0" applyFont="1" applyBorder="1" applyAlignment="1" applyProtection="1">
      <alignment horizontal="center" vertical="center"/>
      <protection hidden="1"/>
    </xf>
    <xf numFmtId="0" fontId="9" fillId="0" borderId="26" xfId="0" applyFont="1" applyBorder="1" applyAlignment="1" applyProtection="1">
      <alignment horizontal="center" vertical="center"/>
      <protection hidden="1"/>
    </xf>
    <xf numFmtId="0" fontId="17" fillId="0" borderId="21" xfId="0" applyFont="1" applyBorder="1" applyAlignment="1" applyProtection="1">
      <alignment horizontal="center" vertical="center" wrapText="1"/>
      <protection hidden="1"/>
    </xf>
    <xf numFmtId="0" fontId="17" fillId="0" borderId="22" xfId="0" applyFont="1" applyBorder="1" applyAlignment="1" applyProtection="1">
      <alignment horizontal="center" vertical="center" wrapText="1"/>
      <protection hidden="1"/>
    </xf>
    <xf numFmtId="0" fontId="17" fillId="0" borderId="14" xfId="0" applyFont="1" applyBorder="1" applyAlignment="1" applyProtection="1">
      <alignment horizontal="center" vertical="center" wrapText="1"/>
      <protection hidden="1"/>
    </xf>
    <xf numFmtId="0" fontId="17" fillId="0" borderId="13" xfId="0" applyFont="1" applyBorder="1" applyAlignment="1" applyProtection="1">
      <alignment horizontal="center" vertical="center" wrapText="1"/>
      <protection hidden="1"/>
    </xf>
  </cellXfs>
  <cellStyles count="1">
    <cellStyle name="Normal" xfId="0" builtinId="0"/>
  </cellStyles>
  <dxfs count="59">
    <dxf>
      <fill>
        <patternFill>
          <bgColor theme="9"/>
        </patternFill>
      </fill>
    </dxf>
    <dxf>
      <fill>
        <patternFill>
          <bgColor rgb="FFFF0000"/>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80\Engineering\Users\zhewe\Desktop\SQAF-015%20TEMPLATE\VariablegaugeRandR%20(%20Verified%20with%20Data%20from%20AIAG%20MSA%20Already%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 Data"/>
      <sheetName val="bts"/>
      <sheetName val="Results"/>
      <sheetName val="Bias &amp; Consistency Charts"/>
      <sheetName val="Ave &amp; Range Charts"/>
      <sheetName val="Critical Values"/>
      <sheetName val="d2star"/>
    </sheetNames>
    <sheetDataSet>
      <sheetData sheetId="0">
        <row r="21">
          <cell r="D21">
            <v>10</v>
          </cell>
          <cell r="G21">
            <v>3</v>
          </cell>
          <cell r="J21">
            <v>3</v>
          </cell>
        </row>
      </sheetData>
      <sheetData sheetId="1"/>
      <sheetData sheetId="2"/>
      <sheetData sheetId="3"/>
      <sheetData sheetId="4"/>
      <sheetData sheetId="5"/>
      <sheetData sheetId="6"/>
      <sheetData sheetId="7"/>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L480"/>
  <sheetViews>
    <sheetView tabSelected="1" view="pageLayout" topLeftCell="U462" zoomScaleNormal="70" zoomScaleSheetLayoutView="100" workbookViewId="0">
      <selection activeCell="AD445" sqref="AD445:AE446"/>
    </sheetView>
  </sheetViews>
  <sheetFormatPr defaultColWidth="8.6640625" defaultRowHeight="14.4" x14ac:dyDescent="0.3"/>
  <cols>
    <col min="1" max="58" width="8.6640625" style="2"/>
    <col min="59" max="59" width="8.88671875" style="2" customWidth="1"/>
    <col min="60" max="84" width="8.6640625" style="2"/>
    <col min="85" max="85" width="16.6640625" style="2" customWidth="1"/>
    <col min="86" max="86" width="36.6640625" style="2" customWidth="1"/>
    <col min="87" max="87" width="12.44140625" style="2" customWidth="1"/>
    <col min="88" max="89" width="13.33203125" style="2" customWidth="1"/>
    <col min="90" max="90" width="13.109375" style="2" customWidth="1"/>
    <col min="91" max="91" width="23.6640625" style="2" customWidth="1"/>
    <col min="92" max="92" width="32.6640625" style="2" customWidth="1"/>
    <col min="93" max="93" width="18.109375" style="2" customWidth="1"/>
    <col min="94" max="94" width="23.109375" style="2" customWidth="1"/>
    <col min="95" max="95" width="20.6640625" style="2" customWidth="1"/>
    <col min="96" max="96" width="19.6640625" style="2" customWidth="1"/>
    <col min="97" max="97" width="24.5546875" style="2" customWidth="1"/>
    <col min="98" max="98" width="51.44140625" style="2" customWidth="1"/>
    <col min="99" max="99" width="37.33203125" style="2" customWidth="1"/>
    <col min="100" max="100" width="32" style="2" customWidth="1"/>
    <col min="101" max="101" width="32.44140625" style="2" customWidth="1"/>
    <col min="102" max="109" width="40.88671875" style="2" customWidth="1"/>
    <col min="110" max="110" width="16.109375" style="2" customWidth="1"/>
    <col min="111" max="111" width="24.5546875" style="2" customWidth="1"/>
    <col min="112" max="112" width="22.109375" style="2" customWidth="1"/>
    <col min="113" max="113" width="24.5546875" style="2" customWidth="1"/>
    <col min="114" max="114" width="42.109375" style="2" customWidth="1"/>
    <col min="115" max="115" width="25.6640625" style="2" customWidth="1"/>
    <col min="116" max="116" width="24.6640625" style="2" customWidth="1"/>
    <col min="117" max="16384" width="8.6640625" style="2"/>
  </cols>
  <sheetData>
    <row r="1" spans="1:142" ht="14.4" customHeight="1" x14ac:dyDescent="0.3">
      <c r="A1" s="183" t="e" vm="1">
        <v>#VALUE!</v>
      </c>
      <c r="B1" s="184"/>
      <c r="C1" s="291" t="s">
        <v>0</v>
      </c>
      <c r="D1" s="191"/>
      <c r="E1" s="191"/>
      <c r="F1" s="191"/>
      <c r="G1" s="191"/>
      <c r="H1" s="191"/>
      <c r="I1" s="191"/>
      <c r="J1" s="292"/>
      <c r="K1" s="300" t="s">
        <v>137</v>
      </c>
      <c r="L1" s="301"/>
      <c r="M1" s="301"/>
      <c r="N1" s="301"/>
      <c r="O1" s="301"/>
      <c r="P1" s="301"/>
      <c r="Q1" s="301"/>
      <c r="R1" s="302"/>
      <c r="S1" s="291" t="e" vm="2">
        <v>#VALUE!</v>
      </c>
      <c r="T1" s="191"/>
      <c r="U1" s="192"/>
      <c r="V1" s="183" t="e" vm="1">
        <v>#VALUE!</v>
      </c>
      <c r="W1" s="184"/>
      <c r="X1" s="189" t="s">
        <v>1</v>
      </c>
      <c r="Y1" s="189"/>
      <c r="Z1" s="189"/>
      <c r="AA1" s="189"/>
      <c r="AB1" s="189"/>
      <c r="AC1" s="189"/>
      <c r="AD1" s="189"/>
      <c r="AE1" s="189"/>
      <c r="AF1" s="291" t="s">
        <v>2</v>
      </c>
      <c r="AG1" s="191"/>
      <c r="AH1" s="191"/>
      <c r="AI1" s="191"/>
      <c r="AJ1" s="191"/>
      <c r="AK1" s="191"/>
      <c r="AL1" s="191"/>
      <c r="AM1" s="292"/>
      <c r="AN1" s="191" t="e" vm="3">
        <v>#VALUE!</v>
      </c>
      <c r="AO1" s="191"/>
      <c r="AP1" s="192"/>
      <c r="AQ1" s="297" t="e" vm="1">
        <v>#VALUE!</v>
      </c>
      <c r="AR1" s="184"/>
      <c r="AS1" s="189" t="s">
        <v>1</v>
      </c>
      <c r="AT1" s="189"/>
      <c r="AU1" s="189"/>
      <c r="AV1" s="189"/>
      <c r="AW1" s="189"/>
      <c r="AX1" s="189"/>
      <c r="AY1" s="189"/>
      <c r="AZ1" s="189"/>
      <c r="BA1" s="189" t="s">
        <v>3</v>
      </c>
      <c r="BB1" s="189"/>
      <c r="BC1" s="189"/>
      <c r="BD1" s="189"/>
      <c r="BE1" s="189"/>
      <c r="BF1" s="189"/>
      <c r="BG1" s="189"/>
      <c r="BH1" s="189"/>
      <c r="BI1" s="191" t="e" vm="4">
        <v>#VALUE!</v>
      </c>
      <c r="BJ1" s="191"/>
      <c r="BK1" s="192"/>
      <c r="BL1" s="183" t="e" vm="1">
        <v>#VALUE!</v>
      </c>
      <c r="BM1" s="184"/>
      <c r="BN1" s="189" t="s">
        <v>1</v>
      </c>
      <c r="BO1" s="189"/>
      <c r="BP1" s="189"/>
      <c r="BQ1" s="189"/>
      <c r="BR1" s="189"/>
      <c r="BS1" s="189"/>
      <c r="BT1" s="189"/>
      <c r="BU1" s="189"/>
      <c r="BV1" s="189" t="s">
        <v>4</v>
      </c>
      <c r="BW1" s="189"/>
      <c r="BX1" s="189"/>
      <c r="BY1" s="189"/>
      <c r="BZ1" s="189"/>
      <c r="CA1" s="189"/>
      <c r="CB1" s="189"/>
      <c r="CC1" s="189"/>
      <c r="CD1" s="191" t="e" vm="3">
        <v>#VALUE!</v>
      </c>
      <c r="CE1" s="191"/>
      <c r="CF1" s="192"/>
      <c r="CG1" s="1"/>
      <c r="CH1" s="1"/>
      <c r="CI1" s="1"/>
      <c r="CJ1" s="1"/>
      <c r="CK1" s="1"/>
      <c r="CL1" s="1"/>
      <c r="CM1" s="2" t="s">
        <v>5</v>
      </c>
    </row>
    <row r="2" spans="1:142" ht="14.4" customHeight="1" x14ac:dyDescent="0.3">
      <c r="A2" s="185"/>
      <c r="B2" s="186"/>
      <c r="C2" s="293"/>
      <c r="D2" s="193"/>
      <c r="E2" s="193"/>
      <c r="F2" s="193"/>
      <c r="G2" s="193"/>
      <c r="H2" s="193"/>
      <c r="I2" s="193"/>
      <c r="J2" s="294"/>
      <c r="K2" s="303"/>
      <c r="L2" s="304"/>
      <c r="M2" s="304"/>
      <c r="N2" s="304"/>
      <c r="O2" s="304"/>
      <c r="P2" s="304"/>
      <c r="Q2" s="304"/>
      <c r="R2" s="305"/>
      <c r="S2" s="293"/>
      <c r="T2" s="193"/>
      <c r="U2" s="194"/>
      <c r="V2" s="185"/>
      <c r="W2" s="186"/>
      <c r="X2" s="190"/>
      <c r="Y2" s="190"/>
      <c r="Z2" s="190"/>
      <c r="AA2" s="190"/>
      <c r="AB2" s="190"/>
      <c r="AC2" s="190"/>
      <c r="AD2" s="190"/>
      <c r="AE2" s="190"/>
      <c r="AF2" s="293"/>
      <c r="AG2" s="193"/>
      <c r="AH2" s="193"/>
      <c r="AI2" s="193"/>
      <c r="AJ2" s="193"/>
      <c r="AK2" s="193"/>
      <c r="AL2" s="193"/>
      <c r="AM2" s="294"/>
      <c r="AN2" s="193"/>
      <c r="AO2" s="193"/>
      <c r="AP2" s="194"/>
      <c r="AQ2" s="298"/>
      <c r="AR2" s="186"/>
      <c r="AS2" s="190"/>
      <c r="AT2" s="190"/>
      <c r="AU2" s="190"/>
      <c r="AV2" s="190"/>
      <c r="AW2" s="190"/>
      <c r="AX2" s="190"/>
      <c r="AY2" s="190"/>
      <c r="AZ2" s="190"/>
      <c r="BA2" s="190"/>
      <c r="BB2" s="190"/>
      <c r="BC2" s="190"/>
      <c r="BD2" s="190"/>
      <c r="BE2" s="190"/>
      <c r="BF2" s="190"/>
      <c r="BG2" s="190"/>
      <c r="BH2" s="190"/>
      <c r="BI2" s="193"/>
      <c r="BJ2" s="193"/>
      <c r="BK2" s="194"/>
      <c r="BL2" s="185"/>
      <c r="BM2" s="186"/>
      <c r="BN2" s="190"/>
      <c r="BO2" s="190"/>
      <c r="BP2" s="190"/>
      <c r="BQ2" s="190"/>
      <c r="BR2" s="190"/>
      <c r="BS2" s="190"/>
      <c r="BT2" s="190"/>
      <c r="BU2" s="190"/>
      <c r="BV2" s="190"/>
      <c r="BW2" s="190"/>
      <c r="BX2" s="190"/>
      <c r="BY2" s="190"/>
      <c r="BZ2" s="190"/>
      <c r="CA2" s="190"/>
      <c r="CB2" s="190"/>
      <c r="CC2" s="190"/>
      <c r="CD2" s="193"/>
      <c r="CE2" s="193"/>
      <c r="CF2" s="194"/>
      <c r="CG2" s="1"/>
      <c r="CH2" s="1"/>
      <c r="CI2" s="1"/>
      <c r="CJ2" s="1"/>
      <c r="CK2" s="1"/>
      <c r="CL2" s="1"/>
    </row>
    <row r="3" spans="1:142" ht="14.4" customHeight="1" x14ac:dyDescent="0.3">
      <c r="A3" s="187"/>
      <c r="B3" s="188"/>
      <c r="C3" s="295"/>
      <c r="D3" s="195"/>
      <c r="E3" s="195"/>
      <c r="F3" s="195"/>
      <c r="G3" s="195"/>
      <c r="H3" s="195"/>
      <c r="I3" s="195"/>
      <c r="J3" s="296"/>
      <c r="K3" s="306"/>
      <c r="L3" s="307"/>
      <c r="M3" s="307"/>
      <c r="N3" s="307"/>
      <c r="O3" s="307"/>
      <c r="P3" s="307"/>
      <c r="Q3" s="307"/>
      <c r="R3" s="308"/>
      <c r="S3" s="295"/>
      <c r="T3" s="195"/>
      <c r="U3" s="196"/>
      <c r="V3" s="187"/>
      <c r="W3" s="188"/>
      <c r="X3" s="190"/>
      <c r="Y3" s="190"/>
      <c r="Z3" s="190"/>
      <c r="AA3" s="190"/>
      <c r="AB3" s="190"/>
      <c r="AC3" s="190"/>
      <c r="AD3" s="190"/>
      <c r="AE3" s="190"/>
      <c r="AF3" s="295"/>
      <c r="AG3" s="195"/>
      <c r="AH3" s="195"/>
      <c r="AI3" s="195"/>
      <c r="AJ3" s="195"/>
      <c r="AK3" s="195"/>
      <c r="AL3" s="195"/>
      <c r="AM3" s="296"/>
      <c r="AN3" s="193"/>
      <c r="AO3" s="193"/>
      <c r="AP3" s="194"/>
      <c r="AQ3" s="299"/>
      <c r="AR3" s="188"/>
      <c r="AS3" s="190"/>
      <c r="AT3" s="190"/>
      <c r="AU3" s="190"/>
      <c r="AV3" s="190"/>
      <c r="AW3" s="190"/>
      <c r="AX3" s="190"/>
      <c r="AY3" s="190"/>
      <c r="AZ3" s="190"/>
      <c r="BA3" s="190"/>
      <c r="BB3" s="190"/>
      <c r="BC3" s="190"/>
      <c r="BD3" s="190"/>
      <c r="BE3" s="190"/>
      <c r="BF3" s="190"/>
      <c r="BG3" s="190"/>
      <c r="BH3" s="190"/>
      <c r="BI3" s="195"/>
      <c r="BJ3" s="195"/>
      <c r="BK3" s="196"/>
      <c r="BL3" s="187"/>
      <c r="BM3" s="188"/>
      <c r="BN3" s="190"/>
      <c r="BO3" s="190"/>
      <c r="BP3" s="190"/>
      <c r="BQ3" s="190"/>
      <c r="BR3" s="190"/>
      <c r="BS3" s="190"/>
      <c r="BT3" s="190"/>
      <c r="BU3" s="190"/>
      <c r="BV3" s="190"/>
      <c r="BW3" s="190"/>
      <c r="BX3" s="190"/>
      <c r="BY3" s="190"/>
      <c r="BZ3" s="190"/>
      <c r="CA3" s="190"/>
      <c r="CB3" s="190"/>
      <c r="CC3" s="190"/>
      <c r="CD3" s="195"/>
      <c r="CE3" s="195"/>
      <c r="CF3" s="196"/>
      <c r="CG3" s="289" t="s">
        <v>6</v>
      </c>
      <c r="CH3" s="190"/>
      <c r="CI3" s="190"/>
      <c r="CJ3" s="190"/>
      <c r="CK3" s="190"/>
      <c r="CL3" s="190"/>
    </row>
    <row r="4" spans="1:142" ht="14.4" customHeight="1" x14ac:dyDescent="0.3">
      <c r="A4" s="111" t="s">
        <v>7</v>
      </c>
      <c r="B4" s="110"/>
      <c r="C4" s="309"/>
      <c r="D4" s="309"/>
      <c r="E4" s="309"/>
      <c r="F4" s="309"/>
      <c r="G4" s="309"/>
      <c r="H4" s="105" t="s">
        <v>8</v>
      </c>
      <c r="I4" s="112"/>
      <c r="J4" s="106"/>
      <c r="K4" s="105" t="s">
        <v>9</v>
      </c>
      <c r="L4" s="112"/>
      <c r="M4" s="106"/>
      <c r="N4" s="105" t="s">
        <v>10</v>
      </c>
      <c r="O4" s="112"/>
      <c r="P4" s="106"/>
      <c r="Q4" s="113" t="s">
        <v>11</v>
      </c>
      <c r="R4" s="114"/>
      <c r="S4" s="320"/>
      <c r="T4" s="321"/>
      <c r="U4" s="322"/>
      <c r="V4" s="107" t="s">
        <v>7</v>
      </c>
      <c r="W4" s="106"/>
      <c r="X4" s="182" t="str">
        <f>IF(ISBLANK($C$4),"",$C$4)</f>
        <v/>
      </c>
      <c r="Y4" s="182"/>
      <c r="Z4" s="182"/>
      <c r="AA4" s="182"/>
      <c r="AB4" s="182"/>
      <c r="AC4" s="105" t="s">
        <v>8</v>
      </c>
      <c r="AD4" s="112"/>
      <c r="AE4" s="106"/>
      <c r="AF4" s="105" t="s">
        <v>9</v>
      </c>
      <c r="AG4" s="112"/>
      <c r="AH4" s="106"/>
      <c r="AI4" s="105" t="s">
        <v>10</v>
      </c>
      <c r="AJ4" s="112"/>
      <c r="AK4" s="106"/>
      <c r="AL4" s="113" t="s">
        <v>11</v>
      </c>
      <c r="AM4" s="117"/>
      <c r="AN4" s="113" t="str">
        <f>IF(ISBLANK($S$4),"",$S$4)</f>
        <v/>
      </c>
      <c r="AO4" s="117"/>
      <c r="AP4" s="251"/>
      <c r="AQ4" s="112" t="s">
        <v>7</v>
      </c>
      <c r="AR4" s="106"/>
      <c r="AS4" s="182" t="str">
        <f>IF(ISBLANK($C$4),"",$C$4)</f>
        <v/>
      </c>
      <c r="AT4" s="182"/>
      <c r="AU4" s="182"/>
      <c r="AV4" s="182"/>
      <c r="AW4" s="182"/>
      <c r="AX4" s="105" t="s">
        <v>8</v>
      </c>
      <c r="AY4" s="112"/>
      <c r="AZ4" s="106"/>
      <c r="BA4" s="105" t="s">
        <v>9</v>
      </c>
      <c r="BB4" s="112"/>
      <c r="BC4" s="106"/>
      <c r="BD4" s="105" t="s">
        <v>10</v>
      </c>
      <c r="BE4" s="112"/>
      <c r="BF4" s="106"/>
      <c r="BG4" s="113" t="s">
        <v>11</v>
      </c>
      <c r="BH4" s="114"/>
      <c r="BI4" s="113" t="str">
        <f>IF(ISBLANK($S$4),"",$S$4)</f>
        <v/>
      </c>
      <c r="BJ4" s="117"/>
      <c r="BK4" s="114"/>
      <c r="BL4" s="112" t="s">
        <v>7</v>
      </c>
      <c r="BM4" s="106"/>
      <c r="BN4" s="182" t="str">
        <f>IF(ISBLANK($C$4),"",$C$4)</f>
        <v/>
      </c>
      <c r="BO4" s="182"/>
      <c r="BP4" s="182"/>
      <c r="BQ4" s="182"/>
      <c r="BR4" s="182"/>
      <c r="BS4" s="108" t="s">
        <v>8</v>
      </c>
      <c r="BT4" s="109"/>
      <c r="BU4" s="110"/>
      <c r="BV4" s="108" t="s">
        <v>9</v>
      </c>
      <c r="BW4" s="109"/>
      <c r="BX4" s="110"/>
      <c r="BY4" s="108" t="s">
        <v>10</v>
      </c>
      <c r="BZ4" s="109"/>
      <c r="CA4" s="110"/>
      <c r="CB4" s="113" t="s">
        <v>11</v>
      </c>
      <c r="CC4" s="114"/>
      <c r="CD4" s="113" t="str">
        <f>IF(ISBLANK($S$4),"",$S$4)</f>
        <v/>
      </c>
      <c r="CE4" s="117"/>
      <c r="CF4" s="114"/>
      <c r="CG4" s="289"/>
      <c r="CH4" s="190"/>
      <c r="CI4" s="190"/>
      <c r="CJ4" s="190"/>
      <c r="CK4" s="190"/>
      <c r="CL4" s="290"/>
    </row>
    <row r="5" spans="1:142" ht="14.4" customHeight="1" x14ac:dyDescent="0.3">
      <c r="A5" s="111" t="s">
        <v>12</v>
      </c>
      <c r="B5" s="110"/>
      <c r="C5" s="309"/>
      <c r="D5" s="309"/>
      <c r="E5" s="309"/>
      <c r="F5" s="309"/>
      <c r="G5" s="309"/>
      <c r="H5" s="105" t="s">
        <v>13</v>
      </c>
      <c r="I5" s="112"/>
      <c r="J5" s="106"/>
      <c r="K5" s="105" t="s">
        <v>14</v>
      </c>
      <c r="L5" s="112"/>
      <c r="M5" s="106"/>
      <c r="N5" s="105" t="s">
        <v>15</v>
      </c>
      <c r="O5" s="112"/>
      <c r="P5" s="106"/>
      <c r="Q5" s="115"/>
      <c r="R5" s="116"/>
      <c r="S5" s="323"/>
      <c r="T5" s="299"/>
      <c r="U5" s="324"/>
      <c r="V5" s="107" t="s">
        <v>12</v>
      </c>
      <c r="W5" s="106"/>
      <c r="X5" s="182" t="str">
        <f>IF(ISBLANK($C$5),"",$C$5)</f>
        <v/>
      </c>
      <c r="Y5" s="182"/>
      <c r="Z5" s="182"/>
      <c r="AA5" s="182"/>
      <c r="AB5" s="182"/>
      <c r="AC5" s="105" t="s">
        <v>13</v>
      </c>
      <c r="AD5" s="112"/>
      <c r="AE5" s="106"/>
      <c r="AF5" s="105" t="s">
        <v>14</v>
      </c>
      <c r="AG5" s="112"/>
      <c r="AH5" s="106"/>
      <c r="AI5" s="105" t="s">
        <v>15</v>
      </c>
      <c r="AJ5" s="112"/>
      <c r="AK5" s="106"/>
      <c r="AL5" s="115"/>
      <c r="AM5" s="118"/>
      <c r="AN5" s="115" t="str">
        <f>IF(ISBLANK($S$5),"",$S$5)</f>
        <v/>
      </c>
      <c r="AO5" s="118"/>
      <c r="AP5" s="252"/>
      <c r="AQ5" s="112" t="s">
        <v>12</v>
      </c>
      <c r="AR5" s="106"/>
      <c r="AS5" s="182" t="str">
        <f>IF(ISBLANK($C$5),"",$C$5)</f>
        <v/>
      </c>
      <c r="AT5" s="182"/>
      <c r="AU5" s="182"/>
      <c r="AV5" s="182"/>
      <c r="AW5" s="182"/>
      <c r="AX5" s="105" t="s">
        <v>13</v>
      </c>
      <c r="AY5" s="112"/>
      <c r="AZ5" s="106"/>
      <c r="BA5" s="105" t="s">
        <v>14</v>
      </c>
      <c r="BB5" s="112"/>
      <c r="BC5" s="106"/>
      <c r="BD5" s="105" t="s">
        <v>15</v>
      </c>
      <c r="BE5" s="112"/>
      <c r="BF5" s="106"/>
      <c r="BG5" s="115"/>
      <c r="BH5" s="116"/>
      <c r="BI5" s="115" t="str">
        <f>IF(ISBLANK($S$5),"",$S$5)</f>
        <v/>
      </c>
      <c r="BJ5" s="118"/>
      <c r="BK5" s="116"/>
      <c r="BL5" s="112" t="s">
        <v>12</v>
      </c>
      <c r="BM5" s="106"/>
      <c r="BN5" s="182" t="str">
        <f>IF(ISBLANK($C$5),"",$C$5)</f>
        <v/>
      </c>
      <c r="BO5" s="182"/>
      <c r="BP5" s="182"/>
      <c r="BQ5" s="182"/>
      <c r="BR5" s="182"/>
      <c r="BS5" s="108" t="s">
        <v>143</v>
      </c>
      <c r="BT5" s="109"/>
      <c r="BU5" s="110"/>
      <c r="BV5" s="108" t="s">
        <v>144</v>
      </c>
      <c r="BW5" s="109"/>
      <c r="BX5" s="110"/>
      <c r="BY5" s="108" t="s">
        <v>15</v>
      </c>
      <c r="BZ5" s="109"/>
      <c r="CA5" s="110"/>
      <c r="CB5" s="115"/>
      <c r="CC5" s="116"/>
      <c r="CD5" s="115" t="str">
        <f>IF(ISBLANK($S$5),"",$S$5)</f>
        <v/>
      </c>
      <c r="CE5" s="118"/>
      <c r="CF5" s="116"/>
      <c r="CG5" s="6" t="s">
        <v>7</v>
      </c>
      <c r="CH5" s="7" t="s">
        <v>12</v>
      </c>
      <c r="CI5" s="8" t="s">
        <v>16</v>
      </c>
      <c r="CJ5" s="8" t="s">
        <v>17</v>
      </c>
      <c r="CK5" s="7" t="s">
        <v>18</v>
      </c>
      <c r="CL5" s="9" t="s">
        <v>19</v>
      </c>
      <c r="CM5" s="10" t="s">
        <v>20</v>
      </c>
      <c r="CN5" s="10" t="s">
        <v>21</v>
      </c>
      <c r="CO5" s="10" t="s">
        <v>22</v>
      </c>
      <c r="CP5" s="10" t="s">
        <v>23</v>
      </c>
      <c r="CQ5" s="10" t="s">
        <v>24</v>
      </c>
      <c r="CR5" s="10" t="s">
        <v>25</v>
      </c>
      <c r="CS5" s="10" t="s">
        <v>26</v>
      </c>
      <c r="CT5" s="10" t="s">
        <v>27</v>
      </c>
      <c r="CU5" s="10" t="s">
        <v>28</v>
      </c>
      <c r="CV5" s="10" t="s">
        <v>29</v>
      </c>
      <c r="CW5" s="10" t="s">
        <v>30</v>
      </c>
      <c r="CX5" s="10" t="s">
        <v>31</v>
      </c>
      <c r="CY5" s="10" t="s">
        <v>32</v>
      </c>
      <c r="CZ5" s="10" t="s">
        <v>33</v>
      </c>
      <c r="DA5" s="10" t="s">
        <v>34</v>
      </c>
      <c r="DB5" s="10" t="s">
        <v>35</v>
      </c>
      <c r="DC5" s="10" t="s">
        <v>36</v>
      </c>
      <c r="DD5" s="10" t="s">
        <v>37</v>
      </c>
      <c r="DE5" s="10" t="s">
        <v>38</v>
      </c>
      <c r="DF5" s="10" t="s">
        <v>39</v>
      </c>
      <c r="DG5" s="10" t="s">
        <v>40</v>
      </c>
      <c r="DH5" s="10" t="s">
        <v>41</v>
      </c>
      <c r="DI5" s="10" t="s">
        <v>31</v>
      </c>
      <c r="DJ5" s="10" t="s">
        <v>32</v>
      </c>
      <c r="DK5" s="10" t="s">
        <v>33</v>
      </c>
      <c r="DL5" s="10" t="s">
        <v>34</v>
      </c>
    </row>
    <row r="6" spans="1:142" ht="14.4" customHeight="1" x14ac:dyDescent="0.3">
      <c r="A6" s="111" t="s">
        <v>42</v>
      </c>
      <c r="B6" s="110"/>
      <c r="C6" s="309"/>
      <c r="D6" s="309"/>
      <c r="E6" s="309"/>
      <c r="F6" s="309"/>
      <c r="G6" s="309"/>
      <c r="H6" s="253"/>
      <c r="I6" s="254"/>
      <c r="J6" s="255"/>
      <c r="K6" s="253"/>
      <c r="L6" s="254"/>
      <c r="M6" s="255"/>
      <c r="N6" s="253"/>
      <c r="O6" s="254"/>
      <c r="P6" s="255"/>
      <c r="Q6" s="105" t="s">
        <v>43</v>
      </c>
      <c r="R6" s="106"/>
      <c r="S6" s="108"/>
      <c r="T6" s="109"/>
      <c r="U6" s="316"/>
      <c r="V6" s="107" t="s">
        <v>42</v>
      </c>
      <c r="W6" s="106"/>
      <c r="X6" s="182" t="str">
        <f>IF(ISBLANK($C$6),"",$C$6)</f>
        <v/>
      </c>
      <c r="Y6" s="182"/>
      <c r="Z6" s="182"/>
      <c r="AA6" s="182"/>
      <c r="AB6" s="182"/>
      <c r="AC6" s="253"/>
      <c r="AD6" s="254"/>
      <c r="AE6" s="255"/>
      <c r="AF6" s="253"/>
      <c r="AG6" s="254"/>
      <c r="AH6" s="255"/>
      <c r="AI6" s="253"/>
      <c r="AJ6" s="254"/>
      <c r="AK6" s="255"/>
      <c r="AL6" s="105" t="s">
        <v>43</v>
      </c>
      <c r="AM6" s="106"/>
      <c r="AN6" s="115" t="str">
        <f>IF(ISBLANK($S$6),"",$S$6)</f>
        <v/>
      </c>
      <c r="AO6" s="118"/>
      <c r="AP6" s="252"/>
      <c r="AQ6" s="112" t="s">
        <v>42</v>
      </c>
      <c r="AR6" s="106"/>
      <c r="AS6" s="182" t="str">
        <f>IF(ISBLANK($C$6),"",$C$6)</f>
        <v/>
      </c>
      <c r="AT6" s="182"/>
      <c r="AU6" s="182"/>
      <c r="AV6" s="182"/>
      <c r="AW6" s="182"/>
      <c r="AX6" s="253"/>
      <c r="AY6" s="254"/>
      <c r="AZ6" s="255"/>
      <c r="BA6" s="253"/>
      <c r="BB6" s="254"/>
      <c r="BC6" s="255"/>
      <c r="BD6" s="253"/>
      <c r="BE6" s="254"/>
      <c r="BF6" s="255"/>
      <c r="BG6" s="105" t="s">
        <v>43</v>
      </c>
      <c r="BH6" s="106"/>
      <c r="BI6" s="115" t="str">
        <f>IF(ISBLANK($S$6),"",$S$6)</f>
        <v/>
      </c>
      <c r="BJ6" s="118"/>
      <c r="BK6" s="252"/>
      <c r="BL6" s="107" t="s">
        <v>42</v>
      </c>
      <c r="BM6" s="106"/>
      <c r="BN6" s="182" t="str">
        <f>IF(ISBLANK($C$6),"",$C$6)</f>
        <v/>
      </c>
      <c r="BO6" s="182"/>
      <c r="BP6" s="182"/>
      <c r="BQ6" s="182"/>
      <c r="BR6" s="182"/>
      <c r="BS6" s="141"/>
      <c r="BT6" s="142"/>
      <c r="BU6" s="143"/>
      <c r="BV6" s="141"/>
      <c r="BW6" s="142"/>
      <c r="BX6" s="143"/>
      <c r="BY6" s="141"/>
      <c r="BZ6" s="142"/>
      <c r="CA6" s="143"/>
      <c r="CB6" s="105" t="s">
        <v>43</v>
      </c>
      <c r="CC6" s="106"/>
      <c r="CD6" s="115" t="str">
        <f>IF(ISBLANK($S$6),"",$S$6)</f>
        <v/>
      </c>
      <c r="CE6" s="118"/>
      <c r="CF6" s="252"/>
      <c r="CG6" s="12" t="str">
        <f>IF(ISBLANK($C4),"",$C4)</f>
        <v/>
      </c>
      <c r="CH6" s="13" t="str">
        <f>IF(ISBLANK($C5),"",$C5)</f>
        <v/>
      </c>
      <c r="CI6" s="13" t="e">
        <f>IF(ISBLANK(#REF!),"",#REF!)</f>
        <v>#REF!</v>
      </c>
      <c r="CJ6" s="13" t="str">
        <f>IF(ISBLANK($C8),"",$C8)</f>
        <v/>
      </c>
      <c r="CK6" s="5" t="e">
        <f>IF(ISBLANK($S10),"",$S10)</f>
        <v>#N/A</v>
      </c>
      <c r="CL6" s="14" t="str">
        <f>IF(ISBLANK($S11),"",$S11)</f>
        <v/>
      </c>
      <c r="CM6" s="15">
        <f>AD10</f>
        <v>0</v>
      </c>
      <c r="CN6" s="15">
        <f>AD11</f>
        <v>0</v>
      </c>
      <c r="CO6" s="10">
        <f>AG10</f>
        <v>0</v>
      </c>
      <c r="CP6" s="10">
        <f>AG11</f>
        <v>0</v>
      </c>
      <c r="CQ6" s="10">
        <f>AK10</f>
        <v>0</v>
      </c>
      <c r="CR6" s="10">
        <f>AK11</f>
        <v>0</v>
      </c>
      <c r="CS6" s="10">
        <f>AN11</f>
        <v>0</v>
      </c>
      <c r="CT6" s="10">
        <f>AG43</f>
        <v>0</v>
      </c>
      <c r="CU6" s="10">
        <f>AH46</f>
        <v>0</v>
      </c>
      <c r="CV6" s="10">
        <f>AI43</f>
        <v>0</v>
      </c>
      <c r="CW6" s="10">
        <f>AJ46</f>
        <v>0</v>
      </c>
      <c r="CX6" s="10">
        <f>AL43</f>
        <v>0</v>
      </c>
      <c r="CY6" s="10">
        <f>AM46</f>
        <v>0</v>
      </c>
      <c r="CZ6" s="10">
        <f>AN43</f>
        <v>0</v>
      </c>
      <c r="DA6" s="10">
        <f>AO46</f>
        <v>0</v>
      </c>
      <c r="DB6" s="10">
        <f>W42</f>
        <v>0</v>
      </c>
      <c r="DC6" s="10">
        <f>W44</f>
        <v>0</v>
      </c>
      <c r="DD6" s="10">
        <f>Y43</f>
        <v>0</v>
      </c>
      <c r="DE6" s="10">
        <f>Z46</f>
        <v>0</v>
      </c>
      <c r="DF6" s="10">
        <f>BF10</f>
        <v>0</v>
      </c>
      <c r="DG6" s="10">
        <f>BF11</f>
        <v>0</v>
      </c>
      <c r="DH6" s="10">
        <f>AN11</f>
        <v>0</v>
      </c>
      <c r="DI6" s="10">
        <f>BG43</f>
        <v>0</v>
      </c>
      <c r="DJ6" s="10">
        <f>BH46</f>
        <v>0</v>
      </c>
      <c r="DK6" s="10">
        <f>BI43</f>
        <v>0</v>
      </c>
      <c r="DL6" s="10">
        <f>BJ46</f>
        <v>0</v>
      </c>
    </row>
    <row r="7" spans="1:142" ht="14.4" customHeight="1" x14ac:dyDescent="0.3">
      <c r="A7" s="111" t="s">
        <v>16</v>
      </c>
      <c r="B7" s="110"/>
      <c r="C7" s="309"/>
      <c r="D7" s="309"/>
      <c r="E7" s="309"/>
      <c r="F7" s="309"/>
      <c r="G7" s="309"/>
      <c r="H7" s="256"/>
      <c r="I7" s="257"/>
      <c r="J7" s="258"/>
      <c r="K7" s="256"/>
      <c r="L7" s="257"/>
      <c r="M7" s="258"/>
      <c r="N7" s="256"/>
      <c r="O7" s="257"/>
      <c r="P7" s="258"/>
      <c r="Q7" s="105" t="s">
        <v>44</v>
      </c>
      <c r="R7" s="106"/>
      <c r="S7" s="313" t="str">
        <f>IF(O9&lt;&gt;"", O9+7, "")</f>
        <v/>
      </c>
      <c r="T7" s="314"/>
      <c r="U7" s="315"/>
      <c r="V7" s="107" t="s">
        <v>16</v>
      </c>
      <c r="W7" s="106"/>
      <c r="X7" s="182" t="str">
        <f>IF(ISBLANK($C$7),"",$C$7)</f>
        <v/>
      </c>
      <c r="Y7" s="182"/>
      <c r="Z7" s="182"/>
      <c r="AA7" s="182"/>
      <c r="AB7" s="182"/>
      <c r="AC7" s="256"/>
      <c r="AD7" s="257"/>
      <c r="AE7" s="258"/>
      <c r="AF7" s="256"/>
      <c r="AG7" s="257"/>
      <c r="AH7" s="258"/>
      <c r="AI7" s="256"/>
      <c r="AJ7" s="257"/>
      <c r="AK7" s="258"/>
      <c r="AL7" s="105" t="s">
        <v>44</v>
      </c>
      <c r="AM7" s="106"/>
      <c r="AN7" s="313" t="str">
        <f>IF(AJ9&lt;&gt;"", AJ9+7, "")</f>
        <v/>
      </c>
      <c r="AO7" s="314"/>
      <c r="AP7" s="315"/>
      <c r="AQ7" s="112" t="s">
        <v>16</v>
      </c>
      <c r="AR7" s="106"/>
      <c r="AS7" s="182" t="str">
        <f>IF(ISBLANK($C$7),"",$C$7)</f>
        <v/>
      </c>
      <c r="AT7" s="182"/>
      <c r="AU7" s="182"/>
      <c r="AV7" s="182"/>
      <c r="AW7" s="182"/>
      <c r="AX7" s="256"/>
      <c r="AY7" s="257"/>
      <c r="AZ7" s="258"/>
      <c r="BA7" s="256"/>
      <c r="BB7" s="257"/>
      <c r="BC7" s="258"/>
      <c r="BD7" s="256"/>
      <c r="BE7" s="257"/>
      <c r="BF7" s="258"/>
      <c r="BG7" s="105" t="s">
        <v>44</v>
      </c>
      <c r="BH7" s="106"/>
      <c r="BI7" s="313" t="str">
        <f>IF(BE9&lt;&gt;"", BE9+7, "")</f>
        <v/>
      </c>
      <c r="BJ7" s="314"/>
      <c r="BK7" s="315"/>
      <c r="BL7" s="107" t="s">
        <v>16</v>
      </c>
      <c r="BM7" s="106"/>
      <c r="BN7" s="182" t="str">
        <f>IF(ISBLANK($C$7),"",$C$7)</f>
        <v/>
      </c>
      <c r="BO7" s="182"/>
      <c r="BP7" s="182"/>
      <c r="BQ7" s="182"/>
      <c r="BR7" s="182"/>
      <c r="BS7" s="144"/>
      <c r="BT7" s="145"/>
      <c r="BU7" s="146"/>
      <c r="BV7" s="144"/>
      <c r="BW7" s="145"/>
      <c r="BX7" s="146"/>
      <c r="BY7" s="144"/>
      <c r="BZ7" s="145"/>
      <c r="CA7" s="146"/>
      <c r="CB7" s="105" t="s">
        <v>44</v>
      </c>
      <c r="CC7" s="106"/>
      <c r="CD7" s="105" t="str">
        <f>IF(ISBLANK($S$7),"",$S$7)</f>
        <v/>
      </c>
      <c r="CE7" s="112"/>
      <c r="CF7" s="311"/>
      <c r="CG7" s="250" t="s">
        <v>45</v>
      </c>
      <c r="CH7" s="312"/>
      <c r="CI7" s="312"/>
      <c r="CJ7" s="312"/>
      <c r="CK7" s="312"/>
      <c r="CL7" s="312"/>
      <c r="CM7" s="312"/>
      <c r="CN7" s="312"/>
      <c r="CO7" s="312"/>
      <c r="CP7" s="312"/>
      <c r="CQ7" s="312"/>
      <c r="CR7" s="312"/>
      <c r="CS7" s="312"/>
      <c r="CT7" s="312"/>
      <c r="CU7" s="312"/>
      <c r="CV7" s="312"/>
      <c r="CW7" s="312"/>
      <c r="CX7" s="312"/>
      <c r="CY7" s="312"/>
      <c r="CZ7" s="312"/>
      <c r="DA7" s="312"/>
      <c r="DB7" s="312"/>
      <c r="DC7" s="312"/>
      <c r="DD7" s="312"/>
      <c r="DE7" s="312"/>
    </row>
    <row r="8" spans="1:142" ht="14.4" customHeight="1" x14ac:dyDescent="0.3">
      <c r="A8" s="111" t="s">
        <v>17</v>
      </c>
      <c r="B8" s="110"/>
      <c r="C8" s="309"/>
      <c r="D8" s="309"/>
      <c r="E8" s="309"/>
      <c r="F8" s="309"/>
      <c r="G8" s="310"/>
      <c r="H8" s="259"/>
      <c r="I8" s="257"/>
      <c r="J8" s="260"/>
      <c r="K8" s="259"/>
      <c r="L8" s="261"/>
      <c r="M8" s="260"/>
      <c r="N8" s="259"/>
      <c r="O8" s="261"/>
      <c r="P8" s="260"/>
      <c r="Q8" s="105" t="s">
        <v>46</v>
      </c>
      <c r="R8" s="106"/>
      <c r="S8" s="17">
        <v>1</v>
      </c>
      <c r="T8" s="17" t="s">
        <v>47</v>
      </c>
      <c r="U8" s="95">
        <v>1</v>
      </c>
      <c r="V8" s="107" t="s">
        <v>17</v>
      </c>
      <c r="W8" s="106"/>
      <c r="X8" s="182" t="str">
        <f>IF(ISBLANK($C$8),"",$C$8)</f>
        <v/>
      </c>
      <c r="Y8" s="182"/>
      <c r="Z8" s="182"/>
      <c r="AA8" s="182"/>
      <c r="AB8" s="182"/>
      <c r="AC8" s="259"/>
      <c r="AD8" s="257"/>
      <c r="AE8" s="260"/>
      <c r="AF8" s="259"/>
      <c r="AG8" s="261"/>
      <c r="AH8" s="260"/>
      <c r="AI8" s="259"/>
      <c r="AJ8" s="261"/>
      <c r="AK8" s="260"/>
      <c r="AL8" s="105" t="s">
        <v>46</v>
      </c>
      <c r="AM8" s="106"/>
      <c r="AN8" s="78">
        <v>1</v>
      </c>
      <c r="AO8" s="78" t="s">
        <v>47</v>
      </c>
      <c r="AP8" s="82">
        <f>COUNTA(V15,V63,V111,V159,V207,V255,V303,V351,V399,V447)</f>
        <v>0</v>
      </c>
      <c r="AQ8" s="112" t="s">
        <v>17</v>
      </c>
      <c r="AR8" s="106"/>
      <c r="AS8" s="182" t="str">
        <f>IF(ISBLANK($C$8),"",$C$8)</f>
        <v/>
      </c>
      <c r="AT8" s="182"/>
      <c r="AU8" s="182"/>
      <c r="AV8" s="182"/>
      <c r="AW8" s="182"/>
      <c r="AX8" s="259"/>
      <c r="AY8" s="257"/>
      <c r="AZ8" s="260"/>
      <c r="BA8" s="259"/>
      <c r="BB8" s="261"/>
      <c r="BC8" s="260"/>
      <c r="BD8" s="259"/>
      <c r="BE8" s="261"/>
      <c r="BF8" s="260"/>
      <c r="BG8" s="105" t="s">
        <v>46</v>
      </c>
      <c r="BH8" s="106"/>
      <c r="BI8" s="78">
        <v>1</v>
      </c>
      <c r="BJ8" s="78" t="s">
        <v>47</v>
      </c>
      <c r="BK8" s="82">
        <f>IF(ISBLANK(AP8),"",AP8)</f>
        <v>0</v>
      </c>
      <c r="BL8" s="107" t="s">
        <v>17</v>
      </c>
      <c r="BM8" s="106"/>
      <c r="BN8" s="182" t="str">
        <f>IF(ISBLANK($C$8),"",$C$8)</f>
        <v/>
      </c>
      <c r="BO8" s="182"/>
      <c r="BP8" s="182"/>
      <c r="BQ8" s="182"/>
      <c r="BR8" s="182"/>
      <c r="BS8" s="147"/>
      <c r="BT8" s="148"/>
      <c r="BU8" s="149"/>
      <c r="BV8" s="147"/>
      <c r="BW8" s="148"/>
      <c r="BX8" s="149"/>
      <c r="BY8" s="147"/>
      <c r="BZ8" s="148"/>
      <c r="CA8" s="149"/>
      <c r="CB8" s="18" t="s">
        <v>46</v>
      </c>
      <c r="CC8" s="11"/>
      <c r="CD8" s="14">
        <v>1</v>
      </c>
      <c r="CE8" s="14" t="s">
        <v>47</v>
      </c>
      <c r="CF8" s="19">
        <f>COUNT(BN13,BN61,BN109,BN157,BN205,BN253,BN301,BN349,BN397,BN445)</f>
        <v>0</v>
      </c>
      <c r="CG8" s="250"/>
      <c r="CH8" s="312"/>
      <c r="CI8" s="312"/>
      <c r="CJ8" s="312"/>
      <c r="CK8" s="312"/>
      <c r="CL8" s="312"/>
      <c r="CM8" s="312"/>
      <c r="CN8" s="312"/>
      <c r="CO8" s="312"/>
      <c r="CP8" s="312"/>
      <c r="CQ8" s="312"/>
      <c r="CR8" s="312"/>
      <c r="CS8" s="312"/>
      <c r="CT8" s="312"/>
      <c r="CU8" s="312"/>
      <c r="CV8" s="312"/>
      <c r="CW8" s="312"/>
      <c r="CX8" s="312"/>
      <c r="CY8" s="312"/>
      <c r="CZ8" s="312"/>
      <c r="DA8" s="312"/>
      <c r="DB8" s="312"/>
      <c r="DC8" s="312"/>
      <c r="DD8" s="312"/>
      <c r="DE8" s="312"/>
    </row>
    <row r="9" spans="1:142" ht="14.4" customHeight="1" x14ac:dyDescent="0.3">
      <c r="A9" s="111"/>
      <c r="B9" s="109"/>
      <c r="C9" s="109"/>
      <c r="D9" s="109"/>
      <c r="E9" s="109"/>
      <c r="F9" s="109"/>
      <c r="G9" s="110"/>
      <c r="H9" s="103" t="s">
        <v>48</v>
      </c>
      <c r="I9" s="244"/>
      <c r="J9" s="236"/>
      <c r="K9" s="103" t="s">
        <v>48</v>
      </c>
      <c r="L9" s="236"/>
      <c r="M9" s="236"/>
      <c r="N9" s="103" t="s">
        <v>48</v>
      </c>
      <c r="O9" s="237"/>
      <c r="P9" s="238"/>
      <c r="Q9" s="16"/>
      <c r="R9" s="16"/>
      <c r="S9" s="16"/>
      <c r="T9" s="16"/>
      <c r="U9" s="21"/>
      <c r="V9" s="107" t="s">
        <v>18</v>
      </c>
      <c r="W9" s="106"/>
      <c r="X9" s="105" t="e">
        <f>IF(ISBLANK($S$10),"",$S$10)</f>
        <v>#N/A</v>
      </c>
      <c r="Y9" s="112"/>
      <c r="Z9" s="106"/>
      <c r="AA9" s="80"/>
      <c r="AB9" s="74"/>
      <c r="AC9" s="103" t="s">
        <v>48</v>
      </c>
      <c r="AD9" s="244"/>
      <c r="AE9" s="236"/>
      <c r="AF9" s="103" t="s">
        <v>48</v>
      </c>
      <c r="AG9" s="236"/>
      <c r="AH9" s="236"/>
      <c r="AI9" s="103" t="s">
        <v>48</v>
      </c>
      <c r="AJ9" s="237"/>
      <c r="AK9" s="238"/>
      <c r="AL9" s="85"/>
      <c r="AM9" s="85"/>
      <c r="AN9" s="85"/>
      <c r="AO9" s="85"/>
      <c r="AP9" s="86"/>
      <c r="AQ9" s="112" t="s">
        <v>18</v>
      </c>
      <c r="AR9" s="106"/>
      <c r="AS9" s="105" t="e">
        <f>IF(ISBLANK($S$10),"",$S$10)</f>
        <v>#N/A</v>
      </c>
      <c r="AT9" s="112"/>
      <c r="AU9" s="106"/>
      <c r="AV9" s="97"/>
      <c r="AW9" s="74"/>
      <c r="AX9" s="104" t="s">
        <v>48</v>
      </c>
      <c r="AY9" s="244"/>
      <c r="AZ9" s="236"/>
      <c r="BA9" s="104" t="s">
        <v>48</v>
      </c>
      <c r="BB9" s="236"/>
      <c r="BC9" s="236"/>
      <c r="BD9" s="104" t="s">
        <v>48</v>
      </c>
      <c r="BE9" s="237"/>
      <c r="BF9" s="238"/>
      <c r="BG9" s="96"/>
      <c r="BH9" s="96"/>
      <c r="BI9" s="96"/>
      <c r="BJ9" s="97"/>
      <c r="BK9" s="98"/>
      <c r="BL9" s="107" t="s">
        <v>18</v>
      </c>
      <c r="BM9" s="106"/>
      <c r="BN9" s="108" t="e">
        <f>IF(ISBLANK($S$10),"",$S$10)</f>
        <v>#N/A</v>
      </c>
      <c r="BO9" s="109"/>
      <c r="BP9" s="110"/>
      <c r="BQ9" s="20"/>
      <c r="BR9" s="4"/>
      <c r="BS9" s="78" t="s">
        <v>48</v>
      </c>
      <c r="BT9" s="197" t="str">
        <f>IF(ISBLANK($I$9),"",$I$9)</f>
        <v/>
      </c>
      <c r="BU9" s="198"/>
      <c r="BV9" s="78" t="s">
        <v>48</v>
      </c>
      <c r="BW9" s="197" t="str">
        <f>IF(ISBLANK($L$9),"",$L$9)</f>
        <v/>
      </c>
      <c r="BX9" s="198"/>
      <c r="BY9" s="78" t="s">
        <v>48</v>
      </c>
      <c r="BZ9" s="197" t="str">
        <f>IF(ISBLANK($O$9),"",$O$9)</f>
        <v/>
      </c>
      <c r="CA9" s="198"/>
      <c r="CB9" s="24"/>
      <c r="CC9" s="24"/>
      <c r="CD9" s="24"/>
      <c r="CE9" s="20"/>
      <c r="CF9" s="23"/>
      <c r="CG9" s="340" t="s">
        <v>49</v>
      </c>
      <c r="CH9" s="341" t="s">
        <v>50</v>
      </c>
      <c r="CI9" s="25" t="s">
        <v>51</v>
      </c>
      <c r="CJ9" s="26" t="s">
        <v>52</v>
      </c>
      <c r="CK9" s="26" t="s">
        <v>53</v>
      </c>
      <c r="CL9" s="323" t="s">
        <v>54</v>
      </c>
      <c r="CM9" s="188"/>
      <c r="CN9" s="343" t="s">
        <v>55</v>
      </c>
      <c r="CO9" s="323" t="s">
        <v>56</v>
      </c>
      <c r="CP9" s="299"/>
      <c r="CQ9" s="299"/>
      <c r="CR9" s="299"/>
      <c r="CS9" s="188"/>
      <c r="CT9" s="323" t="s">
        <v>57</v>
      </c>
      <c r="CU9" s="299"/>
      <c r="CV9" s="299"/>
      <c r="CW9" s="299"/>
      <c r="CX9" s="188"/>
      <c r="CY9" s="27"/>
      <c r="CZ9" s="27"/>
      <c r="DA9" s="27"/>
      <c r="DB9" s="27"/>
      <c r="DC9" s="27"/>
      <c r="DD9" s="27"/>
      <c r="DE9" s="27"/>
    </row>
    <row r="10" spans="1:142" ht="14.4" customHeight="1" x14ac:dyDescent="0.3">
      <c r="A10" s="326"/>
      <c r="B10" s="327"/>
      <c r="C10" s="327"/>
      <c r="D10" s="327"/>
      <c r="E10" s="327"/>
      <c r="F10" s="327"/>
      <c r="G10" s="328"/>
      <c r="H10" s="327"/>
      <c r="I10" s="328"/>
      <c r="J10" s="327"/>
      <c r="K10" s="327"/>
      <c r="L10" s="327"/>
      <c r="M10" s="328"/>
      <c r="N10" s="327"/>
      <c r="O10" s="327"/>
      <c r="P10" s="327"/>
      <c r="Q10" s="280"/>
      <c r="R10" s="77" t="s">
        <v>18</v>
      </c>
      <c r="S10" s="332" t="e">
        <f>LOOKUP(S11,R14:R47,S14:S47)</f>
        <v>#N/A</v>
      </c>
      <c r="T10" s="333"/>
      <c r="U10" s="334"/>
      <c r="V10" s="107" t="s">
        <v>19</v>
      </c>
      <c r="W10" s="106"/>
      <c r="X10" s="78" t="str">
        <f>IF(ISBLANK($S$11),"",$S$11)</f>
        <v/>
      </c>
      <c r="Y10" s="78" t="s">
        <v>47</v>
      </c>
      <c r="Z10" s="78">
        <f>IF(ISBLANK($U$11),"",$U$11)</f>
        <v>0</v>
      </c>
      <c r="AA10" s="85"/>
      <c r="AB10" s="269" t="s">
        <v>58</v>
      </c>
      <c r="AC10" s="87" t="s">
        <v>59</v>
      </c>
      <c r="AD10" s="270"/>
      <c r="AE10" s="271"/>
      <c r="AF10" s="84" t="s">
        <v>60</v>
      </c>
      <c r="AG10" s="88"/>
      <c r="AH10" s="85"/>
      <c r="AI10" s="335" t="s">
        <v>61</v>
      </c>
      <c r="AJ10" s="78" t="s">
        <v>62</v>
      </c>
      <c r="AK10" s="81"/>
      <c r="AL10" s="85"/>
      <c r="AM10" s="85"/>
      <c r="AN10" s="85"/>
      <c r="AO10" s="85"/>
      <c r="AP10" s="86"/>
      <c r="AQ10" s="112" t="s">
        <v>19</v>
      </c>
      <c r="AR10" s="106"/>
      <c r="AS10" s="78" t="str">
        <f>IF(ISBLANK($S$11),"",$S$11)</f>
        <v/>
      </c>
      <c r="AT10" s="78" t="s">
        <v>47</v>
      </c>
      <c r="AU10" s="78">
        <f>IF(ISBLANK($U$11),"",$U$11)</f>
        <v>0</v>
      </c>
      <c r="AV10" s="96"/>
      <c r="AW10" s="97"/>
      <c r="AX10" s="99"/>
      <c r="AY10" s="99"/>
      <c r="AZ10" s="96"/>
      <c r="BA10" s="96"/>
      <c r="BB10" s="96"/>
      <c r="BC10" s="99"/>
      <c r="BD10" s="336" t="s">
        <v>61</v>
      </c>
      <c r="BE10" s="78" t="s">
        <v>62</v>
      </c>
      <c r="BF10" s="78"/>
      <c r="BG10" s="337" t="s">
        <v>63</v>
      </c>
      <c r="BH10" s="337"/>
      <c r="BI10" s="78"/>
      <c r="BJ10" s="97"/>
      <c r="BK10" s="98"/>
      <c r="BL10" s="111" t="s">
        <v>19</v>
      </c>
      <c r="BM10" s="110"/>
      <c r="BN10" s="14" t="str">
        <f>IF(ISBLANK($S$11),"",$S$11)</f>
        <v/>
      </c>
      <c r="BO10" s="14" t="s">
        <v>47</v>
      </c>
      <c r="BP10" s="14">
        <f>IF(ISBLANK($U$11),"",$U$11)</f>
        <v>0</v>
      </c>
      <c r="BR10" s="20"/>
      <c r="BS10" s="30"/>
      <c r="BT10" s="30"/>
      <c r="BU10" s="30"/>
      <c r="BV10" s="30"/>
      <c r="BW10" s="30"/>
      <c r="BX10" s="30"/>
      <c r="BY10" s="30"/>
      <c r="BZ10" s="30"/>
      <c r="CA10" s="30"/>
      <c r="CB10" s="30"/>
      <c r="CC10" s="30"/>
      <c r="CD10" s="30"/>
      <c r="CE10" s="20"/>
      <c r="CF10" s="23"/>
      <c r="CG10" s="232"/>
      <c r="CH10" s="342"/>
      <c r="CI10" s="31" t="s">
        <v>64</v>
      </c>
      <c r="CJ10" s="14" t="s">
        <v>65</v>
      </c>
      <c r="CK10" s="14" t="s">
        <v>66</v>
      </c>
      <c r="CL10" s="14" t="s">
        <v>67</v>
      </c>
      <c r="CM10" s="14" t="s">
        <v>68</v>
      </c>
      <c r="CN10" s="265"/>
      <c r="CO10" s="14">
        <v>1</v>
      </c>
      <c r="CP10" s="14">
        <v>2</v>
      </c>
      <c r="CQ10" s="14">
        <v>3</v>
      </c>
      <c r="CR10" s="14">
        <v>4</v>
      </c>
      <c r="CS10" s="14">
        <v>5</v>
      </c>
      <c r="CT10" s="14">
        <v>1</v>
      </c>
      <c r="CU10" s="14">
        <v>2</v>
      </c>
      <c r="CV10" s="14">
        <v>3</v>
      </c>
      <c r="CW10" s="14">
        <v>4</v>
      </c>
      <c r="CX10" s="14">
        <v>5</v>
      </c>
      <c r="CY10" s="14"/>
      <c r="CZ10" s="14"/>
      <c r="DA10" s="14"/>
      <c r="DB10" s="14"/>
      <c r="DC10" s="14"/>
      <c r="DD10" s="14"/>
      <c r="DE10" s="14"/>
      <c r="DF10" s="239" t="s">
        <v>69</v>
      </c>
      <c r="DG10" s="239"/>
      <c r="DH10" s="239"/>
      <c r="DI10" s="239" t="s">
        <v>70</v>
      </c>
      <c r="DJ10" s="239"/>
      <c r="DK10" s="239"/>
      <c r="DL10" s="239" t="s">
        <v>71</v>
      </c>
      <c r="DM10" s="239"/>
      <c r="DN10" s="239"/>
      <c r="DO10" s="239" t="s">
        <v>72</v>
      </c>
      <c r="DP10" s="239"/>
      <c r="DQ10" s="240"/>
      <c r="DR10" s="325" t="s">
        <v>73</v>
      </c>
      <c r="DS10" s="318"/>
      <c r="DT10" s="318"/>
      <c r="DU10" s="317" t="s">
        <v>74</v>
      </c>
      <c r="DV10" s="318"/>
      <c r="DW10" s="318"/>
      <c r="DX10" s="317" t="s">
        <v>75</v>
      </c>
      <c r="DY10" s="318"/>
      <c r="DZ10" s="319"/>
      <c r="EA10" s="241" t="s">
        <v>76</v>
      </c>
      <c r="EB10" s="242"/>
      <c r="EC10" s="242"/>
      <c r="ED10" s="241" t="s">
        <v>77</v>
      </c>
      <c r="EE10" s="242"/>
      <c r="EF10" s="242"/>
      <c r="EG10" s="241" t="s">
        <v>78</v>
      </c>
      <c r="EH10" s="242"/>
      <c r="EI10" s="242"/>
      <c r="EJ10" s="241" t="s">
        <v>79</v>
      </c>
      <c r="EK10" s="242"/>
      <c r="EL10" s="243"/>
    </row>
    <row r="11" spans="1:142" ht="14.4" customHeight="1" x14ac:dyDescent="0.3">
      <c r="A11" s="329"/>
      <c r="B11" s="328"/>
      <c r="C11" s="328"/>
      <c r="D11" s="328"/>
      <c r="E11" s="328"/>
      <c r="F11" s="328"/>
      <c r="G11" s="328"/>
      <c r="H11" s="328"/>
      <c r="I11" s="328"/>
      <c r="J11" s="328"/>
      <c r="K11" s="328"/>
      <c r="L11" s="328"/>
      <c r="M11" s="328"/>
      <c r="N11" s="328"/>
      <c r="O11" s="328"/>
      <c r="P11" s="328"/>
      <c r="Q11" s="282"/>
      <c r="R11" s="75" t="s">
        <v>136</v>
      </c>
      <c r="S11" s="78"/>
      <c r="T11" s="14" t="s">
        <v>47</v>
      </c>
      <c r="U11" s="32">
        <f>COUNTIF(S14:S47,"*")</f>
        <v>0</v>
      </c>
      <c r="V11" s="89"/>
      <c r="W11" s="85"/>
      <c r="X11" s="85"/>
      <c r="Y11" s="85"/>
      <c r="Z11" s="85"/>
      <c r="AA11" s="85"/>
      <c r="AB11" s="269"/>
      <c r="AC11" s="87" t="s">
        <v>80</v>
      </c>
      <c r="AD11" s="245"/>
      <c r="AE11" s="246"/>
      <c r="AF11" s="90" t="s">
        <v>81</v>
      </c>
      <c r="AG11" s="88"/>
      <c r="AH11" s="85"/>
      <c r="AI11" s="335"/>
      <c r="AJ11" s="78" t="s">
        <v>82</v>
      </c>
      <c r="AK11" s="88"/>
      <c r="AL11" s="267" t="s">
        <v>83</v>
      </c>
      <c r="AM11" s="268"/>
      <c r="AN11" s="81"/>
      <c r="AO11" s="85"/>
      <c r="AP11" s="86"/>
      <c r="AQ11" s="97"/>
      <c r="AR11" s="97"/>
      <c r="AS11" s="97"/>
      <c r="AT11" s="97"/>
      <c r="AU11" s="97"/>
      <c r="AV11" s="97"/>
      <c r="AW11" s="97"/>
      <c r="AX11" s="97"/>
      <c r="AY11" s="97"/>
      <c r="AZ11" s="96"/>
      <c r="BA11" s="96"/>
      <c r="BB11" s="96"/>
      <c r="BC11" s="97"/>
      <c r="BD11" s="335"/>
      <c r="BE11" s="78" t="s">
        <v>82</v>
      </c>
      <c r="BF11" s="38"/>
      <c r="BG11" s="97"/>
      <c r="BH11" s="97"/>
      <c r="BI11" s="97"/>
      <c r="BJ11" s="97"/>
      <c r="BK11" s="98"/>
      <c r="BL11" s="33"/>
      <c r="CF11" s="22"/>
      <c r="CG11" s="2">
        <f t="shared" ref="CG11:CH22" si="0">V15</f>
        <v>0</v>
      </c>
      <c r="CH11" s="2">
        <f t="shared" si="0"/>
        <v>0</v>
      </c>
      <c r="CI11" s="2">
        <f t="shared" ref="CI11:CN22" si="1">Y15</f>
        <v>0</v>
      </c>
      <c r="CJ11" s="2">
        <f t="shared" si="1"/>
        <v>0</v>
      </c>
      <c r="CK11" s="2" t="str">
        <f t="shared" si="1"/>
        <v>-</v>
      </c>
      <c r="CL11" s="2" t="str">
        <f t="shared" si="1"/>
        <v/>
      </c>
      <c r="CM11" s="2" t="str">
        <f t="shared" si="1"/>
        <v/>
      </c>
      <c r="CN11" s="2">
        <f t="shared" si="1"/>
        <v>0</v>
      </c>
      <c r="CO11" s="2">
        <f t="shared" ref="CO11:CX22" si="2">AF15</f>
        <v>0</v>
      </c>
      <c r="CP11" s="2">
        <f t="shared" si="2"/>
        <v>0</v>
      </c>
      <c r="CQ11" s="2">
        <f t="shared" si="2"/>
        <v>0</v>
      </c>
      <c r="CR11" s="2">
        <f t="shared" si="2"/>
        <v>0</v>
      </c>
      <c r="CS11" s="2">
        <f t="shared" si="2"/>
        <v>0</v>
      </c>
      <c r="CT11" s="2">
        <f t="shared" si="2"/>
        <v>0</v>
      </c>
      <c r="CU11" s="2">
        <f t="shared" si="2"/>
        <v>0</v>
      </c>
      <c r="CV11" s="2">
        <f t="shared" si="2"/>
        <v>0</v>
      </c>
      <c r="CW11" s="2">
        <f t="shared" si="2"/>
        <v>0</v>
      </c>
      <c r="CX11" s="2">
        <f t="shared" si="2"/>
        <v>0</v>
      </c>
      <c r="DF11" s="2">
        <f>AZ14</f>
        <v>0</v>
      </c>
      <c r="DG11" s="2">
        <f t="shared" ref="DG11:DQ22" si="3">BA14</f>
        <v>0</v>
      </c>
      <c r="DH11" s="2">
        <f t="shared" si="3"/>
        <v>0</v>
      </c>
      <c r="DI11" s="2">
        <f t="shared" si="3"/>
        <v>0</v>
      </c>
      <c r="DJ11" s="2">
        <f t="shared" si="3"/>
        <v>0</v>
      </c>
      <c r="DK11" s="2">
        <f t="shared" si="3"/>
        <v>0</v>
      </c>
      <c r="DL11" s="2">
        <f t="shared" si="3"/>
        <v>0</v>
      </c>
      <c r="DM11" s="2">
        <f t="shared" si="3"/>
        <v>0</v>
      </c>
      <c r="DN11" s="2">
        <f t="shared" si="3"/>
        <v>0</v>
      </c>
      <c r="DO11" s="2">
        <f t="shared" si="3"/>
        <v>0</v>
      </c>
      <c r="DP11" s="2">
        <f t="shared" si="3"/>
        <v>0</v>
      </c>
      <c r="DQ11" s="2">
        <f t="shared" si="3"/>
        <v>0</v>
      </c>
      <c r="DR11" s="2">
        <f>AQ27</f>
        <v>0</v>
      </c>
      <c r="DS11" s="2">
        <f t="shared" ref="DS11:EL11" si="4">AR27</f>
        <v>0</v>
      </c>
      <c r="DT11" s="2">
        <f t="shared" si="4"/>
        <v>0</v>
      </c>
      <c r="DU11" s="2">
        <f t="shared" si="4"/>
        <v>0</v>
      </c>
      <c r="DV11" s="2">
        <f t="shared" si="4"/>
        <v>0</v>
      </c>
      <c r="DW11" s="2">
        <f t="shared" si="4"/>
        <v>0</v>
      </c>
      <c r="DX11" s="2">
        <f t="shared" si="4"/>
        <v>0</v>
      </c>
      <c r="DY11" s="2">
        <f t="shared" si="4"/>
        <v>0</v>
      </c>
      <c r="DZ11" s="2">
        <f t="shared" si="4"/>
        <v>0</v>
      </c>
      <c r="EA11" s="2">
        <f t="shared" si="4"/>
        <v>0</v>
      </c>
      <c r="EB11" s="2">
        <f t="shared" si="4"/>
        <v>0</v>
      </c>
      <c r="EC11" s="2">
        <f t="shared" si="4"/>
        <v>0</v>
      </c>
      <c r="ED11" s="2">
        <f t="shared" si="4"/>
        <v>0</v>
      </c>
      <c r="EE11" s="2">
        <f t="shared" si="4"/>
        <v>0</v>
      </c>
      <c r="EF11" s="2">
        <f t="shared" si="4"/>
        <v>0</v>
      </c>
      <c r="EG11" s="2">
        <f t="shared" si="4"/>
        <v>0</v>
      </c>
      <c r="EH11" s="2">
        <f t="shared" si="4"/>
        <v>0</v>
      </c>
      <c r="EI11" s="2">
        <f t="shared" si="4"/>
        <v>0</v>
      </c>
      <c r="EJ11" s="2">
        <f t="shared" si="4"/>
        <v>0</v>
      </c>
      <c r="EK11" s="2">
        <f t="shared" si="4"/>
        <v>0</v>
      </c>
      <c r="EL11" s="2">
        <f t="shared" si="4"/>
        <v>0</v>
      </c>
    </row>
    <row r="12" spans="1:142" ht="14.4" customHeight="1" x14ac:dyDescent="0.3">
      <c r="A12" s="329"/>
      <c r="B12" s="328"/>
      <c r="C12" s="328"/>
      <c r="D12" s="328"/>
      <c r="E12" s="328"/>
      <c r="F12" s="328"/>
      <c r="G12" s="328"/>
      <c r="H12" s="328"/>
      <c r="I12" s="328"/>
      <c r="J12" s="328"/>
      <c r="K12" s="328"/>
      <c r="L12" s="328"/>
      <c r="M12" s="328"/>
      <c r="N12" s="328"/>
      <c r="O12" s="328"/>
      <c r="P12" s="328"/>
      <c r="Q12" s="282"/>
      <c r="R12" s="105" t="s">
        <v>84</v>
      </c>
      <c r="S12" s="112"/>
      <c r="T12" s="112"/>
      <c r="U12" s="311"/>
      <c r="V12" s="33"/>
      <c r="AP12" s="22"/>
      <c r="AQ12" s="338" t="s">
        <v>49</v>
      </c>
      <c r="AR12" s="342" t="s">
        <v>85</v>
      </c>
      <c r="AS12" s="342"/>
      <c r="AT12" s="14" t="s">
        <v>51</v>
      </c>
      <c r="AU12" s="14" t="s">
        <v>86</v>
      </c>
      <c r="AV12" s="10"/>
      <c r="AW12" s="14" t="s">
        <v>87</v>
      </c>
      <c r="AX12" s="272" t="s">
        <v>54</v>
      </c>
      <c r="AY12" s="272"/>
      <c r="AZ12" s="20"/>
      <c r="BA12" s="20"/>
      <c r="BB12" s="20"/>
      <c r="BC12" s="20"/>
      <c r="BD12" s="20"/>
      <c r="BE12" s="20"/>
      <c r="BF12" s="20"/>
      <c r="BG12" s="20"/>
      <c r="BH12" s="20"/>
      <c r="BI12" s="20"/>
      <c r="BJ12" s="20"/>
      <c r="BK12" s="23"/>
      <c r="BL12" s="224" t="s">
        <v>88</v>
      </c>
      <c r="BM12" s="225"/>
      <c r="BN12" s="226"/>
      <c r="BO12" s="132" t="s">
        <v>89</v>
      </c>
      <c r="BP12" s="132"/>
      <c r="BQ12" s="133"/>
      <c r="BR12" s="132" t="s">
        <v>90</v>
      </c>
      <c r="BS12" s="132"/>
      <c r="BT12" s="132"/>
      <c r="BU12" s="132"/>
      <c r="BV12" s="132"/>
      <c r="BW12" s="132"/>
      <c r="BX12" s="132"/>
      <c r="BY12" s="131" t="s">
        <v>91</v>
      </c>
      <c r="BZ12" s="132"/>
      <c r="CA12" s="132"/>
      <c r="CB12" s="133"/>
      <c r="CC12" s="131" t="s">
        <v>92</v>
      </c>
      <c r="CD12" s="132"/>
      <c r="CE12" s="132"/>
      <c r="CF12" s="156"/>
      <c r="CG12" s="2">
        <f t="shared" si="0"/>
        <v>0</v>
      </c>
      <c r="CH12" s="2">
        <f t="shared" si="0"/>
        <v>0</v>
      </c>
      <c r="CI12" s="2">
        <f t="shared" si="1"/>
        <v>0</v>
      </c>
      <c r="CJ12" s="2">
        <f t="shared" si="1"/>
        <v>0</v>
      </c>
      <c r="CK12" s="2" t="str">
        <f t="shared" si="1"/>
        <v>-</v>
      </c>
      <c r="CL12" s="2" t="str">
        <f t="shared" si="1"/>
        <v/>
      </c>
      <c r="CM12" s="2" t="str">
        <f t="shared" si="1"/>
        <v/>
      </c>
      <c r="CN12" s="2">
        <f t="shared" si="1"/>
        <v>0</v>
      </c>
      <c r="CO12" s="2">
        <f t="shared" si="2"/>
        <v>0</v>
      </c>
      <c r="CP12" s="2">
        <f t="shared" si="2"/>
        <v>0</v>
      </c>
      <c r="CQ12" s="2">
        <f t="shared" si="2"/>
        <v>0</v>
      </c>
      <c r="CR12" s="2">
        <f t="shared" si="2"/>
        <v>0</v>
      </c>
      <c r="CS12" s="2">
        <f t="shared" si="2"/>
        <v>0</v>
      </c>
      <c r="CT12" s="2">
        <f t="shared" si="2"/>
        <v>0</v>
      </c>
      <c r="CU12" s="2">
        <f t="shared" si="2"/>
        <v>0</v>
      </c>
      <c r="CV12" s="2">
        <f t="shared" si="2"/>
        <v>0</v>
      </c>
      <c r="CW12" s="2">
        <f t="shared" si="2"/>
        <v>0</v>
      </c>
      <c r="CX12" s="2">
        <f t="shared" si="2"/>
        <v>0</v>
      </c>
      <c r="DF12" s="2">
        <f t="shared" ref="DF12:DF22" si="5">AZ15</f>
        <v>0</v>
      </c>
      <c r="DG12" s="2">
        <f t="shared" si="3"/>
        <v>0</v>
      </c>
      <c r="DH12" s="2">
        <f t="shared" si="3"/>
        <v>0</v>
      </c>
      <c r="DI12" s="2">
        <f t="shared" si="3"/>
        <v>0</v>
      </c>
      <c r="DJ12" s="2">
        <f t="shared" si="3"/>
        <v>0</v>
      </c>
      <c r="DK12" s="2">
        <f t="shared" si="3"/>
        <v>0</v>
      </c>
      <c r="DL12" s="2">
        <f t="shared" si="3"/>
        <v>0</v>
      </c>
      <c r="DM12" s="2">
        <f t="shared" si="3"/>
        <v>0</v>
      </c>
      <c r="DN12" s="2">
        <f t="shared" si="3"/>
        <v>0</v>
      </c>
      <c r="DO12" s="2">
        <f t="shared" si="3"/>
        <v>0</v>
      </c>
      <c r="DP12" s="2">
        <f t="shared" si="3"/>
        <v>0</v>
      </c>
      <c r="DQ12" s="2">
        <f t="shared" si="3"/>
        <v>0</v>
      </c>
      <c r="DR12" s="2" t="e">
        <f>#REF!</f>
        <v>#REF!</v>
      </c>
      <c r="DS12" s="2" t="e">
        <f>#REF!</f>
        <v>#REF!</v>
      </c>
      <c r="DT12" s="2" t="e">
        <f>#REF!</f>
        <v>#REF!</v>
      </c>
      <c r="DU12" s="2" t="e">
        <f>#REF!</f>
        <v>#REF!</v>
      </c>
      <c r="DV12" s="2" t="e">
        <f>#REF!</f>
        <v>#REF!</v>
      </c>
      <c r="DW12" s="2" t="e">
        <f>#REF!</f>
        <v>#REF!</v>
      </c>
      <c r="DX12" s="2" t="e">
        <f>#REF!</f>
        <v>#REF!</v>
      </c>
      <c r="DY12" s="2" t="e">
        <f>#REF!</f>
        <v>#REF!</v>
      </c>
      <c r="DZ12" s="2" t="e">
        <f>#REF!</f>
        <v>#REF!</v>
      </c>
      <c r="EA12" s="2" t="e">
        <f>#REF!</f>
        <v>#REF!</v>
      </c>
      <c r="EB12" s="2" t="e">
        <f>#REF!</f>
        <v>#REF!</v>
      </c>
      <c r="EC12" s="2" t="e">
        <f>#REF!</f>
        <v>#REF!</v>
      </c>
      <c r="ED12" s="2" t="e">
        <f>#REF!</f>
        <v>#REF!</v>
      </c>
      <c r="EE12" s="2" t="e">
        <f>#REF!</f>
        <v>#REF!</v>
      </c>
      <c r="EF12" s="2" t="e">
        <f>#REF!</f>
        <v>#REF!</v>
      </c>
      <c r="EG12" s="2" t="e">
        <f>#REF!</f>
        <v>#REF!</v>
      </c>
      <c r="EH12" s="2" t="e">
        <f>#REF!</f>
        <v>#REF!</v>
      </c>
      <c r="EI12" s="2" t="e">
        <f>#REF!</f>
        <v>#REF!</v>
      </c>
      <c r="EJ12" s="2" t="e">
        <f>#REF!</f>
        <v>#REF!</v>
      </c>
      <c r="EK12" s="2" t="e">
        <f>#REF!</f>
        <v>#REF!</v>
      </c>
      <c r="EL12" s="2" t="e">
        <f>#REF!</f>
        <v>#REF!</v>
      </c>
    </row>
    <row r="13" spans="1:142" ht="14.4" customHeight="1" x14ac:dyDescent="0.3">
      <c r="A13" s="329"/>
      <c r="B13" s="328"/>
      <c r="C13" s="328"/>
      <c r="D13" s="328"/>
      <c r="E13" s="328"/>
      <c r="F13" s="328"/>
      <c r="G13" s="328"/>
      <c r="H13" s="328"/>
      <c r="I13" s="328"/>
      <c r="J13" s="328"/>
      <c r="K13" s="328"/>
      <c r="L13" s="328"/>
      <c r="M13" s="328"/>
      <c r="N13" s="328"/>
      <c r="O13" s="328"/>
      <c r="P13" s="328"/>
      <c r="Q13" s="282"/>
      <c r="R13" s="79" t="s">
        <v>136</v>
      </c>
      <c r="S13" s="360" t="s">
        <v>93</v>
      </c>
      <c r="T13" s="361"/>
      <c r="U13" s="362"/>
      <c r="V13" s="344" t="s">
        <v>49</v>
      </c>
      <c r="W13" s="335" t="s">
        <v>94</v>
      </c>
      <c r="X13" s="335"/>
      <c r="Y13" s="76" t="s">
        <v>51</v>
      </c>
      <c r="Z13" s="78" t="s">
        <v>52</v>
      </c>
      <c r="AA13" s="78" t="s">
        <v>53</v>
      </c>
      <c r="AB13" s="105" t="s">
        <v>54</v>
      </c>
      <c r="AC13" s="106"/>
      <c r="AD13" s="363" t="s">
        <v>145</v>
      </c>
      <c r="AE13" s="364"/>
      <c r="AF13" s="105" t="s">
        <v>56</v>
      </c>
      <c r="AG13" s="112"/>
      <c r="AH13" s="112"/>
      <c r="AI13" s="112"/>
      <c r="AJ13" s="106"/>
      <c r="AK13" s="105" t="s">
        <v>57</v>
      </c>
      <c r="AL13" s="112"/>
      <c r="AM13" s="112"/>
      <c r="AN13" s="112"/>
      <c r="AO13" s="106"/>
      <c r="AP13" s="22"/>
      <c r="AQ13" s="339"/>
      <c r="AR13" s="342"/>
      <c r="AS13" s="342"/>
      <c r="AT13" s="14" t="s">
        <v>64</v>
      </c>
      <c r="AU13" s="14" t="s">
        <v>65</v>
      </c>
      <c r="AV13" s="14" t="s">
        <v>95</v>
      </c>
      <c r="AW13" s="14" t="s">
        <v>66</v>
      </c>
      <c r="AX13" s="14" t="s">
        <v>67</v>
      </c>
      <c r="AY13" s="14" t="s">
        <v>68</v>
      </c>
      <c r="AZ13" s="239" t="s">
        <v>69</v>
      </c>
      <c r="BA13" s="239"/>
      <c r="BB13" s="239"/>
      <c r="BC13" s="239" t="s">
        <v>70</v>
      </c>
      <c r="BD13" s="239"/>
      <c r="BE13" s="239"/>
      <c r="BF13" s="239" t="s">
        <v>71</v>
      </c>
      <c r="BG13" s="239"/>
      <c r="BH13" s="239"/>
      <c r="BI13" s="239" t="s">
        <v>72</v>
      </c>
      <c r="BJ13" s="239"/>
      <c r="BK13" s="240"/>
      <c r="BL13" s="158" t="s">
        <v>96</v>
      </c>
      <c r="BM13" s="159"/>
      <c r="BN13" s="35"/>
      <c r="BO13" s="135"/>
      <c r="BP13" s="135"/>
      <c r="BQ13" s="136"/>
      <c r="BR13" s="227"/>
      <c r="BS13" s="227"/>
      <c r="BT13" s="227"/>
      <c r="BU13" s="227"/>
      <c r="BV13" s="227"/>
      <c r="BW13" s="227"/>
      <c r="BX13" s="227"/>
      <c r="BY13" s="228"/>
      <c r="BZ13" s="227"/>
      <c r="CA13" s="227"/>
      <c r="CB13" s="229"/>
      <c r="CC13" s="228"/>
      <c r="CD13" s="227"/>
      <c r="CE13" s="227"/>
      <c r="CF13" s="230"/>
      <c r="CG13" s="2">
        <f t="shared" si="0"/>
        <v>0</v>
      </c>
      <c r="CH13" s="2">
        <f t="shared" si="0"/>
        <v>0</v>
      </c>
      <c r="CI13" s="2">
        <f t="shared" si="1"/>
        <v>0</v>
      </c>
      <c r="CJ13" s="2">
        <f t="shared" si="1"/>
        <v>0</v>
      </c>
      <c r="CK13" s="2" t="str">
        <f t="shared" si="1"/>
        <v>-</v>
      </c>
      <c r="CL13" s="2" t="str">
        <f t="shared" si="1"/>
        <v/>
      </c>
      <c r="CM13" s="2" t="str">
        <f t="shared" si="1"/>
        <v/>
      </c>
      <c r="CN13" s="2">
        <f t="shared" si="1"/>
        <v>0</v>
      </c>
      <c r="CO13" s="2">
        <f t="shared" si="2"/>
        <v>0</v>
      </c>
      <c r="CP13" s="2">
        <f t="shared" si="2"/>
        <v>0</v>
      </c>
      <c r="CQ13" s="2">
        <f t="shared" si="2"/>
        <v>0</v>
      </c>
      <c r="CR13" s="2">
        <f t="shared" si="2"/>
        <v>0</v>
      </c>
      <c r="CS13" s="2">
        <f t="shared" si="2"/>
        <v>0</v>
      </c>
      <c r="CT13" s="2">
        <f t="shared" si="2"/>
        <v>0</v>
      </c>
      <c r="CU13" s="2">
        <f t="shared" si="2"/>
        <v>0</v>
      </c>
      <c r="CV13" s="2">
        <f t="shared" si="2"/>
        <v>0</v>
      </c>
      <c r="CW13" s="2">
        <f t="shared" si="2"/>
        <v>0</v>
      </c>
      <c r="CX13" s="2">
        <f t="shared" si="2"/>
        <v>0</v>
      </c>
      <c r="DF13" s="2">
        <f t="shared" si="5"/>
        <v>0</v>
      </c>
      <c r="DG13" s="2">
        <f t="shared" si="3"/>
        <v>0</v>
      </c>
      <c r="DH13" s="2">
        <f t="shared" si="3"/>
        <v>0</v>
      </c>
      <c r="DI13" s="2">
        <f t="shared" si="3"/>
        <v>0</v>
      </c>
      <c r="DJ13" s="2">
        <f t="shared" si="3"/>
        <v>0</v>
      </c>
      <c r="DK13" s="2">
        <f t="shared" si="3"/>
        <v>0</v>
      </c>
      <c r="DL13" s="2">
        <f t="shared" si="3"/>
        <v>0</v>
      </c>
      <c r="DM13" s="2">
        <f t="shared" si="3"/>
        <v>0</v>
      </c>
      <c r="DN13" s="2">
        <f t="shared" si="3"/>
        <v>0</v>
      </c>
      <c r="DO13" s="2">
        <f t="shared" si="3"/>
        <v>0</v>
      </c>
      <c r="DP13" s="2">
        <f t="shared" si="3"/>
        <v>0</v>
      </c>
      <c r="DQ13" s="2">
        <f t="shared" si="3"/>
        <v>0</v>
      </c>
      <c r="DR13" s="2">
        <f t="shared" ref="DR13:EL13" si="6">AQ28</f>
        <v>0</v>
      </c>
      <c r="DS13" s="2">
        <f t="shared" si="6"/>
        <v>0</v>
      </c>
      <c r="DT13" s="2">
        <f t="shared" si="6"/>
        <v>0</v>
      </c>
      <c r="DU13" s="2">
        <f t="shared" si="6"/>
        <v>0</v>
      </c>
      <c r="DV13" s="2">
        <f t="shared" si="6"/>
        <v>0</v>
      </c>
      <c r="DW13" s="2">
        <f t="shared" si="6"/>
        <v>0</v>
      </c>
      <c r="DX13" s="2">
        <f t="shared" si="6"/>
        <v>0</v>
      </c>
      <c r="DY13" s="2">
        <f t="shared" si="6"/>
        <v>0</v>
      </c>
      <c r="DZ13" s="2">
        <f t="shared" si="6"/>
        <v>0</v>
      </c>
      <c r="EA13" s="2">
        <f t="shared" si="6"/>
        <v>0</v>
      </c>
      <c r="EB13" s="2">
        <f t="shared" si="6"/>
        <v>0</v>
      </c>
      <c r="EC13" s="2">
        <f t="shared" si="6"/>
        <v>0</v>
      </c>
      <c r="ED13" s="2">
        <f t="shared" si="6"/>
        <v>0</v>
      </c>
      <c r="EE13" s="2">
        <f t="shared" si="6"/>
        <v>0</v>
      </c>
      <c r="EF13" s="2">
        <f t="shared" si="6"/>
        <v>0</v>
      </c>
      <c r="EG13" s="2">
        <f t="shared" si="6"/>
        <v>0</v>
      </c>
      <c r="EH13" s="2">
        <f t="shared" si="6"/>
        <v>0</v>
      </c>
      <c r="EI13" s="2">
        <f t="shared" si="6"/>
        <v>0</v>
      </c>
      <c r="EJ13" s="2">
        <f t="shared" si="6"/>
        <v>0</v>
      </c>
      <c r="EK13" s="2">
        <f t="shared" si="6"/>
        <v>0</v>
      </c>
      <c r="EL13" s="2">
        <f t="shared" si="6"/>
        <v>0</v>
      </c>
    </row>
    <row r="14" spans="1:142" ht="14.4" customHeight="1" x14ac:dyDescent="0.3">
      <c r="A14" s="329"/>
      <c r="B14" s="328"/>
      <c r="C14" s="328"/>
      <c r="D14" s="328"/>
      <c r="E14" s="328"/>
      <c r="F14" s="328"/>
      <c r="G14" s="328"/>
      <c r="H14" s="328"/>
      <c r="I14" s="328"/>
      <c r="J14" s="328"/>
      <c r="K14" s="328"/>
      <c r="L14" s="328"/>
      <c r="M14" s="328"/>
      <c r="N14" s="328"/>
      <c r="O14" s="328"/>
      <c r="P14" s="328"/>
      <c r="Q14" s="282"/>
      <c r="R14" s="73"/>
      <c r="S14" s="332"/>
      <c r="T14" s="333"/>
      <c r="U14" s="334"/>
      <c r="V14" s="345"/>
      <c r="W14" s="335"/>
      <c r="X14" s="335"/>
      <c r="Y14" s="76" t="s">
        <v>64</v>
      </c>
      <c r="Z14" s="78" t="s">
        <v>65</v>
      </c>
      <c r="AA14" s="78" t="s">
        <v>66</v>
      </c>
      <c r="AB14" s="78" t="s">
        <v>67</v>
      </c>
      <c r="AC14" s="78" t="s">
        <v>68</v>
      </c>
      <c r="AD14" s="365"/>
      <c r="AE14" s="366"/>
      <c r="AF14" s="78">
        <v>1</v>
      </c>
      <c r="AG14" s="78">
        <v>2</v>
      </c>
      <c r="AH14" s="78">
        <v>3</v>
      </c>
      <c r="AI14" s="78">
        <v>4</v>
      </c>
      <c r="AJ14" s="78">
        <v>5</v>
      </c>
      <c r="AK14" s="78">
        <v>1</v>
      </c>
      <c r="AL14" s="78">
        <v>2</v>
      </c>
      <c r="AM14" s="78">
        <v>3</v>
      </c>
      <c r="AN14" s="78">
        <v>4</v>
      </c>
      <c r="AO14" s="78">
        <v>5</v>
      </c>
      <c r="AP14" s="22"/>
      <c r="AQ14" s="100" t="str">
        <f>IF(ISBLANK(V15),"",V15)</f>
        <v/>
      </c>
      <c r="AR14" s="287" t="str">
        <f>IF(OR(AW14="QC",ISTEXT(Y15)), W15, "")</f>
        <v/>
      </c>
      <c r="AS14" s="288"/>
      <c r="AT14" s="37" t="str">
        <f>IF(OR(AW14="QC",ISTEXT(Y15)), Y15, "")</f>
        <v/>
      </c>
      <c r="AU14" s="37" t="str">
        <f>IF(OR(AW14="QC",ISTEXT(Y15)), Z15, "")</f>
        <v/>
      </c>
      <c r="AV14" s="37" t="str">
        <f>IF(ISBLANK(Z29),"",Z29)</f>
        <v/>
      </c>
      <c r="AW14" s="38" t="str">
        <f>IF(ISBLANK(AA15),"",AA15)</f>
        <v>-</v>
      </c>
      <c r="AX14" s="38" t="str">
        <f>IF(OR(AW14="QC",ISTEXT(Y15)), AB15, "")</f>
        <v/>
      </c>
      <c r="AY14" s="38" t="str">
        <f>IF(OR(AW14="QC",ISTEXT(Y15)), AC15, "")</f>
        <v/>
      </c>
      <c r="AZ14" s="39"/>
      <c r="BA14" s="39"/>
      <c r="BB14" s="39"/>
      <c r="BC14" s="39"/>
      <c r="BD14" s="39"/>
      <c r="BE14" s="39"/>
      <c r="BF14" s="39"/>
      <c r="BG14" s="39"/>
      <c r="BH14" s="39"/>
      <c r="BI14" s="39"/>
      <c r="BJ14" s="39"/>
      <c r="BK14" s="40"/>
      <c r="BL14" s="158" t="s">
        <v>97</v>
      </c>
      <c r="BM14" s="159"/>
      <c r="BN14" s="41" t="s">
        <v>98</v>
      </c>
      <c r="BO14" s="231" t="s">
        <v>99</v>
      </c>
      <c r="BP14" s="231"/>
      <c r="BQ14" s="232"/>
      <c r="BR14" s="208" t="s">
        <v>100</v>
      </c>
      <c r="BS14" s="208"/>
      <c r="BT14" s="208"/>
      <c r="BU14" s="208"/>
      <c r="BV14" s="217"/>
      <c r="BW14" s="218"/>
      <c r="BX14" s="218"/>
      <c r="BY14" s="119"/>
      <c r="BZ14" s="120"/>
      <c r="CA14" s="120"/>
      <c r="CB14" s="121"/>
      <c r="CC14" s="119"/>
      <c r="CD14" s="120"/>
      <c r="CE14" s="120"/>
      <c r="CF14" s="214"/>
      <c r="CG14" s="2">
        <f t="shared" si="0"/>
        <v>0</v>
      </c>
      <c r="CH14" s="2">
        <f t="shared" si="0"/>
        <v>0</v>
      </c>
      <c r="CI14" s="2">
        <f t="shared" si="1"/>
        <v>0</v>
      </c>
      <c r="CJ14" s="2">
        <f t="shared" si="1"/>
        <v>0</v>
      </c>
      <c r="CK14" s="2" t="str">
        <f t="shared" si="1"/>
        <v>-</v>
      </c>
      <c r="CL14" s="2" t="str">
        <f t="shared" si="1"/>
        <v/>
      </c>
      <c r="CM14" s="2" t="str">
        <f t="shared" si="1"/>
        <v/>
      </c>
      <c r="CN14" s="2">
        <f t="shared" si="1"/>
        <v>0</v>
      </c>
      <c r="CO14" s="2">
        <f t="shared" si="2"/>
        <v>0</v>
      </c>
      <c r="CP14" s="2">
        <f t="shared" si="2"/>
        <v>0</v>
      </c>
      <c r="CQ14" s="2">
        <f t="shared" si="2"/>
        <v>0</v>
      </c>
      <c r="CR14" s="2">
        <f t="shared" si="2"/>
        <v>0</v>
      </c>
      <c r="CS14" s="2">
        <f t="shared" si="2"/>
        <v>0</v>
      </c>
      <c r="CT14" s="2">
        <f t="shared" si="2"/>
        <v>0</v>
      </c>
      <c r="CU14" s="2">
        <f t="shared" si="2"/>
        <v>0</v>
      </c>
      <c r="CV14" s="2">
        <f t="shared" si="2"/>
        <v>0</v>
      </c>
      <c r="CW14" s="2">
        <f t="shared" si="2"/>
        <v>0</v>
      </c>
      <c r="CX14" s="2">
        <f t="shared" si="2"/>
        <v>0</v>
      </c>
      <c r="DF14" s="2">
        <f t="shared" si="5"/>
        <v>0</v>
      </c>
      <c r="DG14" s="2">
        <f t="shared" si="3"/>
        <v>0</v>
      </c>
      <c r="DH14" s="2">
        <f t="shared" si="3"/>
        <v>0</v>
      </c>
      <c r="DI14" s="2">
        <f t="shared" si="3"/>
        <v>0</v>
      </c>
      <c r="DJ14" s="2">
        <f t="shared" si="3"/>
        <v>0</v>
      </c>
      <c r="DK14" s="2">
        <f t="shared" si="3"/>
        <v>0</v>
      </c>
      <c r="DL14" s="2">
        <f t="shared" si="3"/>
        <v>0</v>
      </c>
      <c r="DM14" s="2">
        <f t="shared" si="3"/>
        <v>0</v>
      </c>
      <c r="DN14" s="2">
        <f t="shared" si="3"/>
        <v>0</v>
      </c>
      <c r="DO14" s="2">
        <f t="shared" si="3"/>
        <v>0</v>
      </c>
      <c r="DP14" s="2">
        <f t="shared" si="3"/>
        <v>0</v>
      </c>
      <c r="DQ14" s="2">
        <f t="shared" si="3"/>
        <v>0</v>
      </c>
      <c r="DR14" s="2">
        <f t="shared" ref="DR14:EG22" si="7">AQ30</f>
        <v>0</v>
      </c>
      <c r="DS14" s="2">
        <f t="shared" si="7"/>
        <v>0</v>
      </c>
      <c r="DT14" s="2">
        <f t="shared" si="7"/>
        <v>0</v>
      </c>
      <c r="DU14" s="2">
        <f t="shared" si="7"/>
        <v>0</v>
      </c>
      <c r="DV14" s="2">
        <f t="shared" si="7"/>
        <v>0</v>
      </c>
      <c r="DW14" s="2">
        <f t="shared" si="7"/>
        <v>0</v>
      </c>
      <c r="DX14" s="2">
        <f t="shared" si="7"/>
        <v>0</v>
      </c>
      <c r="DY14" s="2">
        <f t="shared" si="7"/>
        <v>0</v>
      </c>
      <c r="DZ14" s="2">
        <f t="shared" si="7"/>
        <v>0</v>
      </c>
      <c r="EA14" s="2">
        <f t="shared" si="7"/>
        <v>0</v>
      </c>
      <c r="EB14" s="2">
        <f t="shared" si="7"/>
        <v>0</v>
      </c>
      <c r="EC14" s="2">
        <f t="shared" si="7"/>
        <v>0</v>
      </c>
      <c r="ED14" s="2">
        <f t="shared" si="7"/>
        <v>0</v>
      </c>
      <c r="EE14" s="2">
        <f t="shared" si="7"/>
        <v>0</v>
      </c>
      <c r="EF14" s="2">
        <f t="shared" si="7"/>
        <v>0</v>
      </c>
      <c r="EG14" s="2">
        <f t="shared" si="7"/>
        <v>0</v>
      </c>
      <c r="EH14" s="2">
        <f t="shared" ref="EH14:EL22" si="8">BG30</f>
        <v>0</v>
      </c>
      <c r="EI14" s="2">
        <f t="shared" si="8"/>
        <v>0</v>
      </c>
      <c r="EJ14" s="2">
        <f t="shared" si="8"/>
        <v>0</v>
      </c>
      <c r="EK14" s="2">
        <f t="shared" si="8"/>
        <v>0</v>
      </c>
      <c r="EL14" s="2">
        <f t="shared" si="8"/>
        <v>0</v>
      </c>
    </row>
    <row r="15" spans="1:142" ht="14.4" customHeight="1" x14ac:dyDescent="0.3">
      <c r="A15" s="329"/>
      <c r="B15" s="328"/>
      <c r="C15" s="328"/>
      <c r="D15" s="328"/>
      <c r="E15" s="328"/>
      <c r="F15" s="328"/>
      <c r="G15" s="328"/>
      <c r="H15" s="328"/>
      <c r="I15" s="328"/>
      <c r="J15" s="328"/>
      <c r="K15" s="328"/>
      <c r="L15" s="328"/>
      <c r="M15" s="328"/>
      <c r="N15" s="328"/>
      <c r="O15" s="328"/>
      <c r="P15" s="328"/>
      <c r="Q15" s="282"/>
      <c r="R15" s="73"/>
      <c r="S15" s="332"/>
      <c r="T15" s="333"/>
      <c r="U15" s="334"/>
      <c r="V15" s="91"/>
      <c r="W15" s="346"/>
      <c r="X15" s="347"/>
      <c r="Y15" s="92"/>
      <c r="Z15" s="93"/>
      <c r="AA15" s="93" t="s">
        <v>101</v>
      </c>
      <c r="AB15" s="93" t="str">
        <f t="shared" ref="AB15:AB26" si="9">IF(ISNUMBER(Y15),(Y15+Z15)/2-3*(Z15 - (Y15+Z15)/2) / (3 * AA29),"")</f>
        <v/>
      </c>
      <c r="AC15" s="93" t="str">
        <f t="shared" ref="AC15:AC26" si="10">IF(ISNUMBER(Z15),(Y15+Z15)/2+3*(Z15 - (Y15+Z15)/2) / (3 * AA29),"")</f>
        <v/>
      </c>
      <c r="AD15" s="348"/>
      <c r="AE15" s="349"/>
      <c r="AF15" s="94"/>
      <c r="AG15" s="94"/>
      <c r="AH15" s="94"/>
      <c r="AI15" s="94"/>
      <c r="AJ15" s="94"/>
      <c r="AK15" s="94"/>
      <c r="AL15" s="94"/>
      <c r="AM15" s="94"/>
      <c r="AN15" s="94"/>
      <c r="AO15" s="94"/>
      <c r="AP15" s="22"/>
      <c r="AQ15" s="100" t="str">
        <f t="shared" ref="AQ15:AQ25" si="11">IF(ISBLANK(V16),"",V16)</f>
        <v/>
      </c>
      <c r="AR15" s="287" t="str">
        <f t="shared" ref="AR15:AR25" si="12">IF(OR(AW15="QC",ISTEXT(Y16)), W16, "")</f>
        <v/>
      </c>
      <c r="AS15" s="288"/>
      <c r="AT15" s="37" t="str">
        <f t="shared" ref="AT15:AT25" si="13">IF(OR(AW15="QC",ISTEXT(Y16)), Y16, "")</f>
        <v/>
      </c>
      <c r="AU15" s="37" t="str">
        <f t="shared" ref="AU15:AU25" si="14">IF(OR(AW15="QC",ISTEXT(Y16)), Z16, "")</f>
        <v/>
      </c>
      <c r="AV15" s="37" t="str">
        <f t="shared" ref="AV15:AV25" si="15">IF(ISBLANK(Z30),"",Z30)</f>
        <v/>
      </c>
      <c r="AW15" s="38" t="str">
        <f t="shared" ref="AW15:AW25" si="16">IF(ISBLANK(AA16),"",AA16)</f>
        <v>-</v>
      </c>
      <c r="AX15" s="38" t="str">
        <f t="shared" ref="AX15:AX25" si="17">IF(OR(AW15="QC",ISTEXT(Y16)), AB16, "")</f>
        <v/>
      </c>
      <c r="AY15" s="38" t="str">
        <f t="shared" ref="AY15:AY25" si="18">IF(OR(AW15="QC",ISTEXT(Y16)), AC16, "")</f>
        <v/>
      </c>
      <c r="AZ15" s="39"/>
      <c r="BA15" s="39"/>
      <c r="BB15" s="39"/>
      <c r="BC15" s="39"/>
      <c r="BD15" s="39"/>
      <c r="BE15" s="39"/>
      <c r="BF15" s="39"/>
      <c r="BG15" s="39"/>
      <c r="BH15" s="39"/>
      <c r="BI15" s="39"/>
      <c r="BJ15" s="39"/>
      <c r="BK15" s="40"/>
      <c r="BL15" s="158" t="s">
        <v>102</v>
      </c>
      <c r="BM15" s="159"/>
      <c r="BN15" s="42" t="s">
        <v>103</v>
      </c>
      <c r="BO15" s="120"/>
      <c r="BP15" s="120"/>
      <c r="BQ15" s="121"/>
      <c r="BR15" s="350" t="s">
        <v>104</v>
      </c>
      <c r="BS15" s="350"/>
      <c r="BT15" s="164"/>
      <c r="BU15" s="165"/>
      <c r="BV15" s="165"/>
      <c r="BW15" s="165"/>
      <c r="BX15" s="165"/>
      <c r="BY15" s="122"/>
      <c r="BZ15" s="123"/>
      <c r="CA15" s="123"/>
      <c r="CB15" s="124"/>
      <c r="CC15" s="122"/>
      <c r="CD15" s="123"/>
      <c r="CE15" s="123"/>
      <c r="CF15" s="215"/>
      <c r="CG15" s="2">
        <f t="shared" si="0"/>
        <v>0</v>
      </c>
      <c r="CH15" s="2">
        <f t="shared" si="0"/>
        <v>0</v>
      </c>
      <c r="CI15" s="2">
        <f t="shared" si="1"/>
        <v>0</v>
      </c>
      <c r="CJ15" s="2">
        <f t="shared" si="1"/>
        <v>0</v>
      </c>
      <c r="CK15" s="2" t="str">
        <f t="shared" si="1"/>
        <v>-</v>
      </c>
      <c r="CL15" s="2" t="str">
        <f t="shared" si="1"/>
        <v/>
      </c>
      <c r="CM15" s="2" t="str">
        <f t="shared" si="1"/>
        <v/>
      </c>
      <c r="CN15" s="2">
        <f t="shared" si="1"/>
        <v>0</v>
      </c>
      <c r="CO15" s="2">
        <f t="shared" si="2"/>
        <v>0</v>
      </c>
      <c r="CP15" s="2">
        <f t="shared" si="2"/>
        <v>0</v>
      </c>
      <c r="CQ15" s="2">
        <f t="shared" si="2"/>
        <v>0</v>
      </c>
      <c r="CR15" s="2">
        <f t="shared" si="2"/>
        <v>0</v>
      </c>
      <c r="CS15" s="2">
        <f t="shared" si="2"/>
        <v>0</v>
      </c>
      <c r="CT15" s="2">
        <f t="shared" si="2"/>
        <v>0</v>
      </c>
      <c r="CU15" s="2">
        <f t="shared" si="2"/>
        <v>0</v>
      </c>
      <c r="CV15" s="2">
        <f t="shared" si="2"/>
        <v>0</v>
      </c>
      <c r="CW15" s="2">
        <f t="shared" si="2"/>
        <v>0</v>
      </c>
      <c r="CX15" s="2">
        <f t="shared" si="2"/>
        <v>0</v>
      </c>
      <c r="DF15" s="2">
        <f t="shared" si="5"/>
        <v>0</v>
      </c>
      <c r="DG15" s="2">
        <f t="shared" si="3"/>
        <v>0</v>
      </c>
      <c r="DH15" s="2">
        <f t="shared" si="3"/>
        <v>0</v>
      </c>
      <c r="DI15" s="2">
        <f t="shared" si="3"/>
        <v>0</v>
      </c>
      <c r="DJ15" s="2">
        <f t="shared" si="3"/>
        <v>0</v>
      </c>
      <c r="DK15" s="2">
        <f t="shared" si="3"/>
        <v>0</v>
      </c>
      <c r="DL15" s="2">
        <f t="shared" si="3"/>
        <v>0</v>
      </c>
      <c r="DM15" s="2">
        <f t="shared" si="3"/>
        <v>0</v>
      </c>
      <c r="DN15" s="2">
        <f t="shared" si="3"/>
        <v>0</v>
      </c>
      <c r="DO15" s="2">
        <f t="shared" si="3"/>
        <v>0</v>
      </c>
      <c r="DP15" s="2">
        <f t="shared" si="3"/>
        <v>0</v>
      </c>
      <c r="DQ15" s="2">
        <f t="shared" si="3"/>
        <v>0</v>
      </c>
      <c r="DR15" s="2">
        <f t="shared" si="7"/>
        <v>0</v>
      </c>
      <c r="DS15" s="2">
        <f t="shared" si="7"/>
        <v>0</v>
      </c>
      <c r="DT15" s="2">
        <f t="shared" si="7"/>
        <v>0</v>
      </c>
      <c r="DU15" s="2">
        <f t="shared" si="7"/>
        <v>0</v>
      </c>
      <c r="DV15" s="2">
        <f t="shared" si="7"/>
        <v>0</v>
      </c>
      <c r="DW15" s="2">
        <f t="shared" si="7"/>
        <v>0</v>
      </c>
      <c r="DX15" s="2">
        <f t="shared" si="7"/>
        <v>0</v>
      </c>
      <c r="DY15" s="2">
        <f t="shared" si="7"/>
        <v>0</v>
      </c>
      <c r="DZ15" s="2">
        <f t="shared" si="7"/>
        <v>0</v>
      </c>
      <c r="EA15" s="2">
        <f t="shared" si="7"/>
        <v>0</v>
      </c>
      <c r="EB15" s="2">
        <f t="shared" si="7"/>
        <v>0</v>
      </c>
      <c r="EC15" s="2">
        <f t="shared" si="7"/>
        <v>0</v>
      </c>
      <c r="ED15" s="2">
        <f t="shared" si="7"/>
        <v>0</v>
      </c>
      <c r="EE15" s="2">
        <f t="shared" si="7"/>
        <v>0</v>
      </c>
      <c r="EF15" s="2">
        <f t="shared" si="7"/>
        <v>0</v>
      </c>
      <c r="EG15" s="2">
        <f t="shared" si="7"/>
        <v>0</v>
      </c>
      <c r="EH15" s="2">
        <f t="shared" si="8"/>
        <v>0</v>
      </c>
      <c r="EI15" s="2">
        <f t="shared" si="8"/>
        <v>0</v>
      </c>
      <c r="EJ15" s="2">
        <f t="shared" si="8"/>
        <v>0</v>
      </c>
      <c r="EK15" s="2">
        <f t="shared" si="8"/>
        <v>0</v>
      </c>
      <c r="EL15" s="2">
        <f t="shared" si="8"/>
        <v>0</v>
      </c>
    </row>
    <row r="16" spans="1:142" ht="14.4" customHeight="1" x14ac:dyDescent="0.3">
      <c r="A16" s="329"/>
      <c r="B16" s="328"/>
      <c r="C16" s="328"/>
      <c r="D16" s="328"/>
      <c r="E16" s="328"/>
      <c r="F16" s="328"/>
      <c r="G16" s="328"/>
      <c r="H16" s="328"/>
      <c r="I16" s="328"/>
      <c r="J16" s="328"/>
      <c r="K16" s="328"/>
      <c r="L16" s="328"/>
      <c r="M16" s="328"/>
      <c r="N16" s="328"/>
      <c r="O16" s="328"/>
      <c r="P16" s="328"/>
      <c r="Q16" s="282"/>
      <c r="R16" s="73"/>
      <c r="S16" s="332"/>
      <c r="T16" s="333"/>
      <c r="U16" s="334"/>
      <c r="V16" s="91"/>
      <c r="W16" s="346"/>
      <c r="X16" s="347"/>
      <c r="Y16" s="92"/>
      <c r="Z16" s="93"/>
      <c r="AA16" s="93" t="s">
        <v>101</v>
      </c>
      <c r="AB16" s="93" t="str">
        <f t="shared" si="9"/>
        <v/>
      </c>
      <c r="AC16" s="93" t="str">
        <f t="shared" si="10"/>
        <v/>
      </c>
      <c r="AD16" s="348"/>
      <c r="AE16" s="349"/>
      <c r="AF16" s="94"/>
      <c r="AG16" s="94"/>
      <c r="AH16" s="94"/>
      <c r="AI16" s="94"/>
      <c r="AJ16" s="94"/>
      <c r="AK16" s="94"/>
      <c r="AL16" s="94"/>
      <c r="AM16" s="94"/>
      <c r="AN16" s="94"/>
      <c r="AO16" s="94"/>
      <c r="AP16" s="22"/>
      <c r="AQ16" s="100" t="str">
        <f t="shared" si="11"/>
        <v/>
      </c>
      <c r="AR16" s="287" t="str">
        <f t="shared" si="12"/>
        <v/>
      </c>
      <c r="AS16" s="288"/>
      <c r="AT16" s="37" t="str">
        <f t="shared" si="13"/>
        <v/>
      </c>
      <c r="AU16" s="37" t="str">
        <f t="shared" si="14"/>
        <v/>
      </c>
      <c r="AV16" s="37" t="str">
        <f t="shared" si="15"/>
        <v/>
      </c>
      <c r="AW16" s="38" t="str">
        <f t="shared" si="16"/>
        <v>-</v>
      </c>
      <c r="AX16" s="38" t="str">
        <f t="shared" si="17"/>
        <v/>
      </c>
      <c r="AY16" s="38" t="str">
        <f t="shared" si="18"/>
        <v/>
      </c>
      <c r="AZ16" s="39"/>
      <c r="BA16" s="39"/>
      <c r="BB16" s="39"/>
      <c r="BC16" s="39"/>
      <c r="BD16" s="39"/>
      <c r="BE16" s="39"/>
      <c r="BF16" s="39"/>
      <c r="BG16" s="39"/>
      <c r="BH16" s="39"/>
      <c r="BI16" s="39"/>
      <c r="BJ16" s="39"/>
      <c r="BK16" s="40"/>
      <c r="BL16" s="210" t="s">
        <v>105</v>
      </c>
      <c r="BM16" s="211"/>
      <c r="BN16" s="28" t="s">
        <v>101</v>
      </c>
      <c r="BO16" s="126"/>
      <c r="BP16" s="126"/>
      <c r="BQ16" s="127"/>
      <c r="BR16" s="351"/>
      <c r="BS16" s="351"/>
      <c r="BT16" s="167"/>
      <c r="BU16" s="168"/>
      <c r="BV16" s="168"/>
      <c r="BW16" s="168"/>
      <c r="BX16" s="168"/>
      <c r="BY16" s="122"/>
      <c r="BZ16" s="123"/>
      <c r="CA16" s="123"/>
      <c r="CB16" s="124"/>
      <c r="CC16" s="122"/>
      <c r="CD16" s="123"/>
      <c r="CE16" s="123"/>
      <c r="CF16" s="215"/>
      <c r="CG16" s="2">
        <f t="shared" si="0"/>
        <v>0</v>
      </c>
      <c r="CH16" s="2">
        <f t="shared" si="0"/>
        <v>0</v>
      </c>
      <c r="CI16" s="2">
        <f t="shared" si="1"/>
        <v>0</v>
      </c>
      <c r="CJ16" s="2">
        <f t="shared" si="1"/>
        <v>0</v>
      </c>
      <c r="CK16" s="2" t="str">
        <f t="shared" si="1"/>
        <v>-</v>
      </c>
      <c r="CL16" s="2" t="str">
        <f t="shared" si="1"/>
        <v/>
      </c>
      <c r="CM16" s="2" t="str">
        <f t="shared" si="1"/>
        <v/>
      </c>
      <c r="CN16" s="2">
        <f t="shared" si="1"/>
        <v>0</v>
      </c>
      <c r="CO16" s="2">
        <f t="shared" si="2"/>
        <v>0</v>
      </c>
      <c r="CP16" s="2">
        <f t="shared" si="2"/>
        <v>0</v>
      </c>
      <c r="CQ16" s="2">
        <f t="shared" si="2"/>
        <v>0</v>
      </c>
      <c r="CR16" s="2">
        <f t="shared" si="2"/>
        <v>0</v>
      </c>
      <c r="CS16" s="2">
        <f t="shared" si="2"/>
        <v>0</v>
      </c>
      <c r="CT16" s="2">
        <f t="shared" si="2"/>
        <v>0</v>
      </c>
      <c r="CU16" s="2">
        <f t="shared" si="2"/>
        <v>0</v>
      </c>
      <c r="CV16" s="2">
        <f t="shared" si="2"/>
        <v>0</v>
      </c>
      <c r="CW16" s="2">
        <f t="shared" si="2"/>
        <v>0</v>
      </c>
      <c r="CX16" s="2">
        <f t="shared" si="2"/>
        <v>0</v>
      </c>
      <c r="DF16" s="2">
        <f t="shared" si="5"/>
        <v>0</v>
      </c>
      <c r="DG16" s="2">
        <f t="shared" si="3"/>
        <v>0</v>
      </c>
      <c r="DH16" s="2">
        <f t="shared" si="3"/>
        <v>0</v>
      </c>
      <c r="DI16" s="2">
        <f t="shared" si="3"/>
        <v>0</v>
      </c>
      <c r="DJ16" s="2">
        <f t="shared" si="3"/>
        <v>0</v>
      </c>
      <c r="DK16" s="2">
        <f t="shared" si="3"/>
        <v>0</v>
      </c>
      <c r="DL16" s="2">
        <f t="shared" si="3"/>
        <v>0</v>
      </c>
      <c r="DM16" s="2">
        <f t="shared" si="3"/>
        <v>0</v>
      </c>
      <c r="DN16" s="2">
        <f t="shared" si="3"/>
        <v>0</v>
      </c>
      <c r="DO16" s="2">
        <f t="shared" si="3"/>
        <v>0</v>
      </c>
      <c r="DP16" s="2">
        <f t="shared" si="3"/>
        <v>0</v>
      </c>
      <c r="DQ16" s="2">
        <f t="shared" si="3"/>
        <v>0</v>
      </c>
      <c r="DR16" s="2">
        <f t="shared" si="7"/>
        <v>0</v>
      </c>
      <c r="DS16" s="2">
        <f t="shared" si="7"/>
        <v>0</v>
      </c>
      <c r="DT16" s="2">
        <f t="shared" si="7"/>
        <v>0</v>
      </c>
      <c r="DU16" s="2">
        <f t="shared" si="7"/>
        <v>0</v>
      </c>
      <c r="DV16" s="2">
        <f t="shared" si="7"/>
        <v>0</v>
      </c>
      <c r="DW16" s="2">
        <f t="shared" si="7"/>
        <v>0</v>
      </c>
      <c r="DX16" s="2">
        <f t="shared" si="7"/>
        <v>0</v>
      </c>
      <c r="DY16" s="2">
        <f t="shared" si="7"/>
        <v>0</v>
      </c>
      <c r="DZ16" s="2">
        <f t="shared" si="7"/>
        <v>0</v>
      </c>
      <c r="EA16" s="2">
        <f t="shared" si="7"/>
        <v>0</v>
      </c>
      <c r="EB16" s="2">
        <f t="shared" si="7"/>
        <v>0</v>
      </c>
      <c r="EC16" s="2">
        <f t="shared" si="7"/>
        <v>0</v>
      </c>
      <c r="ED16" s="2">
        <f t="shared" si="7"/>
        <v>0</v>
      </c>
      <c r="EE16" s="2">
        <f t="shared" si="7"/>
        <v>0</v>
      </c>
      <c r="EF16" s="2">
        <f t="shared" si="7"/>
        <v>0</v>
      </c>
      <c r="EG16" s="2">
        <f t="shared" si="7"/>
        <v>0</v>
      </c>
      <c r="EH16" s="2">
        <f t="shared" si="8"/>
        <v>0</v>
      </c>
      <c r="EI16" s="2">
        <f t="shared" si="8"/>
        <v>0</v>
      </c>
      <c r="EJ16" s="2">
        <f t="shared" si="8"/>
        <v>0</v>
      </c>
      <c r="EK16" s="2">
        <f t="shared" si="8"/>
        <v>0</v>
      </c>
      <c r="EL16" s="2">
        <f t="shared" si="8"/>
        <v>0</v>
      </c>
    </row>
    <row r="17" spans="1:142" ht="14.4" customHeight="1" x14ac:dyDescent="0.3">
      <c r="A17" s="329"/>
      <c r="B17" s="328"/>
      <c r="C17" s="328"/>
      <c r="D17" s="328"/>
      <c r="E17" s="328"/>
      <c r="F17" s="328"/>
      <c r="G17" s="328"/>
      <c r="H17" s="328"/>
      <c r="I17" s="328"/>
      <c r="J17" s="328"/>
      <c r="K17" s="328"/>
      <c r="L17" s="328"/>
      <c r="M17" s="328"/>
      <c r="N17" s="328"/>
      <c r="O17" s="328"/>
      <c r="P17" s="328"/>
      <c r="Q17" s="282"/>
      <c r="R17" s="73"/>
      <c r="S17" s="332"/>
      <c r="T17" s="333"/>
      <c r="U17" s="334"/>
      <c r="V17" s="91"/>
      <c r="W17" s="346"/>
      <c r="X17" s="347"/>
      <c r="Y17" s="92"/>
      <c r="Z17" s="93"/>
      <c r="AA17" s="93" t="s">
        <v>101</v>
      </c>
      <c r="AB17" s="93" t="str">
        <f t="shared" si="9"/>
        <v/>
      </c>
      <c r="AC17" s="93" t="str">
        <f t="shared" si="10"/>
        <v/>
      </c>
      <c r="AD17" s="348"/>
      <c r="AE17" s="349"/>
      <c r="AF17" s="94"/>
      <c r="AG17" s="94"/>
      <c r="AH17" s="94"/>
      <c r="AI17" s="94"/>
      <c r="AJ17" s="94"/>
      <c r="AK17" s="94"/>
      <c r="AL17" s="94"/>
      <c r="AM17" s="94"/>
      <c r="AN17" s="94"/>
      <c r="AO17" s="94"/>
      <c r="AP17" s="22"/>
      <c r="AQ17" s="100" t="str">
        <f t="shared" si="11"/>
        <v/>
      </c>
      <c r="AR17" s="287" t="str">
        <f t="shared" si="12"/>
        <v/>
      </c>
      <c r="AS17" s="288"/>
      <c r="AT17" s="37" t="str">
        <f t="shared" si="13"/>
        <v/>
      </c>
      <c r="AU17" s="37" t="str">
        <f t="shared" si="14"/>
        <v/>
      </c>
      <c r="AV17" s="37" t="str">
        <f t="shared" si="15"/>
        <v/>
      </c>
      <c r="AW17" s="38" t="str">
        <f t="shared" si="16"/>
        <v>-</v>
      </c>
      <c r="AX17" s="38" t="str">
        <f t="shared" si="17"/>
        <v/>
      </c>
      <c r="AY17" s="38" t="str">
        <f>IF(OR(AW17="QC",ISTEXT(Y18)), AC18, "")</f>
        <v/>
      </c>
      <c r="AZ17" s="39"/>
      <c r="BA17" s="39"/>
      <c r="BB17" s="39"/>
      <c r="BC17" s="39"/>
      <c r="BD17" s="39"/>
      <c r="BE17" s="39"/>
      <c r="BF17" s="39"/>
      <c r="BG17" s="39"/>
      <c r="BH17" s="39"/>
      <c r="BI17" s="39"/>
      <c r="BJ17" s="39"/>
      <c r="BK17" s="40"/>
      <c r="BL17" s="212" t="s">
        <v>106</v>
      </c>
      <c r="BM17" s="205"/>
      <c r="BN17" s="206"/>
      <c r="BO17" s="352" t="s">
        <v>107</v>
      </c>
      <c r="BP17" s="159"/>
      <c r="BQ17" s="43"/>
      <c r="BR17" s="206" t="s">
        <v>108</v>
      </c>
      <c r="BS17" s="44" t="s">
        <v>109</v>
      </c>
      <c r="BT17" s="45"/>
      <c r="BU17" s="220" t="s">
        <v>110</v>
      </c>
      <c r="BV17" s="119"/>
      <c r="BW17" s="120"/>
      <c r="BX17" s="120"/>
      <c r="BY17" s="122"/>
      <c r="BZ17" s="123"/>
      <c r="CA17" s="123"/>
      <c r="CB17" s="124"/>
      <c r="CC17" s="122"/>
      <c r="CD17" s="123"/>
      <c r="CE17" s="123"/>
      <c r="CF17" s="215"/>
      <c r="CG17" s="2">
        <f t="shared" si="0"/>
        <v>0</v>
      </c>
      <c r="CH17" s="2">
        <f t="shared" si="0"/>
        <v>0</v>
      </c>
      <c r="CI17" s="2">
        <f t="shared" si="1"/>
        <v>0</v>
      </c>
      <c r="CJ17" s="2">
        <f t="shared" si="1"/>
        <v>0</v>
      </c>
      <c r="CK17" s="2" t="str">
        <f t="shared" si="1"/>
        <v>-</v>
      </c>
      <c r="CL17" s="2" t="str">
        <f t="shared" si="1"/>
        <v/>
      </c>
      <c r="CM17" s="2" t="str">
        <f t="shared" si="1"/>
        <v/>
      </c>
      <c r="CN17" s="2">
        <f t="shared" si="1"/>
        <v>0</v>
      </c>
      <c r="CO17" s="2">
        <f t="shared" si="2"/>
        <v>0</v>
      </c>
      <c r="CP17" s="2">
        <f t="shared" si="2"/>
        <v>0</v>
      </c>
      <c r="CQ17" s="2">
        <f t="shared" si="2"/>
        <v>0</v>
      </c>
      <c r="CR17" s="2">
        <f t="shared" si="2"/>
        <v>0</v>
      </c>
      <c r="CS17" s="2">
        <f t="shared" si="2"/>
        <v>0</v>
      </c>
      <c r="CT17" s="2">
        <f t="shared" si="2"/>
        <v>0</v>
      </c>
      <c r="CU17" s="2">
        <f t="shared" si="2"/>
        <v>0</v>
      </c>
      <c r="CV17" s="2">
        <f t="shared" si="2"/>
        <v>0</v>
      </c>
      <c r="CW17" s="2">
        <f t="shared" si="2"/>
        <v>0</v>
      </c>
      <c r="CX17" s="2">
        <f t="shared" si="2"/>
        <v>0</v>
      </c>
      <c r="DF17" s="2">
        <f t="shared" si="5"/>
        <v>0</v>
      </c>
      <c r="DG17" s="2">
        <f t="shared" si="3"/>
        <v>0</v>
      </c>
      <c r="DH17" s="2">
        <f t="shared" si="3"/>
        <v>0</v>
      </c>
      <c r="DI17" s="2">
        <f t="shared" si="3"/>
        <v>0</v>
      </c>
      <c r="DJ17" s="2">
        <f t="shared" si="3"/>
        <v>0</v>
      </c>
      <c r="DK17" s="2">
        <f t="shared" si="3"/>
        <v>0</v>
      </c>
      <c r="DL17" s="2">
        <f t="shared" si="3"/>
        <v>0</v>
      </c>
      <c r="DM17" s="2">
        <f t="shared" si="3"/>
        <v>0</v>
      </c>
      <c r="DN17" s="2">
        <f t="shared" si="3"/>
        <v>0</v>
      </c>
      <c r="DO17" s="2">
        <f t="shared" si="3"/>
        <v>0</v>
      </c>
      <c r="DP17" s="2">
        <f t="shared" si="3"/>
        <v>0</v>
      </c>
      <c r="DQ17" s="2">
        <f t="shared" si="3"/>
        <v>0</v>
      </c>
      <c r="DR17" s="2">
        <f t="shared" si="7"/>
        <v>0</v>
      </c>
      <c r="DS17" s="2">
        <f t="shared" si="7"/>
        <v>0</v>
      </c>
      <c r="DT17" s="2">
        <f t="shared" si="7"/>
        <v>0</v>
      </c>
      <c r="DU17" s="2">
        <f t="shared" si="7"/>
        <v>0</v>
      </c>
      <c r="DV17" s="2">
        <f t="shared" si="7"/>
        <v>0</v>
      </c>
      <c r="DW17" s="2">
        <f t="shared" si="7"/>
        <v>0</v>
      </c>
      <c r="DX17" s="2">
        <f t="shared" si="7"/>
        <v>0</v>
      </c>
      <c r="DY17" s="2">
        <f t="shared" si="7"/>
        <v>0</v>
      </c>
      <c r="DZ17" s="2">
        <f t="shared" si="7"/>
        <v>0</v>
      </c>
      <c r="EA17" s="2">
        <f t="shared" si="7"/>
        <v>0</v>
      </c>
      <c r="EB17" s="2">
        <f t="shared" si="7"/>
        <v>0</v>
      </c>
      <c r="EC17" s="2">
        <f t="shared" si="7"/>
        <v>0</v>
      </c>
      <c r="ED17" s="2">
        <f t="shared" si="7"/>
        <v>0</v>
      </c>
      <c r="EE17" s="2">
        <f t="shared" si="7"/>
        <v>0</v>
      </c>
      <c r="EF17" s="2">
        <f t="shared" si="7"/>
        <v>0</v>
      </c>
      <c r="EG17" s="2">
        <f t="shared" si="7"/>
        <v>0</v>
      </c>
      <c r="EH17" s="2">
        <f t="shared" si="8"/>
        <v>0</v>
      </c>
      <c r="EI17" s="2">
        <f t="shared" si="8"/>
        <v>0</v>
      </c>
      <c r="EJ17" s="2">
        <f t="shared" si="8"/>
        <v>0</v>
      </c>
      <c r="EK17" s="2">
        <f t="shared" si="8"/>
        <v>0</v>
      </c>
      <c r="EL17" s="2">
        <f t="shared" si="8"/>
        <v>0</v>
      </c>
    </row>
    <row r="18" spans="1:142" ht="14.4" customHeight="1" x14ac:dyDescent="0.3">
      <c r="A18" s="329"/>
      <c r="B18" s="328"/>
      <c r="C18" s="328"/>
      <c r="D18" s="328"/>
      <c r="E18" s="328"/>
      <c r="F18" s="328"/>
      <c r="G18" s="328"/>
      <c r="H18" s="328"/>
      <c r="I18" s="328"/>
      <c r="J18" s="328"/>
      <c r="K18" s="328"/>
      <c r="L18" s="328"/>
      <c r="M18" s="328"/>
      <c r="N18" s="328"/>
      <c r="O18" s="328"/>
      <c r="P18" s="328"/>
      <c r="Q18" s="282"/>
      <c r="R18" s="73"/>
      <c r="S18" s="332"/>
      <c r="T18" s="333"/>
      <c r="U18" s="334"/>
      <c r="V18" s="91"/>
      <c r="W18" s="346"/>
      <c r="X18" s="347"/>
      <c r="Y18" s="92"/>
      <c r="Z18" s="93"/>
      <c r="AA18" s="93" t="s">
        <v>101</v>
      </c>
      <c r="AB18" s="93" t="str">
        <f t="shared" si="9"/>
        <v/>
      </c>
      <c r="AC18" s="93" t="str">
        <f t="shared" si="10"/>
        <v/>
      </c>
      <c r="AD18" s="348"/>
      <c r="AE18" s="349"/>
      <c r="AF18" s="94"/>
      <c r="AG18" s="94"/>
      <c r="AH18" s="94"/>
      <c r="AI18" s="94"/>
      <c r="AJ18" s="94"/>
      <c r="AK18" s="94"/>
      <c r="AL18" s="94"/>
      <c r="AM18" s="94"/>
      <c r="AN18" s="94"/>
      <c r="AO18" s="94"/>
      <c r="AP18" s="22"/>
      <c r="AQ18" s="100" t="str">
        <f t="shared" si="11"/>
        <v/>
      </c>
      <c r="AR18" s="287" t="str">
        <f t="shared" si="12"/>
        <v/>
      </c>
      <c r="AS18" s="288"/>
      <c r="AT18" s="37" t="str">
        <f t="shared" si="13"/>
        <v/>
      </c>
      <c r="AU18" s="37" t="str">
        <f t="shared" si="14"/>
        <v/>
      </c>
      <c r="AV18" s="37" t="str">
        <f t="shared" si="15"/>
        <v/>
      </c>
      <c r="AW18" s="38" t="str">
        <f t="shared" si="16"/>
        <v>-</v>
      </c>
      <c r="AX18" s="38" t="str">
        <f t="shared" si="17"/>
        <v/>
      </c>
      <c r="AY18" s="38" t="str">
        <f t="shared" si="18"/>
        <v/>
      </c>
      <c r="AZ18" s="39"/>
      <c r="BA18" s="39"/>
      <c r="BB18" s="39"/>
      <c r="BC18" s="39"/>
      <c r="BD18" s="39"/>
      <c r="BE18" s="39"/>
      <c r="BF18" s="39"/>
      <c r="BG18" s="39"/>
      <c r="BH18" s="39"/>
      <c r="BI18" s="39"/>
      <c r="BJ18" s="39"/>
      <c r="BK18" s="40"/>
      <c r="BL18" s="199" t="s">
        <v>111</v>
      </c>
      <c r="BM18" s="154"/>
      <c r="BN18" s="200"/>
      <c r="BO18" s="202"/>
      <c r="BP18" s="202"/>
      <c r="BQ18" s="203"/>
      <c r="BR18" s="206"/>
      <c r="BS18" s="44" t="s">
        <v>112</v>
      </c>
      <c r="BT18" s="45"/>
      <c r="BU18" s="221"/>
      <c r="BV18" s="125"/>
      <c r="BW18" s="126"/>
      <c r="BX18" s="126"/>
      <c r="BY18" s="122"/>
      <c r="BZ18" s="123"/>
      <c r="CA18" s="123"/>
      <c r="CB18" s="124"/>
      <c r="CC18" s="122"/>
      <c r="CD18" s="123"/>
      <c r="CE18" s="123"/>
      <c r="CF18" s="215"/>
      <c r="CG18" s="2">
        <f t="shared" si="0"/>
        <v>0</v>
      </c>
      <c r="CH18" s="2">
        <f t="shared" si="0"/>
        <v>0</v>
      </c>
      <c r="CI18" s="2">
        <f t="shared" si="1"/>
        <v>0</v>
      </c>
      <c r="CJ18" s="2">
        <f t="shared" si="1"/>
        <v>0</v>
      </c>
      <c r="CK18" s="2" t="str">
        <f t="shared" si="1"/>
        <v>-</v>
      </c>
      <c r="CL18" s="2" t="str">
        <f t="shared" si="1"/>
        <v/>
      </c>
      <c r="CM18" s="2" t="str">
        <f t="shared" si="1"/>
        <v/>
      </c>
      <c r="CN18" s="2">
        <f t="shared" si="1"/>
        <v>0</v>
      </c>
      <c r="CO18" s="2">
        <f t="shared" si="2"/>
        <v>0</v>
      </c>
      <c r="CP18" s="2">
        <f t="shared" si="2"/>
        <v>0</v>
      </c>
      <c r="CQ18" s="2">
        <f t="shared" si="2"/>
        <v>0</v>
      </c>
      <c r="CR18" s="2">
        <f t="shared" si="2"/>
        <v>0</v>
      </c>
      <c r="CS18" s="2">
        <f t="shared" si="2"/>
        <v>0</v>
      </c>
      <c r="CT18" s="2">
        <f t="shared" si="2"/>
        <v>0</v>
      </c>
      <c r="CU18" s="2">
        <f t="shared" si="2"/>
        <v>0</v>
      </c>
      <c r="CV18" s="2">
        <f t="shared" si="2"/>
        <v>0</v>
      </c>
      <c r="CW18" s="2">
        <f t="shared" si="2"/>
        <v>0</v>
      </c>
      <c r="CX18" s="2">
        <f t="shared" si="2"/>
        <v>0</v>
      </c>
      <c r="DF18" s="2">
        <f t="shared" si="5"/>
        <v>0</v>
      </c>
      <c r="DG18" s="2">
        <f t="shared" si="3"/>
        <v>0</v>
      </c>
      <c r="DH18" s="2">
        <f t="shared" si="3"/>
        <v>0</v>
      </c>
      <c r="DI18" s="2">
        <f t="shared" si="3"/>
        <v>0</v>
      </c>
      <c r="DJ18" s="2">
        <f t="shared" si="3"/>
        <v>0</v>
      </c>
      <c r="DK18" s="2">
        <f t="shared" si="3"/>
        <v>0</v>
      </c>
      <c r="DL18" s="2">
        <f t="shared" si="3"/>
        <v>0</v>
      </c>
      <c r="DM18" s="2">
        <f t="shared" si="3"/>
        <v>0</v>
      </c>
      <c r="DN18" s="2">
        <f t="shared" si="3"/>
        <v>0</v>
      </c>
      <c r="DO18" s="2">
        <f t="shared" si="3"/>
        <v>0</v>
      </c>
      <c r="DP18" s="2">
        <f t="shared" si="3"/>
        <v>0</v>
      </c>
      <c r="DQ18" s="2">
        <f t="shared" si="3"/>
        <v>0</v>
      </c>
      <c r="DR18" s="2">
        <f t="shared" si="7"/>
        <v>0</v>
      </c>
      <c r="DS18" s="2">
        <f t="shared" si="7"/>
        <v>0</v>
      </c>
      <c r="DT18" s="2">
        <f t="shared" si="7"/>
        <v>0</v>
      </c>
      <c r="DU18" s="2">
        <f t="shared" si="7"/>
        <v>0</v>
      </c>
      <c r="DV18" s="2">
        <f t="shared" si="7"/>
        <v>0</v>
      </c>
      <c r="DW18" s="2">
        <f t="shared" si="7"/>
        <v>0</v>
      </c>
      <c r="DX18" s="2">
        <f t="shared" si="7"/>
        <v>0</v>
      </c>
      <c r="DY18" s="2">
        <f t="shared" si="7"/>
        <v>0</v>
      </c>
      <c r="DZ18" s="2">
        <f t="shared" si="7"/>
        <v>0</v>
      </c>
      <c r="EA18" s="2">
        <f t="shared" si="7"/>
        <v>0</v>
      </c>
      <c r="EB18" s="2">
        <f t="shared" si="7"/>
        <v>0</v>
      </c>
      <c r="EC18" s="2">
        <f t="shared" si="7"/>
        <v>0</v>
      </c>
      <c r="ED18" s="2">
        <f t="shared" si="7"/>
        <v>0</v>
      </c>
      <c r="EE18" s="2">
        <f t="shared" si="7"/>
        <v>0</v>
      </c>
      <c r="EF18" s="2">
        <f t="shared" si="7"/>
        <v>0</v>
      </c>
      <c r="EG18" s="2">
        <f t="shared" si="7"/>
        <v>0</v>
      </c>
      <c r="EH18" s="2">
        <f t="shared" si="8"/>
        <v>0</v>
      </c>
      <c r="EI18" s="2">
        <f t="shared" si="8"/>
        <v>0</v>
      </c>
      <c r="EJ18" s="2">
        <f t="shared" si="8"/>
        <v>0</v>
      </c>
      <c r="EK18" s="2">
        <f t="shared" si="8"/>
        <v>0</v>
      </c>
      <c r="EL18" s="2">
        <f t="shared" si="8"/>
        <v>0</v>
      </c>
    </row>
    <row r="19" spans="1:142" ht="14.4" customHeight="1" x14ac:dyDescent="0.3">
      <c r="A19" s="329"/>
      <c r="B19" s="328"/>
      <c r="C19" s="328"/>
      <c r="D19" s="328"/>
      <c r="E19" s="328"/>
      <c r="F19" s="328"/>
      <c r="G19" s="328"/>
      <c r="H19" s="328"/>
      <c r="I19" s="328"/>
      <c r="J19" s="328"/>
      <c r="K19" s="328"/>
      <c r="L19" s="328"/>
      <c r="M19" s="328"/>
      <c r="N19" s="328"/>
      <c r="O19" s="328"/>
      <c r="P19" s="328"/>
      <c r="Q19" s="282"/>
      <c r="R19" s="73"/>
      <c r="S19" s="332"/>
      <c r="T19" s="333"/>
      <c r="U19" s="334"/>
      <c r="V19" s="91"/>
      <c r="W19" s="346"/>
      <c r="X19" s="347"/>
      <c r="Y19" s="92"/>
      <c r="Z19" s="93"/>
      <c r="AA19" s="93" t="s">
        <v>101</v>
      </c>
      <c r="AB19" s="93" t="str">
        <f t="shared" si="9"/>
        <v/>
      </c>
      <c r="AC19" s="93" t="str">
        <f t="shared" si="10"/>
        <v/>
      </c>
      <c r="AD19" s="348"/>
      <c r="AE19" s="349"/>
      <c r="AF19" s="94"/>
      <c r="AG19" s="94"/>
      <c r="AH19" s="94"/>
      <c r="AI19" s="94"/>
      <c r="AJ19" s="94"/>
      <c r="AK19" s="94"/>
      <c r="AL19" s="94"/>
      <c r="AM19" s="94"/>
      <c r="AN19" s="94"/>
      <c r="AO19" s="94"/>
      <c r="AP19" s="22"/>
      <c r="AQ19" s="100" t="str">
        <f t="shared" si="11"/>
        <v/>
      </c>
      <c r="AR19" s="287" t="str">
        <f t="shared" si="12"/>
        <v/>
      </c>
      <c r="AS19" s="288"/>
      <c r="AT19" s="37" t="str">
        <f t="shared" si="13"/>
        <v/>
      </c>
      <c r="AU19" s="37" t="str">
        <f t="shared" si="14"/>
        <v/>
      </c>
      <c r="AV19" s="37" t="str">
        <f t="shared" si="15"/>
        <v/>
      </c>
      <c r="AW19" s="38" t="str">
        <f t="shared" si="16"/>
        <v>-</v>
      </c>
      <c r="AX19" s="38" t="str">
        <f t="shared" si="17"/>
        <v/>
      </c>
      <c r="AY19" s="38" t="str">
        <f t="shared" si="18"/>
        <v/>
      </c>
      <c r="AZ19" s="39"/>
      <c r="BA19" s="39"/>
      <c r="BB19" s="39"/>
      <c r="BC19" s="39"/>
      <c r="BD19" s="39"/>
      <c r="BE19" s="39"/>
      <c r="BF19" s="39"/>
      <c r="BG19" s="39"/>
      <c r="BH19" s="39"/>
      <c r="BI19" s="39"/>
      <c r="BJ19" s="39"/>
      <c r="BK19" s="40"/>
      <c r="BL19" s="170"/>
      <c r="BM19" s="171"/>
      <c r="BN19" s="172"/>
      <c r="BO19" s="171"/>
      <c r="BP19" s="171"/>
      <c r="BQ19" s="172"/>
      <c r="BR19" s="171"/>
      <c r="BS19" s="171"/>
      <c r="BT19" s="171"/>
      <c r="BU19" s="171"/>
      <c r="BV19" s="171"/>
      <c r="BW19" s="171"/>
      <c r="BX19" s="172"/>
      <c r="BY19" s="122"/>
      <c r="BZ19" s="123"/>
      <c r="CA19" s="123"/>
      <c r="CB19" s="124"/>
      <c r="CC19" s="122"/>
      <c r="CD19" s="123"/>
      <c r="CE19" s="123"/>
      <c r="CF19" s="215"/>
      <c r="CG19" s="2">
        <f t="shared" si="0"/>
        <v>0</v>
      </c>
      <c r="CH19" s="2">
        <f t="shared" si="0"/>
        <v>0</v>
      </c>
      <c r="CI19" s="2">
        <f t="shared" si="1"/>
        <v>0</v>
      </c>
      <c r="CJ19" s="2">
        <f t="shared" si="1"/>
        <v>0</v>
      </c>
      <c r="CK19" s="2" t="str">
        <f t="shared" si="1"/>
        <v>-</v>
      </c>
      <c r="CL19" s="2" t="str">
        <f t="shared" si="1"/>
        <v/>
      </c>
      <c r="CM19" s="2" t="str">
        <f t="shared" si="1"/>
        <v/>
      </c>
      <c r="CN19" s="2">
        <f t="shared" si="1"/>
        <v>0</v>
      </c>
      <c r="CO19" s="2">
        <f t="shared" si="2"/>
        <v>0</v>
      </c>
      <c r="CP19" s="2">
        <f t="shared" si="2"/>
        <v>0</v>
      </c>
      <c r="CQ19" s="2">
        <f t="shared" si="2"/>
        <v>0</v>
      </c>
      <c r="CR19" s="2">
        <f t="shared" si="2"/>
        <v>0</v>
      </c>
      <c r="CS19" s="2">
        <f t="shared" si="2"/>
        <v>0</v>
      </c>
      <c r="CT19" s="2">
        <f t="shared" si="2"/>
        <v>0</v>
      </c>
      <c r="CU19" s="2">
        <f t="shared" si="2"/>
        <v>0</v>
      </c>
      <c r="CV19" s="2">
        <f t="shared" si="2"/>
        <v>0</v>
      </c>
      <c r="CW19" s="2">
        <f t="shared" si="2"/>
        <v>0</v>
      </c>
      <c r="CX19" s="2">
        <f t="shared" si="2"/>
        <v>0</v>
      </c>
      <c r="DF19" s="2">
        <f t="shared" si="5"/>
        <v>0</v>
      </c>
      <c r="DG19" s="2">
        <f t="shared" si="3"/>
        <v>0</v>
      </c>
      <c r="DH19" s="2">
        <f t="shared" si="3"/>
        <v>0</v>
      </c>
      <c r="DI19" s="2">
        <f t="shared" si="3"/>
        <v>0</v>
      </c>
      <c r="DJ19" s="2">
        <f t="shared" si="3"/>
        <v>0</v>
      </c>
      <c r="DK19" s="2">
        <f t="shared" si="3"/>
        <v>0</v>
      </c>
      <c r="DL19" s="2">
        <f t="shared" si="3"/>
        <v>0</v>
      </c>
      <c r="DM19" s="2">
        <f t="shared" si="3"/>
        <v>0</v>
      </c>
      <c r="DN19" s="2">
        <f t="shared" si="3"/>
        <v>0</v>
      </c>
      <c r="DO19" s="2">
        <f t="shared" si="3"/>
        <v>0</v>
      </c>
      <c r="DP19" s="2">
        <f t="shared" si="3"/>
        <v>0</v>
      </c>
      <c r="DQ19" s="2">
        <f t="shared" si="3"/>
        <v>0</v>
      </c>
      <c r="DR19" s="2">
        <f t="shared" si="7"/>
        <v>0</v>
      </c>
      <c r="DS19" s="2">
        <f t="shared" si="7"/>
        <v>0</v>
      </c>
      <c r="DT19" s="2">
        <f t="shared" si="7"/>
        <v>0</v>
      </c>
      <c r="DU19" s="2">
        <f t="shared" si="7"/>
        <v>0</v>
      </c>
      <c r="DV19" s="2">
        <f t="shared" si="7"/>
        <v>0</v>
      </c>
      <c r="DW19" s="2">
        <f t="shared" si="7"/>
        <v>0</v>
      </c>
      <c r="DX19" s="2">
        <f t="shared" si="7"/>
        <v>0</v>
      </c>
      <c r="DY19" s="2">
        <f t="shared" si="7"/>
        <v>0</v>
      </c>
      <c r="DZ19" s="2">
        <f t="shared" si="7"/>
        <v>0</v>
      </c>
      <c r="EA19" s="2">
        <f t="shared" si="7"/>
        <v>0</v>
      </c>
      <c r="EB19" s="2">
        <f t="shared" si="7"/>
        <v>0</v>
      </c>
      <c r="EC19" s="2">
        <f t="shared" si="7"/>
        <v>0</v>
      </c>
      <c r="ED19" s="2">
        <f t="shared" si="7"/>
        <v>0</v>
      </c>
      <c r="EE19" s="2">
        <f t="shared" si="7"/>
        <v>0</v>
      </c>
      <c r="EF19" s="2">
        <f t="shared" si="7"/>
        <v>0</v>
      </c>
      <c r="EG19" s="2">
        <f t="shared" si="7"/>
        <v>0</v>
      </c>
      <c r="EH19" s="2">
        <f t="shared" si="8"/>
        <v>0</v>
      </c>
      <c r="EI19" s="2">
        <f t="shared" si="8"/>
        <v>0</v>
      </c>
      <c r="EJ19" s="2">
        <f t="shared" si="8"/>
        <v>0</v>
      </c>
      <c r="EK19" s="2">
        <f t="shared" si="8"/>
        <v>0</v>
      </c>
      <c r="EL19" s="2">
        <f t="shared" si="8"/>
        <v>0</v>
      </c>
    </row>
    <row r="20" spans="1:142" ht="14.4" customHeight="1" x14ac:dyDescent="0.3">
      <c r="A20" s="329"/>
      <c r="B20" s="328"/>
      <c r="C20" s="328"/>
      <c r="D20" s="328"/>
      <c r="E20" s="328"/>
      <c r="F20" s="328"/>
      <c r="G20" s="328"/>
      <c r="H20" s="328"/>
      <c r="I20" s="328"/>
      <c r="J20" s="328"/>
      <c r="K20" s="328"/>
      <c r="L20" s="328"/>
      <c r="M20" s="328"/>
      <c r="N20" s="328"/>
      <c r="O20" s="328"/>
      <c r="P20" s="328"/>
      <c r="Q20" s="282"/>
      <c r="R20" s="73"/>
      <c r="S20" s="332"/>
      <c r="T20" s="333"/>
      <c r="U20" s="334"/>
      <c r="V20" s="91"/>
      <c r="W20" s="346"/>
      <c r="X20" s="347"/>
      <c r="Y20" s="92"/>
      <c r="Z20" s="93"/>
      <c r="AA20" s="93" t="s">
        <v>101</v>
      </c>
      <c r="AB20" s="93" t="str">
        <f t="shared" si="9"/>
        <v/>
      </c>
      <c r="AC20" s="93" t="str">
        <f t="shared" si="10"/>
        <v/>
      </c>
      <c r="AD20" s="348"/>
      <c r="AE20" s="349"/>
      <c r="AF20" s="94"/>
      <c r="AG20" s="94"/>
      <c r="AH20" s="94"/>
      <c r="AI20" s="94"/>
      <c r="AJ20" s="94"/>
      <c r="AK20" s="94"/>
      <c r="AL20" s="94"/>
      <c r="AM20" s="94"/>
      <c r="AN20" s="94"/>
      <c r="AO20" s="94"/>
      <c r="AP20" s="22"/>
      <c r="AQ20" s="100" t="str">
        <f t="shared" si="11"/>
        <v/>
      </c>
      <c r="AR20" s="287" t="str">
        <f t="shared" si="12"/>
        <v/>
      </c>
      <c r="AS20" s="288"/>
      <c r="AT20" s="37" t="str">
        <f t="shared" si="13"/>
        <v/>
      </c>
      <c r="AU20" s="37" t="str">
        <f t="shared" si="14"/>
        <v/>
      </c>
      <c r="AV20" s="37" t="str">
        <f t="shared" si="15"/>
        <v/>
      </c>
      <c r="AW20" s="38" t="str">
        <f t="shared" si="16"/>
        <v>-</v>
      </c>
      <c r="AX20" s="38" t="str">
        <f t="shared" si="17"/>
        <v/>
      </c>
      <c r="AY20" s="38" t="str">
        <f t="shared" si="18"/>
        <v/>
      </c>
      <c r="AZ20" s="39"/>
      <c r="BA20" s="39"/>
      <c r="BB20" s="39"/>
      <c r="BC20" s="39"/>
      <c r="BD20" s="39"/>
      <c r="BE20" s="39"/>
      <c r="BF20" s="39"/>
      <c r="BG20" s="39"/>
      <c r="BH20" s="39"/>
      <c r="BI20" s="39"/>
      <c r="BJ20" s="39"/>
      <c r="BK20" s="40"/>
      <c r="BL20" s="173"/>
      <c r="BM20" s="174"/>
      <c r="BN20" s="175"/>
      <c r="BO20" s="174"/>
      <c r="BP20" s="174"/>
      <c r="BQ20" s="175"/>
      <c r="BR20" s="174"/>
      <c r="BS20" s="174"/>
      <c r="BT20" s="174"/>
      <c r="BU20" s="174"/>
      <c r="BV20" s="174"/>
      <c r="BW20" s="174"/>
      <c r="BX20" s="175"/>
      <c r="BY20" s="122"/>
      <c r="BZ20" s="123"/>
      <c r="CA20" s="123"/>
      <c r="CB20" s="124"/>
      <c r="CC20" s="122"/>
      <c r="CD20" s="123"/>
      <c r="CE20" s="123"/>
      <c r="CF20" s="215"/>
      <c r="CG20" s="2">
        <f t="shared" si="0"/>
        <v>0</v>
      </c>
      <c r="CH20" s="2">
        <f t="shared" si="0"/>
        <v>0</v>
      </c>
      <c r="CI20" s="2">
        <f t="shared" si="1"/>
        <v>0</v>
      </c>
      <c r="CJ20" s="2">
        <f t="shared" si="1"/>
        <v>0</v>
      </c>
      <c r="CK20" s="2" t="str">
        <f t="shared" si="1"/>
        <v>-</v>
      </c>
      <c r="CL20" s="2" t="str">
        <f t="shared" si="1"/>
        <v/>
      </c>
      <c r="CM20" s="2" t="str">
        <f t="shared" si="1"/>
        <v/>
      </c>
      <c r="CN20" s="2">
        <f t="shared" si="1"/>
        <v>0</v>
      </c>
      <c r="CO20" s="2">
        <f t="shared" si="2"/>
        <v>0</v>
      </c>
      <c r="CP20" s="2">
        <f t="shared" si="2"/>
        <v>0</v>
      </c>
      <c r="CQ20" s="2">
        <f t="shared" si="2"/>
        <v>0</v>
      </c>
      <c r="CR20" s="2">
        <f t="shared" si="2"/>
        <v>0</v>
      </c>
      <c r="CS20" s="2">
        <f t="shared" si="2"/>
        <v>0</v>
      </c>
      <c r="CT20" s="2">
        <f t="shared" si="2"/>
        <v>0</v>
      </c>
      <c r="CU20" s="2">
        <f t="shared" si="2"/>
        <v>0</v>
      </c>
      <c r="CV20" s="2">
        <f t="shared" si="2"/>
        <v>0</v>
      </c>
      <c r="CW20" s="2">
        <f t="shared" si="2"/>
        <v>0</v>
      </c>
      <c r="CX20" s="2">
        <f t="shared" si="2"/>
        <v>0</v>
      </c>
      <c r="DF20" s="2">
        <f t="shared" si="5"/>
        <v>0</v>
      </c>
      <c r="DG20" s="2">
        <f t="shared" si="3"/>
        <v>0</v>
      </c>
      <c r="DH20" s="2">
        <f t="shared" si="3"/>
        <v>0</v>
      </c>
      <c r="DI20" s="2">
        <f t="shared" si="3"/>
        <v>0</v>
      </c>
      <c r="DJ20" s="2">
        <f t="shared" si="3"/>
        <v>0</v>
      </c>
      <c r="DK20" s="2">
        <f t="shared" si="3"/>
        <v>0</v>
      </c>
      <c r="DL20" s="2">
        <f t="shared" si="3"/>
        <v>0</v>
      </c>
      <c r="DM20" s="2">
        <f t="shared" si="3"/>
        <v>0</v>
      </c>
      <c r="DN20" s="2">
        <f t="shared" si="3"/>
        <v>0</v>
      </c>
      <c r="DO20" s="2">
        <f t="shared" si="3"/>
        <v>0</v>
      </c>
      <c r="DP20" s="2">
        <f t="shared" si="3"/>
        <v>0</v>
      </c>
      <c r="DQ20" s="2">
        <f t="shared" si="3"/>
        <v>0</v>
      </c>
      <c r="DR20" s="2">
        <f t="shared" si="7"/>
        <v>0</v>
      </c>
      <c r="DS20" s="2">
        <f t="shared" si="7"/>
        <v>0</v>
      </c>
      <c r="DT20" s="2">
        <f t="shared" si="7"/>
        <v>0</v>
      </c>
      <c r="DU20" s="2">
        <f t="shared" si="7"/>
        <v>0</v>
      </c>
      <c r="DV20" s="2">
        <f t="shared" si="7"/>
        <v>0</v>
      </c>
      <c r="DW20" s="2">
        <f t="shared" si="7"/>
        <v>0</v>
      </c>
      <c r="DX20" s="2">
        <f t="shared" si="7"/>
        <v>0</v>
      </c>
      <c r="DY20" s="2">
        <f t="shared" si="7"/>
        <v>0</v>
      </c>
      <c r="DZ20" s="2">
        <f t="shared" si="7"/>
        <v>0</v>
      </c>
      <c r="EA20" s="2">
        <f t="shared" si="7"/>
        <v>0</v>
      </c>
      <c r="EB20" s="2">
        <f t="shared" si="7"/>
        <v>0</v>
      </c>
      <c r="EC20" s="2">
        <f t="shared" si="7"/>
        <v>0</v>
      </c>
      <c r="ED20" s="2">
        <f t="shared" si="7"/>
        <v>0</v>
      </c>
      <c r="EE20" s="2">
        <f t="shared" si="7"/>
        <v>0</v>
      </c>
      <c r="EF20" s="2">
        <f t="shared" si="7"/>
        <v>0</v>
      </c>
      <c r="EG20" s="2">
        <f t="shared" si="7"/>
        <v>0</v>
      </c>
      <c r="EH20" s="2">
        <f t="shared" si="8"/>
        <v>0</v>
      </c>
      <c r="EI20" s="2">
        <f t="shared" si="8"/>
        <v>0</v>
      </c>
      <c r="EJ20" s="2">
        <f t="shared" si="8"/>
        <v>0</v>
      </c>
      <c r="EK20" s="2">
        <f t="shared" si="8"/>
        <v>0</v>
      </c>
      <c r="EL20" s="2">
        <f t="shared" si="8"/>
        <v>0</v>
      </c>
    </row>
    <row r="21" spans="1:142" ht="14.4" customHeight="1" x14ac:dyDescent="0.3">
      <c r="A21" s="329"/>
      <c r="B21" s="328"/>
      <c r="C21" s="328"/>
      <c r="D21" s="328"/>
      <c r="E21" s="328"/>
      <c r="F21" s="328"/>
      <c r="G21" s="328"/>
      <c r="H21" s="328"/>
      <c r="I21" s="328"/>
      <c r="J21" s="328"/>
      <c r="K21" s="328"/>
      <c r="L21" s="328"/>
      <c r="M21" s="328"/>
      <c r="N21" s="328"/>
      <c r="O21" s="328"/>
      <c r="P21" s="328"/>
      <c r="Q21" s="282"/>
      <c r="R21" s="73"/>
      <c r="S21" s="332"/>
      <c r="T21" s="333"/>
      <c r="U21" s="334"/>
      <c r="V21" s="91"/>
      <c r="W21" s="346"/>
      <c r="X21" s="347"/>
      <c r="Y21" s="92"/>
      <c r="Z21" s="93"/>
      <c r="AA21" s="93" t="s">
        <v>101</v>
      </c>
      <c r="AB21" s="93" t="str">
        <f t="shared" si="9"/>
        <v/>
      </c>
      <c r="AC21" s="93" t="str">
        <f t="shared" si="10"/>
        <v/>
      </c>
      <c r="AD21" s="348"/>
      <c r="AE21" s="349"/>
      <c r="AF21" s="94"/>
      <c r="AG21" s="94"/>
      <c r="AH21" s="94"/>
      <c r="AI21" s="94"/>
      <c r="AJ21" s="94"/>
      <c r="AK21" s="94"/>
      <c r="AL21" s="94"/>
      <c r="AM21" s="94"/>
      <c r="AN21" s="94"/>
      <c r="AO21" s="94"/>
      <c r="AP21" s="22"/>
      <c r="AQ21" s="100" t="str">
        <f t="shared" si="11"/>
        <v/>
      </c>
      <c r="AR21" s="287" t="str">
        <f t="shared" si="12"/>
        <v/>
      </c>
      <c r="AS21" s="288"/>
      <c r="AT21" s="37" t="str">
        <f t="shared" si="13"/>
        <v/>
      </c>
      <c r="AU21" s="37" t="str">
        <f t="shared" si="14"/>
        <v/>
      </c>
      <c r="AV21" s="37" t="str">
        <f t="shared" si="15"/>
        <v/>
      </c>
      <c r="AW21" s="38" t="str">
        <f t="shared" si="16"/>
        <v>-</v>
      </c>
      <c r="AX21" s="38" t="str">
        <f t="shared" si="17"/>
        <v/>
      </c>
      <c r="AY21" s="38" t="str">
        <f t="shared" si="18"/>
        <v/>
      </c>
      <c r="AZ21" s="39"/>
      <c r="BA21" s="39"/>
      <c r="BB21" s="39"/>
      <c r="BC21" s="39"/>
      <c r="BD21" s="39"/>
      <c r="BE21" s="39"/>
      <c r="BF21" s="39"/>
      <c r="BG21" s="39"/>
      <c r="BH21" s="39"/>
      <c r="BI21" s="39"/>
      <c r="BJ21" s="39"/>
      <c r="BK21" s="40"/>
      <c r="BL21" s="173"/>
      <c r="BM21" s="174"/>
      <c r="BN21" s="175"/>
      <c r="BO21" s="174"/>
      <c r="BP21" s="174"/>
      <c r="BQ21" s="175"/>
      <c r="BR21" s="174"/>
      <c r="BS21" s="174"/>
      <c r="BT21" s="174"/>
      <c r="BU21" s="174"/>
      <c r="BV21" s="174"/>
      <c r="BW21" s="174"/>
      <c r="BX21" s="175"/>
      <c r="BY21" s="122"/>
      <c r="BZ21" s="123"/>
      <c r="CA21" s="123"/>
      <c r="CB21" s="124"/>
      <c r="CC21" s="122"/>
      <c r="CD21" s="123"/>
      <c r="CE21" s="123"/>
      <c r="CF21" s="215"/>
      <c r="CG21" s="2">
        <f t="shared" si="0"/>
        <v>0</v>
      </c>
      <c r="CH21" s="2">
        <f t="shared" si="0"/>
        <v>0</v>
      </c>
      <c r="CI21" s="2">
        <f t="shared" si="1"/>
        <v>0</v>
      </c>
      <c r="CJ21" s="2">
        <f t="shared" si="1"/>
        <v>0</v>
      </c>
      <c r="CK21" s="2" t="str">
        <f t="shared" si="1"/>
        <v>-</v>
      </c>
      <c r="CL21" s="2" t="str">
        <f t="shared" si="1"/>
        <v/>
      </c>
      <c r="CM21" s="2" t="str">
        <f t="shared" si="1"/>
        <v/>
      </c>
      <c r="CN21" s="2">
        <f t="shared" si="1"/>
        <v>0</v>
      </c>
      <c r="CO21" s="2">
        <f t="shared" si="2"/>
        <v>0</v>
      </c>
      <c r="CP21" s="2">
        <f t="shared" si="2"/>
        <v>0</v>
      </c>
      <c r="CQ21" s="2">
        <f t="shared" si="2"/>
        <v>0</v>
      </c>
      <c r="CR21" s="2">
        <f t="shared" si="2"/>
        <v>0</v>
      </c>
      <c r="CS21" s="2">
        <f t="shared" si="2"/>
        <v>0</v>
      </c>
      <c r="CT21" s="2">
        <f t="shared" si="2"/>
        <v>0</v>
      </c>
      <c r="CU21" s="2">
        <f t="shared" si="2"/>
        <v>0</v>
      </c>
      <c r="CV21" s="2">
        <f t="shared" si="2"/>
        <v>0</v>
      </c>
      <c r="CW21" s="2">
        <f t="shared" si="2"/>
        <v>0</v>
      </c>
      <c r="CX21" s="2">
        <f t="shared" si="2"/>
        <v>0</v>
      </c>
      <c r="DF21" s="2">
        <f t="shared" si="5"/>
        <v>0</v>
      </c>
      <c r="DG21" s="2">
        <f t="shared" si="3"/>
        <v>0</v>
      </c>
      <c r="DH21" s="2">
        <f t="shared" si="3"/>
        <v>0</v>
      </c>
      <c r="DI21" s="2">
        <f t="shared" si="3"/>
        <v>0</v>
      </c>
      <c r="DJ21" s="2">
        <f t="shared" si="3"/>
        <v>0</v>
      </c>
      <c r="DK21" s="2">
        <f t="shared" si="3"/>
        <v>0</v>
      </c>
      <c r="DL21" s="2">
        <f t="shared" si="3"/>
        <v>0</v>
      </c>
      <c r="DM21" s="2">
        <f t="shared" si="3"/>
        <v>0</v>
      </c>
      <c r="DN21" s="2">
        <f t="shared" si="3"/>
        <v>0</v>
      </c>
      <c r="DO21" s="2">
        <f t="shared" si="3"/>
        <v>0</v>
      </c>
      <c r="DP21" s="2">
        <f t="shared" si="3"/>
        <v>0</v>
      </c>
      <c r="DQ21" s="2">
        <f t="shared" si="3"/>
        <v>0</v>
      </c>
      <c r="DR21" s="2">
        <f t="shared" si="7"/>
        <v>0</v>
      </c>
      <c r="DS21" s="2">
        <f t="shared" si="7"/>
        <v>0</v>
      </c>
      <c r="DT21" s="2">
        <f t="shared" si="7"/>
        <v>0</v>
      </c>
      <c r="DU21" s="2">
        <f t="shared" si="7"/>
        <v>0</v>
      </c>
      <c r="DV21" s="2">
        <f t="shared" si="7"/>
        <v>0</v>
      </c>
      <c r="DW21" s="2">
        <f t="shared" si="7"/>
        <v>0</v>
      </c>
      <c r="DX21" s="2">
        <f t="shared" si="7"/>
        <v>0</v>
      </c>
      <c r="DY21" s="2">
        <f t="shared" si="7"/>
        <v>0</v>
      </c>
      <c r="DZ21" s="2">
        <f t="shared" si="7"/>
        <v>0</v>
      </c>
      <c r="EA21" s="2">
        <f t="shared" si="7"/>
        <v>0</v>
      </c>
      <c r="EB21" s="2">
        <f t="shared" si="7"/>
        <v>0</v>
      </c>
      <c r="EC21" s="2">
        <f t="shared" si="7"/>
        <v>0</v>
      </c>
      <c r="ED21" s="2">
        <f t="shared" si="7"/>
        <v>0</v>
      </c>
      <c r="EE21" s="2">
        <f t="shared" si="7"/>
        <v>0</v>
      </c>
      <c r="EF21" s="2">
        <f t="shared" si="7"/>
        <v>0</v>
      </c>
      <c r="EG21" s="2">
        <f t="shared" si="7"/>
        <v>0</v>
      </c>
      <c r="EH21" s="2">
        <f t="shared" si="8"/>
        <v>0</v>
      </c>
      <c r="EI21" s="2">
        <f t="shared" si="8"/>
        <v>0</v>
      </c>
      <c r="EJ21" s="2">
        <f t="shared" si="8"/>
        <v>0</v>
      </c>
      <c r="EK21" s="2">
        <f t="shared" si="8"/>
        <v>0</v>
      </c>
      <c r="EL21" s="2">
        <f t="shared" si="8"/>
        <v>0</v>
      </c>
    </row>
    <row r="22" spans="1:142" ht="14.4" customHeight="1" x14ac:dyDescent="0.3">
      <c r="A22" s="329"/>
      <c r="B22" s="328"/>
      <c r="C22" s="328"/>
      <c r="D22" s="328"/>
      <c r="E22" s="328"/>
      <c r="F22" s="328"/>
      <c r="G22" s="328"/>
      <c r="H22" s="328"/>
      <c r="I22" s="328"/>
      <c r="J22" s="328"/>
      <c r="K22" s="328"/>
      <c r="L22" s="328"/>
      <c r="M22" s="328"/>
      <c r="N22" s="328"/>
      <c r="O22" s="328"/>
      <c r="P22" s="328"/>
      <c r="Q22" s="282"/>
      <c r="R22" s="73"/>
      <c r="S22" s="332"/>
      <c r="T22" s="333"/>
      <c r="U22" s="334"/>
      <c r="V22" s="91"/>
      <c r="W22" s="346"/>
      <c r="X22" s="347"/>
      <c r="Y22" s="92"/>
      <c r="Z22" s="93"/>
      <c r="AA22" s="93" t="s">
        <v>101</v>
      </c>
      <c r="AB22" s="93" t="str">
        <f t="shared" si="9"/>
        <v/>
      </c>
      <c r="AC22" s="93" t="str">
        <f t="shared" si="10"/>
        <v/>
      </c>
      <c r="AD22" s="348"/>
      <c r="AE22" s="349"/>
      <c r="AF22" s="94"/>
      <c r="AG22" s="94"/>
      <c r="AH22" s="94"/>
      <c r="AI22" s="94"/>
      <c r="AJ22" s="94"/>
      <c r="AK22" s="94"/>
      <c r="AL22" s="94"/>
      <c r="AM22" s="94"/>
      <c r="AN22" s="94"/>
      <c r="AO22" s="94"/>
      <c r="AP22" s="22"/>
      <c r="AQ22" s="100" t="str">
        <f t="shared" si="11"/>
        <v/>
      </c>
      <c r="AR22" s="287" t="str">
        <f t="shared" si="12"/>
        <v/>
      </c>
      <c r="AS22" s="288"/>
      <c r="AT22" s="37" t="str">
        <f t="shared" si="13"/>
        <v/>
      </c>
      <c r="AU22" s="37" t="str">
        <f t="shared" si="14"/>
        <v/>
      </c>
      <c r="AV22" s="37" t="str">
        <f t="shared" si="15"/>
        <v/>
      </c>
      <c r="AW22" s="38" t="str">
        <f t="shared" si="16"/>
        <v>-</v>
      </c>
      <c r="AX22" s="38" t="str">
        <f t="shared" si="17"/>
        <v/>
      </c>
      <c r="AY22" s="38" t="str">
        <f t="shared" si="18"/>
        <v/>
      </c>
      <c r="AZ22" s="39"/>
      <c r="BA22" s="39"/>
      <c r="BB22" s="39"/>
      <c r="BC22" s="39"/>
      <c r="BD22" s="39"/>
      <c r="BE22" s="39"/>
      <c r="BF22" s="39"/>
      <c r="BG22" s="39"/>
      <c r="BH22" s="39"/>
      <c r="BI22" s="39"/>
      <c r="BJ22" s="39"/>
      <c r="BK22" s="40"/>
      <c r="BL22" s="173"/>
      <c r="BM22" s="174"/>
      <c r="BN22" s="175"/>
      <c r="BO22" s="174"/>
      <c r="BP22" s="174"/>
      <c r="BQ22" s="175"/>
      <c r="BR22" s="174"/>
      <c r="BS22" s="174"/>
      <c r="BT22" s="174"/>
      <c r="BU22" s="174"/>
      <c r="BV22" s="174"/>
      <c r="BW22" s="174"/>
      <c r="BX22" s="175"/>
      <c r="BY22" s="122"/>
      <c r="BZ22" s="123"/>
      <c r="CA22" s="123"/>
      <c r="CB22" s="124"/>
      <c r="CC22" s="122"/>
      <c r="CD22" s="123"/>
      <c r="CE22" s="123"/>
      <c r="CF22" s="215"/>
      <c r="CG22" s="2">
        <f t="shared" si="0"/>
        <v>0</v>
      </c>
      <c r="CH22" s="2">
        <f t="shared" si="0"/>
        <v>0</v>
      </c>
      <c r="CI22" s="2">
        <f t="shared" si="1"/>
        <v>0</v>
      </c>
      <c r="CJ22" s="2">
        <f t="shared" si="1"/>
        <v>0</v>
      </c>
      <c r="CK22" s="2" t="str">
        <f t="shared" si="1"/>
        <v>-</v>
      </c>
      <c r="CL22" s="2" t="str">
        <f t="shared" si="1"/>
        <v/>
      </c>
      <c r="CM22" s="2" t="str">
        <f t="shared" si="1"/>
        <v/>
      </c>
      <c r="CN22" s="2">
        <f t="shared" si="1"/>
        <v>0</v>
      </c>
      <c r="CO22" s="2">
        <f t="shared" si="2"/>
        <v>0</v>
      </c>
      <c r="CP22" s="2">
        <f t="shared" si="2"/>
        <v>0</v>
      </c>
      <c r="CQ22" s="2">
        <f t="shared" si="2"/>
        <v>0</v>
      </c>
      <c r="CR22" s="2">
        <f t="shared" si="2"/>
        <v>0</v>
      </c>
      <c r="CS22" s="2">
        <f t="shared" si="2"/>
        <v>0</v>
      </c>
      <c r="CT22" s="2">
        <f t="shared" si="2"/>
        <v>0</v>
      </c>
      <c r="CU22" s="2">
        <f t="shared" si="2"/>
        <v>0</v>
      </c>
      <c r="CV22" s="2">
        <f t="shared" si="2"/>
        <v>0</v>
      </c>
      <c r="CW22" s="2">
        <f t="shared" si="2"/>
        <v>0</v>
      </c>
      <c r="CX22" s="2">
        <f t="shared" si="2"/>
        <v>0</v>
      </c>
      <c r="DF22" s="2">
        <f t="shared" si="5"/>
        <v>0</v>
      </c>
      <c r="DG22" s="2">
        <f t="shared" si="3"/>
        <v>0</v>
      </c>
      <c r="DH22" s="2">
        <f t="shared" si="3"/>
        <v>0</v>
      </c>
      <c r="DI22" s="2">
        <f t="shared" si="3"/>
        <v>0</v>
      </c>
      <c r="DJ22" s="2">
        <f t="shared" si="3"/>
        <v>0</v>
      </c>
      <c r="DK22" s="2">
        <f t="shared" si="3"/>
        <v>0</v>
      </c>
      <c r="DL22" s="2">
        <f t="shared" si="3"/>
        <v>0</v>
      </c>
      <c r="DM22" s="2">
        <f t="shared" si="3"/>
        <v>0</v>
      </c>
      <c r="DN22" s="2">
        <f t="shared" si="3"/>
        <v>0</v>
      </c>
      <c r="DO22" s="2">
        <f t="shared" si="3"/>
        <v>0</v>
      </c>
      <c r="DP22" s="2">
        <f t="shared" si="3"/>
        <v>0</v>
      </c>
      <c r="DQ22" s="2">
        <f t="shared" si="3"/>
        <v>0</v>
      </c>
      <c r="DR22" s="2">
        <f t="shared" si="7"/>
        <v>0</v>
      </c>
      <c r="DS22" s="2">
        <f t="shared" si="7"/>
        <v>0</v>
      </c>
      <c r="DT22" s="2">
        <f t="shared" si="7"/>
        <v>0</v>
      </c>
      <c r="DU22" s="2">
        <f t="shared" si="7"/>
        <v>0</v>
      </c>
      <c r="DV22" s="2">
        <f t="shared" si="7"/>
        <v>0</v>
      </c>
      <c r="DW22" s="2">
        <f t="shared" si="7"/>
        <v>0</v>
      </c>
      <c r="DX22" s="2">
        <f t="shared" si="7"/>
        <v>0</v>
      </c>
      <c r="DY22" s="2">
        <f t="shared" si="7"/>
        <v>0</v>
      </c>
      <c r="DZ22" s="2">
        <f t="shared" si="7"/>
        <v>0</v>
      </c>
      <c r="EA22" s="2">
        <f t="shared" si="7"/>
        <v>0</v>
      </c>
      <c r="EB22" s="2">
        <f t="shared" si="7"/>
        <v>0</v>
      </c>
      <c r="EC22" s="2">
        <f t="shared" si="7"/>
        <v>0</v>
      </c>
      <c r="ED22" s="2">
        <f t="shared" si="7"/>
        <v>0</v>
      </c>
      <c r="EE22" s="2">
        <f t="shared" si="7"/>
        <v>0</v>
      </c>
      <c r="EF22" s="2">
        <f t="shared" si="7"/>
        <v>0</v>
      </c>
      <c r="EG22" s="2">
        <f t="shared" si="7"/>
        <v>0</v>
      </c>
      <c r="EH22" s="2">
        <f t="shared" si="8"/>
        <v>0</v>
      </c>
      <c r="EI22" s="2">
        <f t="shared" si="8"/>
        <v>0</v>
      </c>
      <c r="EJ22" s="2">
        <f t="shared" si="8"/>
        <v>0</v>
      </c>
      <c r="EK22" s="2">
        <f t="shared" si="8"/>
        <v>0</v>
      </c>
      <c r="EL22" s="2">
        <f t="shared" si="8"/>
        <v>0</v>
      </c>
    </row>
    <row r="23" spans="1:142" ht="14.4" customHeight="1" x14ac:dyDescent="0.3">
      <c r="A23" s="329"/>
      <c r="B23" s="328"/>
      <c r="C23" s="328"/>
      <c r="D23" s="328"/>
      <c r="E23" s="328"/>
      <c r="F23" s="328"/>
      <c r="G23" s="328"/>
      <c r="H23" s="328"/>
      <c r="I23" s="328"/>
      <c r="J23" s="328"/>
      <c r="K23" s="328"/>
      <c r="L23" s="328"/>
      <c r="M23" s="328"/>
      <c r="N23" s="328"/>
      <c r="O23" s="328"/>
      <c r="P23" s="328"/>
      <c r="Q23" s="282"/>
      <c r="R23" s="73"/>
      <c r="S23" s="332"/>
      <c r="T23" s="333"/>
      <c r="U23" s="334"/>
      <c r="V23" s="91"/>
      <c r="W23" s="346"/>
      <c r="X23" s="347"/>
      <c r="Y23" s="92"/>
      <c r="Z23" s="93"/>
      <c r="AA23" s="93" t="s">
        <v>101</v>
      </c>
      <c r="AB23" s="93" t="str">
        <f t="shared" si="9"/>
        <v/>
      </c>
      <c r="AC23" s="93" t="str">
        <f t="shared" si="10"/>
        <v/>
      </c>
      <c r="AD23" s="348"/>
      <c r="AE23" s="349"/>
      <c r="AF23" s="94"/>
      <c r="AG23" s="94"/>
      <c r="AH23" s="94"/>
      <c r="AI23" s="94"/>
      <c r="AJ23" s="94"/>
      <c r="AK23" s="94"/>
      <c r="AL23" s="94"/>
      <c r="AM23" s="94"/>
      <c r="AN23" s="94"/>
      <c r="AO23" s="94"/>
      <c r="AP23" s="22"/>
      <c r="AQ23" s="100" t="str">
        <f t="shared" si="11"/>
        <v/>
      </c>
      <c r="AR23" s="287" t="str">
        <f t="shared" si="12"/>
        <v/>
      </c>
      <c r="AS23" s="288"/>
      <c r="AT23" s="37" t="str">
        <f t="shared" si="13"/>
        <v/>
      </c>
      <c r="AU23" s="37" t="str">
        <f t="shared" si="14"/>
        <v/>
      </c>
      <c r="AV23" s="37" t="str">
        <f t="shared" si="15"/>
        <v/>
      </c>
      <c r="AW23" s="38" t="str">
        <f t="shared" si="16"/>
        <v>-</v>
      </c>
      <c r="AX23" s="38" t="str">
        <f t="shared" si="17"/>
        <v/>
      </c>
      <c r="AY23" s="38" t="str">
        <f t="shared" si="18"/>
        <v/>
      </c>
      <c r="AZ23" s="39"/>
      <c r="BA23" s="39"/>
      <c r="BB23" s="39"/>
      <c r="BC23" s="39"/>
      <c r="BD23" s="39"/>
      <c r="BE23" s="39"/>
      <c r="BF23" s="39"/>
      <c r="BG23" s="39"/>
      <c r="BH23" s="39"/>
      <c r="BI23" s="39"/>
      <c r="BJ23" s="39"/>
      <c r="BK23" s="40"/>
      <c r="BL23" s="173"/>
      <c r="BM23" s="174"/>
      <c r="BN23" s="175"/>
      <c r="BO23" s="174"/>
      <c r="BP23" s="174"/>
      <c r="BQ23" s="175"/>
      <c r="BR23" s="174"/>
      <c r="BS23" s="174"/>
      <c r="BT23" s="174"/>
      <c r="BU23" s="174"/>
      <c r="BV23" s="174"/>
      <c r="BW23" s="174"/>
      <c r="BX23" s="175"/>
      <c r="BY23" s="122"/>
      <c r="BZ23" s="123"/>
      <c r="CA23" s="123"/>
      <c r="CB23" s="124"/>
      <c r="CC23" s="122"/>
      <c r="CD23" s="123"/>
      <c r="CE23" s="123"/>
      <c r="CF23" s="215"/>
      <c r="CG23" s="2">
        <f>V63</f>
        <v>0</v>
      </c>
      <c r="CH23" s="2">
        <f t="shared" ref="CH23:CH34" si="19">W63</f>
        <v>0</v>
      </c>
      <c r="CI23" s="2">
        <f t="shared" ref="CI23:CN34" si="20">Y63</f>
        <v>0</v>
      </c>
      <c r="CJ23" s="2">
        <f t="shared" si="20"/>
        <v>0</v>
      </c>
      <c r="CK23" s="2">
        <f t="shared" si="20"/>
        <v>0</v>
      </c>
      <c r="CL23" s="2" t="str">
        <f t="shared" si="20"/>
        <v/>
      </c>
      <c r="CM23" s="2" t="str">
        <f t="shared" si="20"/>
        <v/>
      </c>
      <c r="CN23" s="2">
        <f t="shared" si="20"/>
        <v>0</v>
      </c>
      <c r="CO23" s="2">
        <f t="shared" ref="CO23:CX34" si="21">AF63</f>
        <v>0</v>
      </c>
      <c r="CP23" s="2">
        <f t="shared" si="21"/>
        <v>0</v>
      </c>
      <c r="CQ23" s="2">
        <f t="shared" si="21"/>
        <v>0</v>
      </c>
      <c r="CR23" s="2">
        <f t="shared" si="21"/>
        <v>0</v>
      </c>
      <c r="CS23" s="2">
        <f t="shared" si="21"/>
        <v>0</v>
      </c>
      <c r="CT23" s="2">
        <f t="shared" si="21"/>
        <v>0</v>
      </c>
      <c r="CU23" s="2">
        <f t="shared" si="21"/>
        <v>0</v>
      </c>
      <c r="CV23" s="2">
        <f t="shared" si="21"/>
        <v>0</v>
      </c>
      <c r="CW23" s="2">
        <f t="shared" si="21"/>
        <v>0</v>
      </c>
      <c r="CX23" s="2">
        <f t="shared" si="21"/>
        <v>0</v>
      </c>
      <c r="DF23" s="2">
        <f>AZ62</f>
        <v>0</v>
      </c>
      <c r="DG23" s="2">
        <f t="shared" ref="DG23:DQ34" si="22">BA62</f>
        <v>0</v>
      </c>
      <c r="DH23" s="2">
        <f t="shared" si="22"/>
        <v>0</v>
      </c>
      <c r="DI23" s="2">
        <f t="shared" si="22"/>
        <v>0</v>
      </c>
      <c r="DJ23" s="2">
        <f t="shared" si="22"/>
        <v>0</v>
      </c>
      <c r="DK23" s="2">
        <f t="shared" si="22"/>
        <v>0</v>
      </c>
      <c r="DL23" s="2">
        <f t="shared" si="22"/>
        <v>0</v>
      </c>
      <c r="DM23" s="2">
        <f t="shared" si="22"/>
        <v>0</v>
      </c>
      <c r="DN23" s="2">
        <f t="shared" si="22"/>
        <v>0</v>
      </c>
      <c r="DO23" s="2">
        <f t="shared" si="22"/>
        <v>0</v>
      </c>
      <c r="DP23" s="2">
        <f t="shared" si="22"/>
        <v>0</v>
      </c>
      <c r="DQ23" s="2">
        <f t="shared" si="22"/>
        <v>0</v>
      </c>
      <c r="DR23" s="2">
        <f>AQ75</f>
        <v>0</v>
      </c>
      <c r="DS23" s="2">
        <f t="shared" ref="DS23:EL34" si="23">AR75</f>
        <v>0</v>
      </c>
      <c r="DT23" s="2">
        <f t="shared" si="23"/>
        <v>0</v>
      </c>
      <c r="DU23" s="2">
        <f t="shared" si="23"/>
        <v>0</v>
      </c>
      <c r="DV23" s="2">
        <f t="shared" si="23"/>
        <v>0</v>
      </c>
      <c r="DW23" s="2">
        <f t="shared" si="23"/>
        <v>0</v>
      </c>
      <c r="DX23" s="2">
        <f t="shared" si="23"/>
        <v>0</v>
      </c>
      <c r="DY23" s="2">
        <f t="shared" si="23"/>
        <v>0</v>
      </c>
      <c r="DZ23" s="2">
        <f t="shared" si="23"/>
        <v>0</v>
      </c>
      <c r="EA23" s="2">
        <f t="shared" si="23"/>
        <v>0</v>
      </c>
      <c r="EB23" s="2">
        <f t="shared" si="23"/>
        <v>0</v>
      </c>
      <c r="EC23" s="2">
        <f t="shared" si="23"/>
        <v>0</v>
      </c>
      <c r="ED23" s="2">
        <f t="shared" si="23"/>
        <v>0</v>
      </c>
      <c r="EE23" s="2">
        <f t="shared" si="23"/>
        <v>0</v>
      </c>
      <c r="EF23" s="2">
        <f t="shared" si="23"/>
        <v>0</v>
      </c>
      <c r="EG23" s="2">
        <f t="shared" si="23"/>
        <v>0</v>
      </c>
      <c r="EH23" s="2">
        <f t="shared" si="23"/>
        <v>0</v>
      </c>
      <c r="EI23" s="2">
        <f t="shared" si="23"/>
        <v>0</v>
      </c>
      <c r="EJ23" s="2">
        <f t="shared" si="23"/>
        <v>0</v>
      </c>
      <c r="EK23" s="2">
        <f t="shared" si="23"/>
        <v>0</v>
      </c>
      <c r="EL23" s="2">
        <f t="shared" si="23"/>
        <v>0</v>
      </c>
    </row>
    <row r="24" spans="1:142" ht="14.4" customHeight="1" x14ac:dyDescent="0.3">
      <c r="A24" s="329"/>
      <c r="B24" s="328"/>
      <c r="C24" s="328"/>
      <c r="D24" s="328"/>
      <c r="E24" s="328"/>
      <c r="F24" s="328"/>
      <c r="G24" s="328"/>
      <c r="H24" s="328"/>
      <c r="I24" s="328"/>
      <c r="J24" s="328"/>
      <c r="K24" s="328"/>
      <c r="L24" s="328"/>
      <c r="M24" s="328"/>
      <c r="N24" s="328"/>
      <c r="O24" s="328"/>
      <c r="P24" s="328"/>
      <c r="Q24" s="282"/>
      <c r="R24" s="73"/>
      <c r="S24" s="332"/>
      <c r="T24" s="333"/>
      <c r="U24" s="334"/>
      <c r="V24" s="91"/>
      <c r="W24" s="346"/>
      <c r="X24" s="347"/>
      <c r="Y24" s="92"/>
      <c r="Z24" s="93"/>
      <c r="AA24" s="93" t="s">
        <v>101</v>
      </c>
      <c r="AB24" s="93" t="str">
        <f t="shared" si="9"/>
        <v/>
      </c>
      <c r="AC24" s="93" t="str">
        <f t="shared" si="10"/>
        <v/>
      </c>
      <c r="AD24" s="348"/>
      <c r="AE24" s="349"/>
      <c r="AF24" s="94"/>
      <c r="AG24" s="94"/>
      <c r="AH24" s="94"/>
      <c r="AI24" s="94"/>
      <c r="AJ24" s="94"/>
      <c r="AK24" s="94"/>
      <c r="AL24" s="94"/>
      <c r="AM24" s="94"/>
      <c r="AN24" s="94"/>
      <c r="AO24" s="94"/>
      <c r="AP24" s="22"/>
      <c r="AQ24" s="100" t="str">
        <f t="shared" si="11"/>
        <v/>
      </c>
      <c r="AR24" s="287" t="str">
        <f t="shared" si="12"/>
        <v/>
      </c>
      <c r="AS24" s="288"/>
      <c r="AT24" s="37" t="str">
        <f t="shared" si="13"/>
        <v/>
      </c>
      <c r="AU24" s="37" t="str">
        <f t="shared" si="14"/>
        <v/>
      </c>
      <c r="AV24" s="37" t="str">
        <f t="shared" si="15"/>
        <v/>
      </c>
      <c r="AW24" s="38" t="str">
        <f t="shared" si="16"/>
        <v>-</v>
      </c>
      <c r="AX24" s="38" t="str">
        <f t="shared" si="17"/>
        <v/>
      </c>
      <c r="AY24" s="38" t="str">
        <f t="shared" si="18"/>
        <v/>
      </c>
      <c r="AZ24" s="39"/>
      <c r="BA24" s="39"/>
      <c r="BB24" s="39"/>
      <c r="BC24" s="39"/>
      <c r="BD24" s="39"/>
      <c r="BE24" s="39"/>
      <c r="BF24" s="39"/>
      <c r="BG24" s="39"/>
      <c r="BH24" s="39"/>
      <c r="BI24" s="39"/>
      <c r="BJ24" s="39"/>
      <c r="BK24" s="40"/>
      <c r="BL24" s="173"/>
      <c r="BM24" s="174"/>
      <c r="BN24" s="175"/>
      <c r="BO24" s="174"/>
      <c r="BP24" s="174"/>
      <c r="BQ24" s="175"/>
      <c r="BR24" s="174"/>
      <c r="BS24" s="174"/>
      <c r="BT24" s="174"/>
      <c r="BU24" s="174"/>
      <c r="BV24" s="174"/>
      <c r="BW24" s="174"/>
      <c r="BX24" s="175"/>
      <c r="BY24" s="122"/>
      <c r="BZ24" s="123"/>
      <c r="CA24" s="123"/>
      <c r="CB24" s="124"/>
      <c r="CC24" s="122"/>
      <c r="CD24" s="123"/>
      <c r="CE24" s="123"/>
      <c r="CF24" s="215"/>
      <c r="CG24" s="2">
        <f t="shared" ref="CG24:CG34" si="24">V64</f>
        <v>0</v>
      </c>
      <c r="CH24" s="2">
        <f t="shared" si="19"/>
        <v>0</v>
      </c>
      <c r="CI24" s="2">
        <f t="shared" si="20"/>
        <v>0</v>
      </c>
      <c r="CJ24" s="2">
        <f t="shared" si="20"/>
        <v>0</v>
      </c>
      <c r="CK24" s="2">
        <f t="shared" si="20"/>
        <v>0</v>
      </c>
      <c r="CL24" s="2" t="str">
        <f t="shared" si="20"/>
        <v/>
      </c>
      <c r="CM24" s="2" t="str">
        <f t="shared" si="20"/>
        <v/>
      </c>
      <c r="CN24" s="2">
        <f t="shared" si="20"/>
        <v>0</v>
      </c>
      <c r="CO24" s="2">
        <f t="shared" si="21"/>
        <v>0</v>
      </c>
      <c r="CP24" s="2">
        <f t="shared" si="21"/>
        <v>0</v>
      </c>
      <c r="CQ24" s="2">
        <f t="shared" si="21"/>
        <v>0</v>
      </c>
      <c r="CR24" s="2">
        <f t="shared" si="21"/>
        <v>0</v>
      </c>
      <c r="CS24" s="2">
        <f t="shared" si="21"/>
        <v>0</v>
      </c>
      <c r="CT24" s="2">
        <f t="shared" si="21"/>
        <v>0</v>
      </c>
      <c r="CU24" s="2">
        <f t="shared" si="21"/>
        <v>0</v>
      </c>
      <c r="CV24" s="2">
        <f t="shared" si="21"/>
        <v>0</v>
      </c>
      <c r="CW24" s="2">
        <f t="shared" si="21"/>
        <v>0</v>
      </c>
      <c r="CX24" s="2">
        <f t="shared" si="21"/>
        <v>0</v>
      </c>
      <c r="DF24" s="2">
        <f t="shared" ref="DF24:DF34" si="25">AZ63</f>
        <v>0</v>
      </c>
      <c r="DG24" s="2">
        <f t="shared" si="22"/>
        <v>0</v>
      </c>
      <c r="DH24" s="2">
        <f t="shared" si="22"/>
        <v>0</v>
      </c>
      <c r="DI24" s="2">
        <f t="shared" si="22"/>
        <v>0</v>
      </c>
      <c r="DJ24" s="2">
        <f t="shared" si="22"/>
        <v>0</v>
      </c>
      <c r="DK24" s="2">
        <f t="shared" si="22"/>
        <v>0</v>
      </c>
      <c r="DL24" s="2">
        <f t="shared" si="22"/>
        <v>0</v>
      </c>
      <c r="DM24" s="2">
        <f t="shared" si="22"/>
        <v>0</v>
      </c>
      <c r="DN24" s="2">
        <f t="shared" si="22"/>
        <v>0</v>
      </c>
      <c r="DO24" s="2">
        <f t="shared" si="22"/>
        <v>0</v>
      </c>
      <c r="DP24" s="2">
        <f t="shared" si="22"/>
        <v>0</v>
      </c>
      <c r="DQ24" s="2">
        <f t="shared" si="22"/>
        <v>0</v>
      </c>
      <c r="DR24" s="2">
        <f t="shared" ref="DR24:DR34" si="26">AQ76</f>
        <v>0</v>
      </c>
      <c r="DS24" s="2">
        <f t="shared" si="23"/>
        <v>0</v>
      </c>
      <c r="DT24" s="2">
        <f t="shared" si="23"/>
        <v>0</v>
      </c>
      <c r="DU24" s="2">
        <f t="shared" si="23"/>
        <v>0</v>
      </c>
      <c r="DV24" s="2">
        <f t="shared" si="23"/>
        <v>0</v>
      </c>
      <c r="DW24" s="2">
        <f t="shared" si="23"/>
        <v>0</v>
      </c>
      <c r="DX24" s="2">
        <f t="shared" si="23"/>
        <v>0</v>
      </c>
      <c r="DY24" s="2">
        <f t="shared" si="23"/>
        <v>0</v>
      </c>
      <c r="DZ24" s="2">
        <f t="shared" si="23"/>
        <v>0</v>
      </c>
      <c r="EA24" s="2">
        <f t="shared" si="23"/>
        <v>0</v>
      </c>
      <c r="EB24" s="2">
        <f t="shared" si="23"/>
        <v>0</v>
      </c>
      <c r="EC24" s="2">
        <f t="shared" si="23"/>
        <v>0</v>
      </c>
      <c r="ED24" s="2">
        <f t="shared" si="23"/>
        <v>0</v>
      </c>
      <c r="EE24" s="2">
        <f t="shared" si="23"/>
        <v>0</v>
      </c>
      <c r="EF24" s="2">
        <f t="shared" si="23"/>
        <v>0</v>
      </c>
      <c r="EG24" s="2">
        <f t="shared" si="23"/>
        <v>0</v>
      </c>
      <c r="EH24" s="2">
        <f t="shared" si="23"/>
        <v>0</v>
      </c>
      <c r="EI24" s="2">
        <f t="shared" si="23"/>
        <v>0</v>
      </c>
      <c r="EJ24" s="2">
        <f t="shared" si="23"/>
        <v>0</v>
      </c>
      <c r="EK24" s="2">
        <f t="shared" si="23"/>
        <v>0</v>
      </c>
      <c r="EL24" s="2">
        <f t="shared" si="23"/>
        <v>0</v>
      </c>
    </row>
    <row r="25" spans="1:142" ht="14.4" customHeight="1" x14ac:dyDescent="0.3">
      <c r="A25" s="329"/>
      <c r="B25" s="328"/>
      <c r="C25" s="328"/>
      <c r="D25" s="328"/>
      <c r="E25" s="328"/>
      <c r="F25" s="328"/>
      <c r="G25" s="328"/>
      <c r="H25" s="328"/>
      <c r="I25" s="328"/>
      <c r="J25" s="328"/>
      <c r="K25" s="328"/>
      <c r="L25" s="328"/>
      <c r="M25" s="328"/>
      <c r="N25" s="328"/>
      <c r="O25" s="328"/>
      <c r="P25" s="328"/>
      <c r="Q25" s="282"/>
      <c r="R25" s="73"/>
      <c r="S25" s="332"/>
      <c r="T25" s="333"/>
      <c r="U25" s="334"/>
      <c r="V25" s="91"/>
      <c r="W25" s="346"/>
      <c r="X25" s="347"/>
      <c r="Y25" s="92"/>
      <c r="Z25" s="93"/>
      <c r="AA25" s="93" t="s">
        <v>101</v>
      </c>
      <c r="AB25" s="93" t="str">
        <f t="shared" si="9"/>
        <v/>
      </c>
      <c r="AC25" s="93" t="str">
        <f t="shared" si="10"/>
        <v/>
      </c>
      <c r="AD25" s="348"/>
      <c r="AE25" s="349"/>
      <c r="AF25" s="94"/>
      <c r="AG25" s="94"/>
      <c r="AH25" s="94"/>
      <c r="AI25" s="94"/>
      <c r="AJ25" s="94"/>
      <c r="AK25" s="94"/>
      <c r="AL25" s="94"/>
      <c r="AM25" s="94"/>
      <c r="AN25" s="94"/>
      <c r="AO25" s="94"/>
      <c r="AP25" s="22"/>
      <c r="AQ25" s="100" t="str">
        <f t="shared" si="11"/>
        <v/>
      </c>
      <c r="AR25" s="287" t="str">
        <f t="shared" si="12"/>
        <v/>
      </c>
      <c r="AS25" s="288"/>
      <c r="AT25" s="37" t="str">
        <f t="shared" si="13"/>
        <v/>
      </c>
      <c r="AU25" s="37" t="str">
        <f t="shared" si="14"/>
        <v/>
      </c>
      <c r="AV25" s="37" t="str">
        <f t="shared" si="15"/>
        <v/>
      </c>
      <c r="AW25" s="38" t="str">
        <f t="shared" si="16"/>
        <v>-</v>
      </c>
      <c r="AX25" s="38" t="str">
        <f t="shared" si="17"/>
        <v/>
      </c>
      <c r="AY25" s="38" t="str">
        <f t="shared" si="18"/>
        <v/>
      </c>
      <c r="AZ25" s="39"/>
      <c r="BA25" s="39"/>
      <c r="BB25" s="39"/>
      <c r="BC25" s="39"/>
      <c r="BD25" s="39"/>
      <c r="BE25" s="39"/>
      <c r="BF25" s="39"/>
      <c r="BG25" s="39"/>
      <c r="BH25" s="39"/>
      <c r="BI25" s="39"/>
      <c r="BJ25" s="39"/>
      <c r="BK25" s="40"/>
      <c r="BL25" s="173"/>
      <c r="BM25" s="174"/>
      <c r="BN25" s="175"/>
      <c r="BO25" s="174"/>
      <c r="BP25" s="174"/>
      <c r="BQ25" s="175"/>
      <c r="BR25" s="174"/>
      <c r="BS25" s="174"/>
      <c r="BT25" s="174"/>
      <c r="BU25" s="174"/>
      <c r="BV25" s="174"/>
      <c r="BW25" s="174"/>
      <c r="BX25" s="175"/>
      <c r="BY25" s="122"/>
      <c r="BZ25" s="123"/>
      <c r="CA25" s="123"/>
      <c r="CB25" s="124"/>
      <c r="CC25" s="122"/>
      <c r="CD25" s="123"/>
      <c r="CE25" s="123"/>
      <c r="CF25" s="215"/>
      <c r="CG25" s="2">
        <f t="shared" si="24"/>
        <v>0</v>
      </c>
      <c r="CH25" s="2">
        <f t="shared" si="19"/>
        <v>0</v>
      </c>
      <c r="CI25" s="2">
        <f t="shared" si="20"/>
        <v>0</v>
      </c>
      <c r="CJ25" s="2">
        <f t="shared" si="20"/>
        <v>0</v>
      </c>
      <c r="CK25" s="2">
        <f t="shared" si="20"/>
        <v>0</v>
      </c>
      <c r="CL25" s="2" t="str">
        <f t="shared" si="20"/>
        <v/>
      </c>
      <c r="CM25" s="2" t="str">
        <f t="shared" si="20"/>
        <v/>
      </c>
      <c r="CN25" s="2">
        <f t="shared" si="20"/>
        <v>0</v>
      </c>
      <c r="CO25" s="2">
        <f t="shared" si="21"/>
        <v>0</v>
      </c>
      <c r="CP25" s="2">
        <f t="shared" si="21"/>
        <v>0</v>
      </c>
      <c r="CQ25" s="2">
        <f t="shared" si="21"/>
        <v>0</v>
      </c>
      <c r="CR25" s="2">
        <f t="shared" si="21"/>
        <v>0</v>
      </c>
      <c r="CS25" s="2">
        <f t="shared" si="21"/>
        <v>0</v>
      </c>
      <c r="CT25" s="2">
        <f t="shared" si="21"/>
        <v>0</v>
      </c>
      <c r="CU25" s="2">
        <f t="shared" si="21"/>
        <v>0</v>
      </c>
      <c r="CV25" s="2">
        <f t="shared" si="21"/>
        <v>0</v>
      </c>
      <c r="CW25" s="2">
        <f t="shared" si="21"/>
        <v>0</v>
      </c>
      <c r="CX25" s="2">
        <f t="shared" si="21"/>
        <v>0</v>
      </c>
      <c r="DF25" s="2">
        <f t="shared" si="25"/>
        <v>0</v>
      </c>
      <c r="DG25" s="2">
        <f t="shared" si="22"/>
        <v>0</v>
      </c>
      <c r="DH25" s="2">
        <f t="shared" si="22"/>
        <v>0</v>
      </c>
      <c r="DI25" s="2">
        <f t="shared" si="22"/>
        <v>0</v>
      </c>
      <c r="DJ25" s="2">
        <f t="shared" si="22"/>
        <v>0</v>
      </c>
      <c r="DK25" s="2">
        <f t="shared" si="22"/>
        <v>0</v>
      </c>
      <c r="DL25" s="2">
        <f t="shared" si="22"/>
        <v>0</v>
      </c>
      <c r="DM25" s="2">
        <f t="shared" si="22"/>
        <v>0</v>
      </c>
      <c r="DN25" s="2">
        <f t="shared" si="22"/>
        <v>0</v>
      </c>
      <c r="DO25" s="2">
        <f t="shared" si="22"/>
        <v>0</v>
      </c>
      <c r="DP25" s="2">
        <f t="shared" si="22"/>
        <v>0</v>
      </c>
      <c r="DQ25" s="2">
        <f t="shared" si="22"/>
        <v>0</v>
      </c>
      <c r="DR25" s="2">
        <f t="shared" si="26"/>
        <v>0</v>
      </c>
      <c r="DS25" s="2">
        <f t="shared" si="23"/>
        <v>0</v>
      </c>
      <c r="DT25" s="2">
        <f t="shared" si="23"/>
        <v>0</v>
      </c>
      <c r="DU25" s="2">
        <f t="shared" si="23"/>
        <v>0</v>
      </c>
      <c r="DV25" s="2">
        <f t="shared" si="23"/>
        <v>0</v>
      </c>
      <c r="DW25" s="2">
        <f t="shared" si="23"/>
        <v>0</v>
      </c>
      <c r="DX25" s="2">
        <f t="shared" si="23"/>
        <v>0</v>
      </c>
      <c r="DY25" s="2">
        <f t="shared" si="23"/>
        <v>0</v>
      </c>
      <c r="DZ25" s="2">
        <f t="shared" si="23"/>
        <v>0</v>
      </c>
      <c r="EA25" s="2">
        <f t="shared" si="23"/>
        <v>0</v>
      </c>
      <c r="EB25" s="2">
        <f t="shared" si="23"/>
        <v>0</v>
      </c>
      <c r="EC25" s="2">
        <f t="shared" si="23"/>
        <v>0</v>
      </c>
      <c r="ED25" s="2">
        <f t="shared" si="23"/>
        <v>0</v>
      </c>
      <c r="EE25" s="2">
        <f t="shared" si="23"/>
        <v>0</v>
      </c>
      <c r="EF25" s="2">
        <f t="shared" si="23"/>
        <v>0</v>
      </c>
      <c r="EG25" s="2">
        <f t="shared" si="23"/>
        <v>0</v>
      </c>
      <c r="EH25" s="2">
        <f t="shared" si="23"/>
        <v>0</v>
      </c>
      <c r="EI25" s="2">
        <f t="shared" si="23"/>
        <v>0</v>
      </c>
      <c r="EJ25" s="2">
        <f t="shared" si="23"/>
        <v>0</v>
      </c>
      <c r="EK25" s="2">
        <f t="shared" si="23"/>
        <v>0</v>
      </c>
      <c r="EL25" s="2">
        <f t="shared" si="23"/>
        <v>0</v>
      </c>
    </row>
    <row r="26" spans="1:142" ht="14.4" customHeight="1" x14ac:dyDescent="0.3">
      <c r="A26" s="329"/>
      <c r="B26" s="328"/>
      <c r="C26" s="328"/>
      <c r="D26" s="328"/>
      <c r="E26" s="328"/>
      <c r="F26" s="328"/>
      <c r="G26" s="328"/>
      <c r="H26" s="328"/>
      <c r="I26" s="328"/>
      <c r="J26" s="328"/>
      <c r="K26" s="328"/>
      <c r="L26" s="328"/>
      <c r="M26" s="328"/>
      <c r="N26" s="328"/>
      <c r="O26" s="328"/>
      <c r="P26" s="328"/>
      <c r="Q26" s="282"/>
      <c r="R26" s="73"/>
      <c r="S26" s="332"/>
      <c r="T26" s="333"/>
      <c r="U26" s="334"/>
      <c r="V26" s="91"/>
      <c r="W26" s="346"/>
      <c r="X26" s="347"/>
      <c r="Y26" s="92"/>
      <c r="Z26" s="93"/>
      <c r="AA26" s="93" t="s">
        <v>101</v>
      </c>
      <c r="AB26" s="93" t="str">
        <f t="shared" si="9"/>
        <v/>
      </c>
      <c r="AC26" s="93" t="str">
        <f t="shared" si="10"/>
        <v/>
      </c>
      <c r="AD26" s="348"/>
      <c r="AE26" s="349"/>
      <c r="AF26" s="94"/>
      <c r="AG26" s="94"/>
      <c r="AH26" s="94"/>
      <c r="AI26" s="94"/>
      <c r="AJ26" s="94"/>
      <c r="AK26" s="94"/>
      <c r="AL26" s="94"/>
      <c r="AM26" s="94"/>
      <c r="AN26" s="94"/>
      <c r="AO26" s="94"/>
      <c r="AP26" s="22"/>
      <c r="AQ26" s="318" t="s">
        <v>73</v>
      </c>
      <c r="AR26" s="318"/>
      <c r="AS26" s="318"/>
      <c r="AT26" s="317" t="s">
        <v>74</v>
      </c>
      <c r="AU26" s="318"/>
      <c r="AV26" s="318"/>
      <c r="AW26" s="317" t="s">
        <v>75</v>
      </c>
      <c r="AX26" s="318"/>
      <c r="AY26" s="319"/>
      <c r="AZ26" s="241" t="s">
        <v>76</v>
      </c>
      <c r="BA26" s="242"/>
      <c r="BB26" s="242"/>
      <c r="BC26" s="241" t="s">
        <v>77</v>
      </c>
      <c r="BD26" s="242"/>
      <c r="BE26" s="242"/>
      <c r="BF26" s="241" t="s">
        <v>78</v>
      </c>
      <c r="BG26" s="242"/>
      <c r="BH26" s="242"/>
      <c r="BI26" s="241" t="s">
        <v>79</v>
      </c>
      <c r="BJ26" s="242"/>
      <c r="BK26" s="243"/>
      <c r="BL26" s="173"/>
      <c r="BM26" s="174"/>
      <c r="BN26" s="175"/>
      <c r="BO26" s="174"/>
      <c r="BP26" s="174"/>
      <c r="BQ26" s="175"/>
      <c r="BR26" s="174"/>
      <c r="BS26" s="174"/>
      <c r="BT26" s="174"/>
      <c r="BU26" s="174"/>
      <c r="BV26" s="174"/>
      <c r="BW26" s="174"/>
      <c r="BX26" s="175"/>
      <c r="BY26" s="122"/>
      <c r="BZ26" s="123"/>
      <c r="CA26" s="123"/>
      <c r="CB26" s="124"/>
      <c r="CC26" s="122"/>
      <c r="CD26" s="123"/>
      <c r="CE26" s="123"/>
      <c r="CF26" s="215"/>
      <c r="CG26" s="2">
        <f t="shared" si="24"/>
        <v>0</v>
      </c>
      <c r="CH26" s="2">
        <f t="shared" si="19"/>
        <v>0</v>
      </c>
      <c r="CI26" s="2">
        <f t="shared" si="20"/>
        <v>0</v>
      </c>
      <c r="CJ26" s="2">
        <f t="shared" si="20"/>
        <v>0</v>
      </c>
      <c r="CK26" s="2">
        <f t="shared" si="20"/>
        <v>0</v>
      </c>
      <c r="CL26" s="2" t="str">
        <f t="shared" si="20"/>
        <v/>
      </c>
      <c r="CM26" s="2" t="str">
        <f t="shared" si="20"/>
        <v/>
      </c>
      <c r="CN26" s="2">
        <f t="shared" si="20"/>
        <v>0</v>
      </c>
      <c r="CO26" s="2">
        <f t="shared" si="21"/>
        <v>0</v>
      </c>
      <c r="CP26" s="2">
        <f t="shared" si="21"/>
        <v>0</v>
      </c>
      <c r="CQ26" s="2">
        <f t="shared" si="21"/>
        <v>0</v>
      </c>
      <c r="CR26" s="2">
        <f t="shared" si="21"/>
        <v>0</v>
      </c>
      <c r="CS26" s="2">
        <f t="shared" si="21"/>
        <v>0</v>
      </c>
      <c r="CT26" s="2">
        <f t="shared" si="21"/>
        <v>0</v>
      </c>
      <c r="CU26" s="2">
        <f t="shared" si="21"/>
        <v>0</v>
      </c>
      <c r="CV26" s="2">
        <f t="shared" si="21"/>
        <v>0</v>
      </c>
      <c r="CW26" s="2">
        <f t="shared" si="21"/>
        <v>0</v>
      </c>
      <c r="CX26" s="2">
        <f t="shared" si="21"/>
        <v>0</v>
      </c>
      <c r="DF26" s="2">
        <f t="shared" si="25"/>
        <v>0</v>
      </c>
      <c r="DG26" s="2">
        <f t="shared" si="22"/>
        <v>0</v>
      </c>
      <c r="DH26" s="2">
        <f t="shared" si="22"/>
        <v>0</v>
      </c>
      <c r="DI26" s="2">
        <f t="shared" si="22"/>
        <v>0</v>
      </c>
      <c r="DJ26" s="2">
        <f t="shared" si="22"/>
        <v>0</v>
      </c>
      <c r="DK26" s="2">
        <f t="shared" si="22"/>
        <v>0</v>
      </c>
      <c r="DL26" s="2">
        <f t="shared" si="22"/>
        <v>0</v>
      </c>
      <c r="DM26" s="2">
        <f t="shared" si="22"/>
        <v>0</v>
      </c>
      <c r="DN26" s="2">
        <f t="shared" si="22"/>
        <v>0</v>
      </c>
      <c r="DO26" s="2">
        <f t="shared" si="22"/>
        <v>0</v>
      </c>
      <c r="DP26" s="2">
        <f t="shared" si="22"/>
        <v>0</v>
      </c>
      <c r="DQ26" s="2">
        <f t="shared" si="22"/>
        <v>0</v>
      </c>
      <c r="DR26" s="2">
        <f t="shared" si="26"/>
        <v>0</v>
      </c>
      <c r="DS26" s="2">
        <f t="shared" si="23"/>
        <v>0</v>
      </c>
      <c r="DT26" s="2">
        <f t="shared" si="23"/>
        <v>0</v>
      </c>
      <c r="DU26" s="2">
        <f t="shared" si="23"/>
        <v>0</v>
      </c>
      <c r="DV26" s="2">
        <f t="shared" si="23"/>
        <v>0</v>
      </c>
      <c r="DW26" s="2">
        <f t="shared" si="23"/>
        <v>0</v>
      </c>
      <c r="DX26" s="2">
        <f t="shared" si="23"/>
        <v>0</v>
      </c>
      <c r="DY26" s="2">
        <f t="shared" si="23"/>
        <v>0</v>
      </c>
      <c r="DZ26" s="2">
        <f t="shared" si="23"/>
        <v>0</v>
      </c>
      <c r="EA26" s="2">
        <f t="shared" si="23"/>
        <v>0</v>
      </c>
      <c r="EB26" s="2">
        <f t="shared" si="23"/>
        <v>0</v>
      </c>
      <c r="EC26" s="2">
        <f t="shared" si="23"/>
        <v>0</v>
      </c>
      <c r="ED26" s="2">
        <f t="shared" si="23"/>
        <v>0</v>
      </c>
      <c r="EE26" s="2">
        <f t="shared" si="23"/>
        <v>0</v>
      </c>
      <c r="EF26" s="2">
        <f t="shared" si="23"/>
        <v>0</v>
      </c>
      <c r="EG26" s="2">
        <f t="shared" si="23"/>
        <v>0</v>
      </c>
      <c r="EH26" s="2">
        <f t="shared" si="23"/>
        <v>0</v>
      </c>
      <c r="EI26" s="2">
        <f t="shared" si="23"/>
        <v>0</v>
      </c>
      <c r="EJ26" s="2">
        <f t="shared" si="23"/>
        <v>0</v>
      </c>
      <c r="EK26" s="2">
        <f t="shared" si="23"/>
        <v>0</v>
      </c>
      <c r="EL26" s="2">
        <f t="shared" si="23"/>
        <v>0</v>
      </c>
    </row>
    <row r="27" spans="1:142" ht="14.4" customHeight="1" x14ac:dyDescent="0.3">
      <c r="A27" s="329"/>
      <c r="B27" s="328"/>
      <c r="C27" s="328"/>
      <c r="D27" s="328"/>
      <c r="E27" s="328"/>
      <c r="F27" s="328"/>
      <c r="G27" s="328"/>
      <c r="H27" s="328"/>
      <c r="I27" s="328"/>
      <c r="J27" s="328"/>
      <c r="K27" s="328"/>
      <c r="L27" s="328"/>
      <c r="M27" s="328"/>
      <c r="N27" s="328"/>
      <c r="O27" s="328"/>
      <c r="P27" s="328"/>
      <c r="Q27" s="282"/>
      <c r="R27" s="73"/>
      <c r="S27" s="332"/>
      <c r="T27" s="333"/>
      <c r="U27" s="334"/>
      <c r="V27" s="353" t="s">
        <v>113</v>
      </c>
      <c r="W27" s="222"/>
      <c r="X27" s="222"/>
      <c r="Y27" s="222"/>
      <c r="Z27" s="222"/>
      <c r="AA27" s="222"/>
      <c r="AB27" s="222"/>
      <c r="AC27" s="222"/>
      <c r="AD27" s="222"/>
      <c r="AE27" s="250"/>
      <c r="AP27" s="22"/>
      <c r="AQ27" s="101"/>
      <c r="AR27" s="39"/>
      <c r="AS27" s="39"/>
      <c r="AT27" s="39"/>
      <c r="AU27" s="39"/>
      <c r="AV27" s="39"/>
      <c r="AW27" s="39"/>
      <c r="AX27" s="39"/>
      <c r="AY27" s="39"/>
      <c r="AZ27" s="39"/>
      <c r="BA27" s="39"/>
      <c r="BB27" s="39"/>
      <c r="BC27" s="39"/>
      <c r="BD27" s="39"/>
      <c r="BE27" s="39"/>
      <c r="BF27" s="39"/>
      <c r="BG27" s="39"/>
      <c r="BH27" s="39"/>
      <c r="BI27" s="39"/>
      <c r="BJ27" s="39"/>
      <c r="BK27" s="40"/>
      <c r="BL27" s="173"/>
      <c r="BM27" s="174"/>
      <c r="BN27" s="175"/>
      <c r="BO27" s="174"/>
      <c r="BP27" s="174"/>
      <c r="BQ27" s="175"/>
      <c r="BR27" s="174"/>
      <c r="BS27" s="174"/>
      <c r="BT27" s="174"/>
      <c r="BU27" s="174"/>
      <c r="BV27" s="174"/>
      <c r="BW27" s="174"/>
      <c r="BX27" s="175"/>
      <c r="BY27" s="122"/>
      <c r="BZ27" s="123"/>
      <c r="CA27" s="123"/>
      <c r="CB27" s="124"/>
      <c r="CC27" s="125"/>
      <c r="CD27" s="126"/>
      <c r="CE27" s="126"/>
      <c r="CF27" s="216"/>
      <c r="CG27" s="2">
        <f t="shared" si="24"/>
        <v>0</v>
      </c>
      <c r="CH27" s="2">
        <f t="shared" si="19"/>
        <v>0</v>
      </c>
      <c r="CI27" s="2">
        <f t="shared" si="20"/>
        <v>0</v>
      </c>
      <c r="CJ27" s="2">
        <f t="shared" si="20"/>
        <v>0</v>
      </c>
      <c r="CK27" s="2">
        <f t="shared" si="20"/>
        <v>0</v>
      </c>
      <c r="CL27" s="2" t="str">
        <f t="shared" si="20"/>
        <v/>
      </c>
      <c r="CM27" s="2" t="str">
        <f t="shared" si="20"/>
        <v/>
      </c>
      <c r="CN27" s="2">
        <f t="shared" si="20"/>
        <v>0</v>
      </c>
      <c r="CO27" s="2">
        <f t="shared" si="21"/>
        <v>0</v>
      </c>
      <c r="CP27" s="2">
        <f t="shared" si="21"/>
        <v>0</v>
      </c>
      <c r="CQ27" s="2">
        <f t="shared" si="21"/>
        <v>0</v>
      </c>
      <c r="CR27" s="2">
        <f t="shared" si="21"/>
        <v>0</v>
      </c>
      <c r="CS27" s="2">
        <f t="shared" si="21"/>
        <v>0</v>
      </c>
      <c r="CT27" s="2">
        <f t="shared" si="21"/>
        <v>0</v>
      </c>
      <c r="CU27" s="2">
        <f t="shared" si="21"/>
        <v>0</v>
      </c>
      <c r="CV27" s="2">
        <f t="shared" si="21"/>
        <v>0</v>
      </c>
      <c r="CW27" s="2">
        <f t="shared" si="21"/>
        <v>0</v>
      </c>
      <c r="CX27" s="2">
        <f t="shared" si="21"/>
        <v>0</v>
      </c>
      <c r="DF27" s="2">
        <f t="shared" si="25"/>
        <v>0</v>
      </c>
      <c r="DG27" s="2">
        <f t="shared" si="22"/>
        <v>0</v>
      </c>
      <c r="DH27" s="2">
        <f t="shared" si="22"/>
        <v>0</v>
      </c>
      <c r="DI27" s="2">
        <f t="shared" si="22"/>
        <v>0</v>
      </c>
      <c r="DJ27" s="2">
        <f t="shared" si="22"/>
        <v>0</v>
      </c>
      <c r="DK27" s="2">
        <f t="shared" si="22"/>
        <v>0</v>
      </c>
      <c r="DL27" s="2">
        <f t="shared" si="22"/>
        <v>0</v>
      </c>
      <c r="DM27" s="2">
        <f t="shared" si="22"/>
        <v>0</v>
      </c>
      <c r="DN27" s="2">
        <f t="shared" si="22"/>
        <v>0</v>
      </c>
      <c r="DO27" s="2">
        <f t="shared" si="22"/>
        <v>0</v>
      </c>
      <c r="DP27" s="2">
        <f t="shared" si="22"/>
        <v>0</v>
      </c>
      <c r="DQ27" s="2">
        <f t="shared" si="22"/>
        <v>0</v>
      </c>
      <c r="DR27" s="2">
        <f t="shared" si="26"/>
        <v>0</v>
      </c>
      <c r="DS27" s="2">
        <f t="shared" si="23"/>
        <v>0</v>
      </c>
      <c r="DT27" s="2">
        <f t="shared" si="23"/>
        <v>0</v>
      </c>
      <c r="DU27" s="2">
        <f t="shared" si="23"/>
        <v>0</v>
      </c>
      <c r="DV27" s="2">
        <f t="shared" si="23"/>
        <v>0</v>
      </c>
      <c r="DW27" s="2">
        <f t="shared" si="23"/>
        <v>0</v>
      </c>
      <c r="DX27" s="2">
        <f t="shared" si="23"/>
        <v>0</v>
      </c>
      <c r="DY27" s="2">
        <f t="shared" si="23"/>
        <v>0</v>
      </c>
      <c r="DZ27" s="2">
        <f t="shared" si="23"/>
        <v>0</v>
      </c>
      <c r="EA27" s="2">
        <f t="shared" si="23"/>
        <v>0</v>
      </c>
      <c r="EB27" s="2">
        <f t="shared" si="23"/>
        <v>0</v>
      </c>
      <c r="EC27" s="2">
        <f t="shared" si="23"/>
        <v>0</v>
      </c>
      <c r="ED27" s="2">
        <f t="shared" si="23"/>
        <v>0</v>
      </c>
      <c r="EE27" s="2">
        <f t="shared" si="23"/>
        <v>0</v>
      </c>
      <c r="EF27" s="2">
        <f t="shared" si="23"/>
        <v>0</v>
      </c>
      <c r="EG27" s="2">
        <f t="shared" si="23"/>
        <v>0</v>
      </c>
      <c r="EH27" s="2">
        <f t="shared" si="23"/>
        <v>0</v>
      </c>
      <c r="EI27" s="2">
        <f t="shared" si="23"/>
        <v>0</v>
      </c>
      <c r="EJ27" s="2">
        <f t="shared" si="23"/>
        <v>0</v>
      </c>
      <c r="EK27" s="2">
        <f t="shared" si="23"/>
        <v>0</v>
      </c>
      <c r="EL27" s="2">
        <f t="shared" si="23"/>
        <v>0</v>
      </c>
    </row>
    <row r="28" spans="1:142" ht="14.4" customHeight="1" x14ac:dyDescent="0.3">
      <c r="A28" s="329"/>
      <c r="B28" s="328"/>
      <c r="C28" s="328"/>
      <c r="D28" s="328"/>
      <c r="E28" s="328"/>
      <c r="F28" s="328"/>
      <c r="G28" s="328"/>
      <c r="H28" s="328"/>
      <c r="I28" s="328"/>
      <c r="J28" s="328"/>
      <c r="K28" s="328"/>
      <c r="L28" s="328"/>
      <c r="M28" s="328"/>
      <c r="N28" s="328"/>
      <c r="O28" s="328"/>
      <c r="P28" s="328"/>
      <c r="Q28" s="282"/>
      <c r="R28" s="73"/>
      <c r="S28" s="332"/>
      <c r="T28" s="333"/>
      <c r="U28" s="334"/>
      <c r="V28" s="47"/>
      <c r="W28" s="10" t="s">
        <v>114</v>
      </c>
      <c r="X28" s="10" t="s">
        <v>115</v>
      </c>
      <c r="Y28" s="10" t="s">
        <v>116</v>
      </c>
      <c r="Z28" s="48" t="s">
        <v>117</v>
      </c>
      <c r="AA28" s="14" t="s">
        <v>118</v>
      </c>
      <c r="AB28" s="10" t="s">
        <v>119</v>
      </c>
      <c r="AC28" s="10" t="s">
        <v>120</v>
      </c>
      <c r="AD28" s="10" t="s">
        <v>121</v>
      </c>
      <c r="AE28" s="10" t="s">
        <v>122</v>
      </c>
      <c r="AP28" s="22"/>
      <c r="AQ28" s="101"/>
      <c r="AR28" s="39"/>
      <c r="AS28" s="39"/>
      <c r="AT28" s="39"/>
      <c r="AU28" s="39"/>
      <c r="AV28" s="39"/>
      <c r="AW28" s="39"/>
      <c r="AX28" s="39"/>
      <c r="AY28" s="39"/>
      <c r="AZ28" s="39"/>
      <c r="BA28" s="39"/>
      <c r="BB28" s="39"/>
      <c r="BC28" s="39"/>
      <c r="BD28" s="39"/>
      <c r="BE28" s="39"/>
      <c r="BF28" s="39"/>
      <c r="BG28" s="39"/>
      <c r="BH28" s="39"/>
      <c r="BI28" s="39"/>
      <c r="BJ28" s="39"/>
      <c r="BK28" s="40"/>
      <c r="BL28" s="173"/>
      <c r="BM28" s="174"/>
      <c r="BN28" s="175"/>
      <c r="BO28" s="174"/>
      <c r="BP28" s="174"/>
      <c r="BQ28" s="175"/>
      <c r="BR28" s="180"/>
      <c r="BS28" s="174"/>
      <c r="BT28" s="174"/>
      <c r="BU28" s="174"/>
      <c r="BV28" s="174"/>
      <c r="BW28" s="174"/>
      <c r="BX28" s="175"/>
      <c r="BY28" s="122"/>
      <c r="BZ28" s="123"/>
      <c r="CA28" s="123"/>
      <c r="CB28" s="124"/>
      <c r="CC28" s="150" t="s">
        <v>123</v>
      </c>
      <c r="CD28" s="222"/>
      <c r="CE28" s="222"/>
      <c r="CF28" s="223"/>
      <c r="CG28" s="2">
        <f t="shared" si="24"/>
        <v>0</v>
      </c>
      <c r="CH28" s="2">
        <f t="shared" si="19"/>
        <v>0</v>
      </c>
      <c r="CI28" s="2">
        <f t="shared" si="20"/>
        <v>0</v>
      </c>
      <c r="CJ28" s="2">
        <f t="shared" si="20"/>
        <v>0</v>
      </c>
      <c r="CK28" s="2">
        <f t="shared" si="20"/>
        <v>0</v>
      </c>
      <c r="CL28" s="2" t="str">
        <f t="shared" si="20"/>
        <v/>
      </c>
      <c r="CM28" s="2" t="str">
        <f t="shared" si="20"/>
        <v/>
      </c>
      <c r="CN28" s="2">
        <f t="shared" si="20"/>
        <v>0</v>
      </c>
      <c r="CO28" s="2">
        <f t="shared" si="21"/>
        <v>0</v>
      </c>
      <c r="CP28" s="2">
        <f t="shared" si="21"/>
        <v>0</v>
      </c>
      <c r="CQ28" s="2">
        <f t="shared" si="21"/>
        <v>0</v>
      </c>
      <c r="CR28" s="2">
        <f t="shared" si="21"/>
        <v>0</v>
      </c>
      <c r="CS28" s="2">
        <f t="shared" si="21"/>
        <v>0</v>
      </c>
      <c r="CT28" s="2">
        <f t="shared" si="21"/>
        <v>0</v>
      </c>
      <c r="CU28" s="2">
        <f t="shared" si="21"/>
        <v>0</v>
      </c>
      <c r="CV28" s="2">
        <f t="shared" si="21"/>
        <v>0</v>
      </c>
      <c r="CW28" s="2">
        <f t="shared" si="21"/>
        <v>0</v>
      </c>
      <c r="CX28" s="2">
        <f t="shared" si="21"/>
        <v>0</v>
      </c>
      <c r="DF28" s="2">
        <f t="shared" si="25"/>
        <v>0</v>
      </c>
      <c r="DG28" s="2">
        <f t="shared" si="22"/>
        <v>0</v>
      </c>
      <c r="DH28" s="2">
        <f t="shared" si="22"/>
        <v>0</v>
      </c>
      <c r="DI28" s="2">
        <f t="shared" si="22"/>
        <v>0</v>
      </c>
      <c r="DJ28" s="2">
        <f t="shared" si="22"/>
        <v>0</v>
      </c>
      <c r="DK28" s="2">
        <f t="shared" si="22"/>
        <v>0</v>
      </c>
      <c r="DL28" s="2">
        <f t="shared" si="22"/>
        <v>0</v>
      </c>
      <c r="DM28" s="2">
        <f t="shared" si="22"/>
        <v>0</v>
      </c>
      <c r="DN28" s="2">
        <f t="shared" si="22"/>
        <v>0</v>
      </c>
      <c r="DO28" s="2">
        <f t="shared" si="22"/>
        <v>0</v>
      </c>
      <c r="DP28" s="2">
        <f t="shared" si="22"/>
        <v>0</v>
      </c>
      <c r="DQ28" s="2">
        <f t="shared" si="22"/>
        <v>0</v>
      </c>
      <c r="DR28" s="2">
        <f t="shared" si="26"/>
        <v>0</v>
      </c>
      <c r="DS28" s="2">
        <f t="shared" si="23"/>
        <v>0</v>
      </c>
      <c r="DT28" s="2">
        <f t="shared" si="23"/>
        <v>0</v>
      </c>
      <c r="DU28" s="2">
        <f t="shared" si="23"/>
        <v>0</v>
      </c>
      <c r="DV28" s="2">
        <f t="shared" si="23"/>
        <v>0</v>
      </c>
      <c r="DW28" s="2">
        <f t="shared" si="23"/>
        <v>0</v>
      </c>
      <c r="DX28" s="2">
        <f t="shared" si="23"/>
        <v>0</v>
      </c>
      <c r="DY28" s="2">
        <f t="shared" si="23"/>
        <v>0</v>
      </c>
      <c r="DZ28" s="2">
        <f t="shared" si="23"/>
        <v>0</v>
      </c>
      <c r="EA28" s="2">
        <f t="shared" si="23"/>
        <v>0</v>
      </c>
      <c r="EB28" s="2">
        <f t="shared" si="23"/>
        <v>0</v>
      </c>
      <c r="EC28" s="2">
        <f t="shared" si="23"/>
        <v>0</v>
      </c>
      <c r="ED28" s="2">
        <f t="shared" si="23"/>
        <v>0</v>
      </c>
      <c r="EE28" s="2">
        <f t="shared" si="23"/>
        <v>0</v>
      </c>
      <c r="EF28" s="2">
        <f t="shared" si="23"/>
        <v>0</v>
      </c>
      <c r="EG28" s="2">
        <f t="shared" si="23"/>
        <v>0</v>
      </c>
      <c r="EH28" s="2">
        <f t="shared" si="23"/>
        <v>0</v>
      </c>
      <c r="EI28" s="2">
        <f t="shared" si="23"/>
        <v>0</v>
      </c>
      <c r="EJ28" s="2">
        <f t="shared" si="23"/>
        <v>0</v>
      </c>
      <c r="EK28" s="2">
        <f t="shared" si="23"/>
        <v>0</v>
      </c>
      <c r="EL28" s="2">
        <f t="shared" si="23"/>
        <v>0</v>
      </c>
    </row>
    <row r="29" spans="1:142" ht="14.4" customHeight="1" x14ac:dyDescent="0.3">
      <c r="A29" s="329"/>
      <c r="B29" s="328"/>
      <c r="C29" s="328"/>
      <c r="D29" s="328"/>
      <c r="E29" s="328"/>
      <c r="F29" s="328"/>
      <c r="G29" s="328"/>
      <c r="H29" s="328"/>
      <c r="I29" s="328"/>
      <c r="J29" s="328"/>
      <c r="K29" s="328"/>
      <c r="L29" s="328"/>
      <c r="M29" s="328"/>
      <c r="N29" s="328"/>
      <c r="O29" s="328"/>
      <c r="P29" s="328"/>
      <c r="Q29" s="282"/>
      <c r="R29" s="73"/>
      <c r="S29" s="332"/>
      <c r="T29" s="333"/>
      <c r="U29" s="334"/>
      <c r="V29" s="49" t="str">
        <f>IF(ISBLANK(V15),"",V15)</f>
        <v/>
      </c>
      <c r="W29" s="38" t="str" cm="1">
        <f t="array" ref="W29">IF(Y15="", "", IF(AND(Y15&lt;=MIN(AF15:AO15),Z15&gt;=MAX(AF15:AO15)),"ACCEPT",IF(AND(AF15:AO15="OK"),"ACCEPT","REJECT")))</f>
        <v/>
      </c>
      <c r="X29" s="38" t="str">
        <f t="shared" ref="X29:X40" si="27">IF(TRIM(W29)="", "", MAX(AF15:AO15))</f>
        <v/>
      </c>
      <c r="Y29" s="38" t="str">
        <f t="shared" ref="Y29:Y40" si="28">IF(TRIM(W29)="", "", MIN(AF15:AO15))</f>
        <v/>
      </c>
      <c r="Z29" s="38" t="str">
        <f t="shared" ref="Z29:Z40" si="29">IF(ISNUMBER(Y15),"VARIABLE",IF(ISBLANK(Y15),"","ATTRIBUTE"))</f>
        <v/>
      </c>
      <c r="AA29" s="38">
        <f t="shared" ref="AA29:AA40" si="30">IF((AA15="QC"),1.33,1)</f>
        <v>1</v>
      </c>
      <c r="AB29" s="38">
        <f t="shared" ref="AB29:AB40" si="31">IF(COUNT(AF15:AO15)=0,0,AVERAGE(AF15:AO15))</f>
        <v>0</v>
      </c>
      <c r="AC29" s="38">
        <f t="shared" ref="AC29:AC40" si="32">MAX(AF15:AO15)-MIN(AF15:AO15)</f>
        <v>0</v>
      </c>
      <c r="AD29" s="38">
        <f t="shared" ref="AD29:AD40" si="33">IF(COUNT(AF15:AO15)=0,0,_xlfn.STDEV.S(AF15:AO15))</f>
        <v>0</v>
      </c>
      <c r="AE29" s="38" t="str">
        <f t="shared" ref="AE29:AE40" si="34">IF(AB29=0,"-",IF(AB29-Y15&lt;Z15-AB29,AB29-Y15,Z15-AB29)/(AD29*3))</f>
        <v>-</v>
      </c>
      <c r="AP29" s="22"/>
      <c r="AQ29" s="101"/>
      <c r="AR29" s="39"/>
      <c r="AS29" s="39"/>
      <c r="AT29" s="39"/>
      <c r="AU29" s="39"/>
      <c r="AV29" s="39"/>
      <c r="AW29" s="39"/>
      <c r="AX29" s="39"/>
      <c r="AY29" s="39"/>
      <c r="AZ29" s="39"/>
      <c r="BA29" s="39"/>
      <c r="BB29" s="39"/>
      <c r="BC29" s="39"/>
      <c r="BD29" s="39"/>
      <c r="BE29" s="39"/>
      <c r="BF29" s="39"/>
      <c r="BG29" s="39"/>
      <c r="BH29" s="39"/>
      <c r="BI29" s="39"/>
      <c r="BJ29" s="39"/>
      <c r="BK29" s="40"/>
      <c r="BL29" s="176"/>
      <c r="BM29" s="177"/>
      <c r="BN29" s="178"/>
      <c r="BO29" s="177"/>
      <c r="BP29" s="177"/>
      <c r="BQ29" s="178"/>
      <c r="BR29" s="181"/>
      <c r="BS29" s="177"/>
      <c r="BT29" s="177"/>
      <c r="BU29" s="177"/>
      <c r="BV29" s="177"/>
      <c r="BW29" s="177"/>
      <c r="BX29" s="178"/>
      <c r="BY29" s="125"/>
      <c r="BZ29" s="126"/>
      <c r="CA29" s="126"/>
      <c r="CB29" s="127"/>
      <c r="CC29" s="153"/>
      <c r="CD29" s="154"/>
      <c r="CE29" s="154"/>
      <c r="CF29" s="155"/>
      <c r="CG29" s="2">
        <f t="shared" si="24"/>
        <v>0</v>
      </c>
      <c r="CH29" s="2">
        <f t="shared" si="19"/>
        <v>0</v>
      </c>
      <c r="CI29" s="2">
        <f t="shared" si="20"/>
        <v>0</v>
      </c>
      <c r="CJ29" s="2">
        <f t="shared" si="20"/>
        <v>0</v>
      </c>
      <c r="CK29" s="2">
        <f t="shared" si="20"/>
        <v>0</v>
      </c>
      <c r="CL29" s="2" t="str">
        <f t="shared" si="20"/>
        <v/>
      </c>
      <c r="CM29" s="2" t="str">
        <f t="shared" si="20"/>
        <v/>
      </c>
      <c r="CN29" s="2">
        <f t="shared" si="20"/>
        <v>0</v>
      </c>
      <c r="CO29" s="2">
        <f t="shared" si="21"/>
        <v>0</v>
      </c>
      <c r="CP29" s="2">
        <f t="shared" si="21"/>
        <v>0</v>
      </c>
      <c r="CQ29" s="2">
        <f t="shared" si="21"/>
        <v>0</v>
      </c>
      <c r="CR29" s="2">
        <f t="shared" si="21"/>
        <v>0</v>
      </c>
      <c r="CS29" s="2">
        <f t="shared" si="21"/>
        <v>0</v>
      </c>
      <c r="CT29" s="2">
        <f t="shared" si="21"/>
        <v>0</v>
      </c>
      <c r="CU29" s="2">
        <f t="shared" si="21"/>
        <v>0</v>
      </c>
      <c r="CV29" s="2">
        <f t="shared" si="21"/>
        <v>0</v>
      </c>
      <c r="CW29" s="2">
        <f t="shared" si="21"/>
        <v>0</v>
      </c>
      <c r="CX29" s="2">
        <f t="shared" si="21"/>
        <v>0</v>
      </c>
      <c r="DF29" s="2">
        <f t="shared" si="25"/>
        <v>0</v>
      </c>
      <c r="DG29" s="2">
        <f t="shared" si="22"/>
        <v>0</v>
      </c>
      <c r="DH29" s="2">
        <f t="shared" si="22"/>
        <v>0</v>
      </c>
      <c r="DI29" s="2">
        <f t="shared" si="22"/>
        <v>0</v>
      </c>
      <c r="DJ29" s="2">
        <f t="shared" si="22"/>
        <v>0</v>
      </c>
      <c r="DK29" s="2">
        <f t="shared" si="22"/>
        <v>0</v>
      </c>
      <c r="DL29" s="2">
        <f t="shared" si="22"/>
        <v>0</v>
      </c>
      <c r="DM29" s="2">
        <f t="shared" si="22"/>
        <v>0</v>
      </c>
      <c r="DN29" s="2">
        <f t="shared" si="22"/>
        <v>0</v>
      </c>
      <c r="DO29" s="2">
        <f t="shared" si="22"/>
        <v>0</v>
      </c>
      <c r="DP29" s="2">
        <f t="shared" si="22"/>
        <v>0</v>
      </c>
      <c r="DQ29" s="2">
        <f t="shared" si="22"/>
        <v>0</v>
      </c>
      <c r="DR29" s="2">
        <f t="shared" si="26"/>
        <v>0</v>
      </c>
      <c r="DS29" s="2">
        <f t="shared" si="23"/>
        <v>0</v>
      </c>
      <c r="DT29" s="2">
        <f t="shared" si="23"/>
        <v>0</v>
      </c>
      <c r="DU29" s="2">
        <f t="shared" si="23"/>
        <v>0</v>
      </c>
      <c r="DV29" s="2">
        <f t="shared" si="23"/>
        <v>0</v>
      </c>
      <c r="DW29" s="2">
        <f t="shared" si="23"/>
        <v>0</v>
      </c>
      <c r="DX29" s="2">
        <f t="shared" si="23"/>
        <v>0</v>
      </c>
      <c r="DY29" s="2">
        <f t="shared" si="23"/>
        <v>0</v>
      </c>
      <c r="DZ29" s="2">
        <f t="shared" si="23"/>
        <v>0</v>
      </c>
      <c r="EA29" s="2">
        <f t="shared" si="23"/>
        <v>0</v>
      </c>
      <c r="EB29" s="2">
        <f t="shared" si="23"/>
        <v>0</v>
      </c>
      <c r="EC29" s="2">
        <f t="shared" si="23"/>
        <v>0</v>
      </c>
      <c r="ED29" s="2">
        <f t="shared" si="23"/>
        <v>0</v>
      </c>
      <c r="EE29" s="2">
        <f t="shared" si="23"/>
        <v>0</v>
      </c>
      <c r="EF29" s="2">
        <f t="shared" si="23"/>
        <v>0</v>
      </c>
      <c r="EG29" s="2">
        <f t="shared" si="23"/>
        <v>0</v>
      </c>
      <c r="EH29" s="2">
        <f t="shared" si="23"/>
        <v>0</v>
      </c>
      <c r="EI29" s="2">
        <f t="shared" si="23"/>
        <v>0</v>
      </c>
      <c r="EJ29" s="2">
        <f t="shared" si="23"/>
        <v>0</v>
      </c>
      <c r="EK29" s="2">
        <f t="shared" si="23"/>
        <v>0</v>
      </c>
      <c r="EL29" s="2">
        <f t="shared" si="23"/>
        <v>0</v>
      </c>
    </row>
    <row r="30" spans="1:142" ht="14.4" customHeight="1" x14ac:dyDescent="0.3">
      <c r="A30" s="329"/>
      <c r="B30" s="328"/>
      <c r="C30" s="328"/>
      <c r="D30" s="328"/>
      <c r="E30" s="328"/>
      <c r="F30" s="328"/>
      <c r="G30" s="328"/>
      <c r="H30" s="328"/>
      <c r="I30" s="328"/>
      <c r="J30" s="328"/>
      <c r="K30" s="328"/>
      <c r="L30" s="328"/>
      <c r="M30" s="328"/>
      <c r="N30" s="328"/>
      <c r="O30" s="328"/>
      <c r="P30" s="328"/>
      <c r="Q30" s="282"/>
      <c r="R30" s="73"/>
      <c r="S30" s="332"/>
      <c r="T30" s="333"/>
      <c r="U30" s="334"/>
      <c r="V30" s="49" t="str">
        <f t="shared" ref="V30:V39" si="35">IF(ISBLANK(V16),"",V16)</f>
        <v/>
      </c>
      <c r="W30" s="38" t="str" cm="1">
        <f t="array" ref="W30">IF(Y16="", "", IF(AND(Y16&lt;=MIN(AF16:AO16),Z16&gt;=MAX(AF16:AO16)),"ACCEPT",IF(AND(AF16:AO16="OK"),"ACCEPT","REJECT")))</f>
        <v/>
      </c>
      <c r="X30" s="38" t="str">
        <f t="shared" si="27"/>
        <v/>
      </c>
      <c r="Y30" s="38" t="str">
        <f t="shared" si="28"/>
        <v/>
      </c>
      <c r="Z30" s="38" t="str">
        <f t="shared" si="29"/>
        <v/>
      </c>
      <c r="AA30" s="38">
        <f t="shared" si="30"/>
        <v>1</v>
      </c>
      <c r="AB30" s="38">
        <f t="shared" si="31"/>
        <v>0</v>
      </c>
      <c r="AC30" s="38">
        <f t="shared" si="32"/>
        <v>0</v>
      </c>
      <c r="AD30" s="38">
        <f t="shared" si="33"/>
        <v>0</v>
      </c>
      <c r="AE30" s="38" t="str">
        <f t="shared" si="34"/>
        <v>-</v>
      </c>
      <c r="AP30" s="22"/>
      <c r="AQ30" s="35"/>
      <c r="AR30" s="28"/>
      <c r="AS30" s="28"/>
      <c r="AT30" s="28"/>
      <c r="AU30" s="28"/>
      <c r="AV30" s="28"/>
      <c r="AW30" s="28"/>
      <c r="AX30" s="28"/>
      <c r="AY30" s="28"/>
      <c r="AZ30" s="28"/>
      <c r="BA30" s="28"/>
      <c r="BB30" s="28"/>
      <c r="BC30" s="28"/>
      <c r="BD30" s="28"/>
      <c r="BE30" s="28"/>
      <c r="BF30" s="28"/>
      <c r="BG30" s="28"/>
      <c r="BH30" s="28"/>
      <c r="BI30" s="28"/>
      <c r="BJ30" s="28"/>
      <c r="BK30" s="51"/>
      <c r="BL30" s="224" t="s">
        <v>88</v>
      </c>
      <c r="BM30" s="225"/>
      <c r="BN30" s="226"/>
      <c r="BO30" s="132" t="s">
        <v>89</v>
      </c>
      <c r="BP30" s="132"/>
      <c r="BQ30" s="133"/>
      <c r="BR30" s="132" t="s">
        <v>90</v>
      </c>
      <c r="BS30" s="132"/>
      <c r="BT30" s="132"/>
      <c r="BU30" s="132"/>
      <c r="BV30" s="132"/>
      <c r="BW30" s="132"/>
      <c r="BX30" s="132"/>
      <c r="BY30" s="131" t="s">
        <v>91</v>
      </c>
      <c r="BZ30" s="132"/>
      <c r="CA30" s="132"/>
      <c r="CB30" s="133"/>
      <c r="CC30" s="131" t="s">
        <v>92</v>
      </c>
      <c r="CD30" s="132"/>
      <c r="CE30" s="132"/>
      <c r="CF30" s="156"/>
      <c r="CG30" s="2">
        <f t="shared" si="24"/>
        <v>0</v>
      </c>
      <c r="CH30" s="2">
        <f t="shared" si="19"/>
        <v>0</v>
      </c>
      <c r="CI30" s="2">
        <f t="shared" si="20"/>
        <v>0</v>
      </c>
      <c r="CJ30" s="2">
        <f t="shared" si="20"/>
        <v>0</v>
      </c>
      <c r="CK30" s="2">
        <f t="shared" si="20"/>
        <v>0</v>
      </c>
      <c r="CL30" s="2" t="str">
        <f t="shared" si="20"/>
        <v/>
      </c>
      <c r="CM30" s="2" t="str">
        <f t="shared" si="20"/>
        <v/>
      </c>
      <c r="CN30" s="2">
        <f t="shared" si="20"/>
        <v>0</v>
      </c>
      <c r="CO30" s="2">
        <f t="shared" si="21"/>
        <v>0</v>
      </c>
      <c r="CP30" s="2">
        <f t="shared" si="21"/>
        <v>0</v>
      </c>
      <c r="CQ30" s="2">
        <f t="shared" si="21"/>
        <v>0</v>
      </c>
      <c r="CR30" s="2">
        <f t="shared" si="21"/>
        <v>0</v>
      </c>
      <c r="CS30" s="2">
        <f t="shared" si="21"/>
        <v>0</v>
      </c>
      <c r="CT30" s="2">
        <f t="shared" si="21"/>
        <v>0</v>
      </c>
      <c r="CU30" s="2">
        <f t="shared" si="21"/>
        <v>0</v>
      </c>
      <c r="CV30" s="2">
        <f t="shared" si="21"/>
        <v>0</v>
      </c>
      <c r="CW30" s="2">
        <f t="shared" si="21"/>
        <v>0</v>
      </c>
      <c r="CX30" s="2">
        <f t="shared" si="21"/>
        <v>0</v>
      </c>
      <c r="DF30" s="2">
        <f t="shared" si="25"/>
        <v>0</v>
      </c>
      <c r="DG30" s="2">
        <f t="shared" si="22"/>
        <v>0</v>
      </c>
      <c r="DH30" s="2">
        <f t="shared" si="22"/>
        <v>0</v>
      </c>
      <c r="DI30" s="2">
        <f t="shared" si="22"/>
        <v>0</v>
      </c>
      <c r="DJ30" s="2">
        <f t="shared" si="22"/>
        <v>0</v>
      </c>
      <c r="DK30" s="2">
        <f t="shared" si="22"/>
        <v>0</v>
      </c>
      <c r="DL30" s="2">
        <f t="shared" si="22"/>
        <v>0</v>
      </c>
      <c r="DM30" s="2">
        <f t="shared" si="22"/>
        <v>0</v>
      </c>
      <c r="DN30" s="2">
        <f t="shared" si="22"/>
        <v>0</v>
      </c>
      <c r="DO30" s="2">
        <f t="shared" si="22"/>
        <v>0</v>
      </c>
      <c r="DP30" s="2">
        <f t="shared" si="22"/>
        <v>0</v>
      </c>
      <c r="DQ30" s="2">
        <f t="shared" si="22"/>
        <v>0</v>
      </c>
      <c r="DR30" s="2">
        <f t="shared" si="26"/>
        <v>0</v>
      </c>
      <c r="DS30" s="2">
        <f t="shared" si="23"/>
        <v>0</v>
      </c>
      <c r="DT30" s="2">
        <f t="shared" si="23"/>
        <v>0</v>
      </c>
      <c r="DU30" s="2">
        <f t="shared" si="23"/>
        <v>0</v>
      </c>
      <c r="DV30" s="2">
        <f t="shared" si="23"/>
        <v>0</v>
      </c>
      <c r="DW30" s="2">
        <f t="shared" si="23"/>
        <v>0</v>
      </c>
      <c r="DX30" s="2">
        <f t="shared" si="23"/>
        <v>0</v>
      </c>
      <c r="DY30" s="2">
        <f t="shared" si="23"/>
        <v>0</v>
      </c>
      <c r="DZ30" s="2">
        <f t="shared" si="23"/>
        <v>0</v>
      </c>
      <c r="EA30" s="2">
        <f t="shared" si="23"/>
        <v>0</v>
      </c>
      <c r="EB30" s="2">
        <f t="shared" si="23"/>
        <v>0</v>
      </c>
      <c r="EC30" s="2">
        <f t="shared" si="23"/>
        <v>0</v>
      </c>
      <c r="ED30" s="2">
        <f t="shared" si="23"/>
        <v>0</v>
      </c>
      <c r="EE30" s="2">
        <f t="shared" si="23"/>
        <v>0</v>
      </c>
      <c r="EF30" s="2">
        <f t="shared" si="23"/>
        <v>0</v>
      </c>
      <c r="EG30" s="2">
        <f t="shared" si="23"/>
        <v>0</v>
      </c>
      <c r="EH30" s="2">
        <f t="shared" si="23"/>
        <v>0</v>
      </c>
      <c r="EI30" s="2">
        <f t="shared" si="23"/>
        <v>0</v>
      </c>
      <c r="EJ30" s="2">
        <f t="shared" si="23"/>
        <v>0</v>
      </c>
      <c r="EK30" s="2">
        <f t="shared" si="23"/>
        <v>0</v>
      </c>
      <c r="EL30" s="2">
        <f t="shared" si="23"/>
        <v>0</v>
      </c>
    </row>
    <row r="31" spans="1:142" ht="14.4" customHeight="1" x14ac:dyDescent="0.3">
      <c r="A31" s="329"/>
      <c r="B31" s="328"/>
      <c r="C31" s="328"/>
      <c r="D31" s="328"/>
      <c r="E31" s="328"/>
      <c r="F31" s="328"/>
      <c r="G31" s="328"/>
      <c r="H31" s="328"/>
      <c r="I31" s="328"/>
      <c r="J31" s="328"/>
      <c r="K31" s="328"/>
      <c r="L31" s="328"/>
      <c r="M31" s="328"/>
      <c r="N31" s="328"/>
      <c r="O31" s="328"/>
      <c r="P31" s="328"/>
      <c r="Q31" s="282"/>
      <c r="R31" s="73"/>
      <c r="S31" s="332"/>
      <c r="T31" s="333"/>
      <c r="U31" s="334"/>
      <c r="V31" s="49" t="str">
        <f t="shared" si="35"/>
        <v/>
      </c>
      <c r="W31" s="38" t="str" cm="1">
        <f t="array" ref="W31">IF(Y17="", "", IF(AND(Y17&lt;=MIN(AF17:AO17),Z17&gt;=MAX(AF17:AO17)),"ACCEPT",IF(AND(AF17:AO17="OK"),"ACCEPT","REJECT")))</f>
        <v/>
      </c>
      <c r="X31" s="38" t="str">
        <f t="shared" si="27"/>
        <v/>
      </c>
      <c r="Y31" s="38" t="str">
        <f t="shared" si="28"/>
        <v/>
      </c>
      <c r="Z31" s="38" t="str">
        <f t="shared" si="29"/>
        <v/>
      </c>
      <c r="AA31" s="38">
        <f t="shared" si="30"/>
        <v>1</v>
      </c>
      <c r="AB31" s="38">
        <f t="shared" si="31"/>
        <v>0</v>
      </c>
      <c r="AC31" s="38">
        <f t="shared" si="32"/>
        <v>0</v>
      </c>
      <c r="AD31" s="38">
        <f t="shared" si="33"/>
        <v>0</v>
      </c>
      <c r="AE31" s="38" t="str">
        <f t="shared" si="34"/>
        <v>-</v>
      </c>
      <c r="AP31" s="22"/>
      <c r="AQ31" s="35"/>
      <c r="AR31" s="28"/>
      <c r="AS31" s="28"/>
      <c r="AT31" s="28"/>
      <c r="AU31" s="28"/>
      <c r="AV31" s="28"/>
      <c r="AW31" s="28"/>
      <c r="AX31" s="28"/>
      <c r="AY31" s="28"/>
      <c r="AZ31" s="28"/>
      <c r="BA31" s="28"/>
      <c r="BB31" s="28"/>
      <c r="BC31" s="28"/>
      <c r="BD31" s="28"/>
      <c r="BE31" s="28"/>
      <c r="BF31" s="28"/>
      <c r="BG31" s="28"/>
      <c r="BH31" s="28"/>
      <c r="BI31" s="28"/>
      <c r="BJ31" s="28"/>
      <c r="BK31" s="51"/>
      <c r="BL31" s="158" t="s">
        <v>96</v>
      </c>
      <c r="BM31" s="159"/>
      <c r="BN31" s="35"/>
      <c r="BO31" s="135"/>
      <c r="BP31" s="135"/>
      <c r="BQ31" s="136"/>
      <c r="BR31" s="227"/>
      <c r="BS31" s="227"/>
      <c r="BT31" s="227"/>
      <c r="BU31" s="227"/>
      <c r="BV31" s="227"/>
      <c r="BW31" s="227"/>
      <c r="BX31" s="227"/>
      <c r="BY31" s="228"/>
      <c r="BZ31" s="227"/>
      <c r="CA31" s="227"/>
      <c r="CB31" s="229"/>
      <c r="CC31" s="228"/>
      <c r="CD31" s="227"/>
      <c r="CE31" s="227"/>
      <c r="CF31" s="230"/>
      <c r="CG31" s="2">
        <f t="shared" si="24"/>
        <v>0</v>
      </c>
      <c r="CH31" s="2">
        <f t="shared" si="19"/>
        <v>0</v>
      </c>
      <c r="CI31" s="2">
        <f t="shared" si="20"/>
        <v>0</v>
      </c>
      <c r="CJ31" s="2">
        <f t="shared" si="20"/>
        <v>0</v>
      </c>
      <c r="CK31" s="2">
        <f t="shared" si="20"/>
        <v>0</v>
      </c>
      <c r="CL31" s="2" t="str">
        <f t="shared" si="20"/>
        <v/>
      </c>
      <c r="CM31" s="2" t="str">
        <f t="shared" si="20"/>
        <v/>
      </c>
      <c r="CN31" s="2">
        <f t="shared" si="20"/>
        <v>0</v>
      </c>
      <c r="CO31" s="2">
        <f t="shared" si="21"/>
        <v>0</v>
      </c>
      <c r="CP31" s="2">
        <f t="shared" si="21"/>
        <v>0</v>
      </c>
      <c r="CQ31" s="2">
        <f t="shared" si="21"/>
        <v>0</v>
      </c>
      <c r="CR31" s="2">
        <f t="shared" si="21"/>
        <v>0</v>
      </c>
      <c r="CS31" s="2">
        <f t="shared" si="21"/>
        <v>0</v>
      </c>
      <c r="CT31" s="2">
        <f t="shared" si="21"/>
        <v>0</v>
      </c>
      <c r="CU31" s="2">
        <f t="shared" si="21"/>
        <v>0</v>
      </c>
      <c r="CV31" s="2">
        <f t="shared" si="21"/>
        <v>0</v>
      </c>
      <c r="CW31" s="2">
        <f t="shared" si="21"/>
        <v>0</v>
      </c>
      <c r="CX31" s="2">
        <f t="shared" si="21"/>
        <v>0</v>
      </c>
      <c r="DF31" s="2">
        <f t="shared" si="25"/>
        <v>0</v>
      </c>
      <c r="DG31" s="2">
        <f t="shared" si="22"/>
        <v>0</v>
      </c>
      <c r="DH31" s="2">
        <f t="shared" si="22"/>
        <v>0</v>
      </c>
      <c r="DI31" s="2">
        <f t="shared" si="22"/>
        <v>0</v>
      </c>
      <c r="DJ31" s="2">
        <f t="shared" si="22"/>
        <v>0</v>
      </c>
      <c r="DK31" s="2">
        <f t="shared" si="22"/>
        <v>0</v>
      </c>
      <c r="DL31" s="2">
        <f t="shared" si="22"/>
        <v>0</v>
      </c>
      <c r="DM31" s="2">
        <f t="shared" si="22"/>
        <v>0</v>
      </c>
      <c r="DN31" s="2">
        <f t="shared" si="22"/>
        <v>0</v>
      </c>
      <c r="DO31" s="2">
        <f t="shared" si="22"/>
        <v>0</v>
      </c>
      <c r="DP31" s="2">
        <f t="shared" si="22"/>
        <v>0</v>
      </c>
      <c r="DQ31" s="2">
        <f t="shared" si="22"/>
        <v>0</v>
      </c>
      <c r="DR31" s="2">
        <f t="shared" si="26"/>
        <v>0</v>
      </c>
      <c r="DS31" s="2">
        <f t="shared" si="23"/>
        <v>0</v>
      </c>
      <c r="DT31" s="2">
        <f t="shared" si="23"/>
        <v>0</v>
      </c>
      <c r="DU31" s="2">
        <f t="shared" si="23"/>
        <v>0</v>
      </c>
      <c r="DV31" s="2">
        <f t="shared" si="23"/>
        <v>0</v>
      </c>
      <c r="DW31" s="2">
        <f t="shared" si="23"/>
        <v>0</v>
      </c>
      <c r="DX31" s="2">
        <f t="shared" si="23"/>
        <v>0</v>
      </c>
      <c r="DY31" s="2">
        <f t="shared" si="23"/>
        <v>0</v>
      </c>
      <c r="DZ31" s="2">
        <f t="shared" si="23"/>
        <v>0</v>
      </c>
      <c r="EA31" s="2">
        <f t="shared" si="23"/>
        <v>0</v>
      </c>
      <c r="EB31" s="2">
        <f t="shared" si="23"/>
        <v>0</v>
      </c>
      <c r="EC31" s="2">
        <f t="shared" si="23"/>
        <v>0</v>
      </c>
      <c r="ED31" s="2">
        <f t="shared" si="23"/>
        <v>0</v>
      </c>
      <c r="EE31" s="2">
        <f t="shared" si="23"/>
        <v>0</v>
      </c>
      <c r="EF31" s="2">
        <f t="shared" si="23"/>
        <v>0</v>
      </c>
      <c r="EG31" s="2">
        <f t="shared" si="23"/>
        <v>0</v>
      </c>
      <c r="EH31" s="2">
        <f t="shared" si="23"/>
        <v>0</v>
      </c>
      <c r="EI31" s="2">
        <f t="shared" si="23"/>
        <v>0</v>
      </c>
      <c r="EJ31" s="2">
        <f t="shared" si="23"/>
        <v>0</v>
      </c>
      <c r="EK31" s="2">
        <f t="shared" si="23"/>
        <v>0</v>
      </c>
      <c r="EL31" s="2">
        <f t="shared" si="23"/>
        <v>0</v>
      </c>
    </row>
    <row r="32" spans="1:142" ht="14.4" customHeight="1" x14ac:dyDescent="0.3">
      <c r="A32" s="329"/>
      <c r="B32" s="328"/>
      <c r="C32" s="328"/>
      <c r="D32" s="328"/>
      <c r="E32" s="328"/>
      <c r="F32" s="328"/>
      <c r="G32" s="328"/>
      <c r="H32" s="328"/>
      <c r="I32" s="328"/>
      <c r="J32" s="328"/>
      <c r="K32" s="328"/>
      <c r="L32" s="328"/>
      <c r="M32" s="328"/>
      <c r="N32" s="328"/>
      <c r="O32" s="328"/>
      <c r="P32" s="328"/>
      <c r="Q32" s="282"/>
      <c r="R32" s="73"/>
      <c r="S32" s="332"/>
      <c r="T32" s="333"/>
      <c r="U32" s="334"/>
      <c r="V32" s="49" t="str">
        <f t="shared" si="35"/>
        <v/>
      </c>
      <c r="W32" s="38" t="str" cm="1">
        <f t="array" ref="W32">IF(Y18="", "", IF(AND(Y18&lt;=MIN(AF18:AO18),Z18&gt;=MAX(AF18:AO18)),"ACCEPT",IF(AND(AF18:AO18="OK"),"ACCEPT","REJECT")))</f>
        <v/>
      </c>
      <c r="X32" s="38" t="str">
        <f t="shared" si="27"/>
        <v/>
      </c>
      <c r="Y32" s="38" t="str">
        <f t="shared" si="28"/>
        <v/>
      </c>
      <c r="Z32" s="38" t="str">
        <f t="shared" si="29"/>
        <v/>
      </c>
      <c r="AA32" s="38">
        <f t="shared" si="30"/>
        <v>1</v>
      </c>
      <c r="AB32" s="38">
        <f t="shared" si="31"/>
        <v>0</v>
      </c>
      <c r="AC32" s="38">
        <f t="shared" si="32"/>
        <v>0</v>
      </c>
      <c r="AD32" s="38">
        <f t="shared" si="33"/>
        <v>0</v>
      </c>
      <c r="AE32" s="38" t="str">
        <f t="shared" si="34"/>
        <v>-</v>
      </c>
      <c r="AP32" s="22"/>
      <c r="AQ32" s="101"/>
      <c r="AR32" s="28"/>
      <c r="AS32" s="28"/>
      <c r="AT32" s="28"/>
      <c r="AU32" s="28"/>
      <c r="AV32" s="28"/>
      <c r="AW32" s="28"/>
      <c r="AX32" s="28"/>
      <c r="AY32" s="28"/>
      <c r="AZ32" s="28"/>
      <c r="BA32" s="28"/>
      <c r="BB32" s="28"/>
      <c r="BC32" s="28"/>
      <c r="BD32" s="28"/>
      <c r="BE32" s="28"/>
      <c r="BF32" s="28"/>
      <c r="BG32" s="28"/>
      <c r="BH32" s="28"/>
      <c r="BI32" s="28"/>
      <c r="BJ32" s="28"/>
      <c r="BK32" s="51"/>
      <c r="BL32" s="158" t="s">
        <v>97</v>
      </c>
      <c r="BM32" s="159"/>
      <c r="BN32" s="41" t="s">
        <v>98</v>
      </c>
      <c r="BO32" s="231" t="s">
        <v>99</v>
      </c>
      <c r="BP32" s="231"/>
      <c r="BQ32" s="232"/>
      <c r="BR32" s="208" t="s">
        <v>100</v>
      </c>
      <c r="BS32" s="208"/>
      <c r="BT32" s="208"/>
      <c r="BU32" s="208"/>
      <c r="BV32" s="217"/>
      <c r="BW32" s="218"/>
      <c r="BX32" s="218"/>
      <c r="BY32" s="119"/>
      <c r="BZ32" s="120"/>
      <c r="CA32" s="120"/>
      <c r="CB32" s="121"/>
      <c r="CC32" s="119"/>
      <c r="CD32" s="120"/>
      <c r="CE32" s="120"/>
      <c r="CF32" s="214"/>
      <c r="CG32" s="2">
        <f t="shared" si="24"/>
        <v>0</v>
      </c>
      <c r="CH32" s="2">
        <f t="shared" si="19"/>
        <v>0</v>
      </c>
      <c r="CI32" s="2">
        <f t="shared" si="20"/>
        <v>0</v>
      </c>
      <c r="CJ32" s="2">
        <f t="shared" si="20"/>
        <v>0</v>
      </c>
      <c r="CK32" s="2">
        <f t="shared" si="20"/>
        <v>0</v>
      </c>
      <c r="CL32" s="2" t="str">
        <f t="shared" si="20"/>
        <v/>
      </c>
      <c r="CM32" s="2" t="str">
        <f t="shared" si="20"/>
        <v/>
      </c>
      <c r="CN32" s="2">
        <f t="shared" si="20"/>
        <v>0</v>
      </c>
      <c r="CO32" s="2">
        <f t="shared" si="21"/>
        <v>0</v>
      </c>
      <c r="CP32" s="2">
        <f t="shared" si="21"/>
        <v>0</v>
      </c>
      <c r="CQ32" s="2">
        <f t="shared" si="21"/>
        <v>0</v>
      </c>
      <c r="CR32" s="2">
        <f t="shared" si="21"/>
        <v>0</v>
      </c>
      <c r="CS32" s="2">
        <f t="shared" si="21"/>
        <v>0</v>
      </c>
      <c r="CT32" s="2">
        <f t="shared" si="21"/>
        <v>0</v>
      </c>
      <c r="CU32" s="2">
        <f t="shared" si="21"/>
        <v>0</v>
      </c>
      <c r="CV32" s="2">
        <f t="shared" si="21"/>
        <v>0</v>
      </c>
      <c r="CW32" s="2">
        <f t="shared" si="21"/>
        <v>0</v>
      </c>
      <c r="CX32" s="2">
        <f t="shared" si="21"/>
        <v>0</v>
      </c>
      <c r="DF32" s="2">
        <f t="shared" si="25"/>
        <v>0</v>
      </c>
      <c r="DG32" s="2">
        <f t="shared" si="22"/>
        <v>0</v>
      </c>
      <c r="DH32" s="2">
        <f t="shared" si="22"/>
        <v>0</v>
      </c>
      <c r="DI32" s="2">
        <f t="shared" si="22"/>
        <v>0</v>
      </c>
      <c r="DJ32" s="2">
        <f t="shared" si="22"/>
        <v>0</v>
      </c>
      <c r="DK32" s="2">
        <f t="shared" si="22"/>
        <v>0</v>
      </c>
      <c r="DL32" s="2">
        <f t="shared" si="22"/>
        <v>0</v>
      </c>
      <c r="DM32" s="2">
        <f t="shared" si="22"/>
        <v>0</v>
      </c>
      <c r="DN32" s="2">
        <f t="shared" si="22"/>
        <v>0</v>
      </c>
      <c r="DO32" s="2">
        <f t="shared" si="22"/>
        <v>0</v>
      </c>
      <c r="DP32" s="2">
        <f t="shared" si="22"/>
        <v>0</v>
      </c>
      <c r="DQ32" s="2">
        <f t="shared" si="22"/>
        <v>0</v>
      </c>
      <c r="DR32" s="2">
        <f t="shared" si="26"/>
        <v>0</v>
      </c>
      <c r="DS32" s="2">
        <f t="shared" si="23"/>
        <v>0</v>
      </c>
      <c r="DT32" s="2">
        <f t="shared" si="23"/>
        <v>0</v>
      </c>
      <c r="DU32" s="2">
        <f t="shared" si="23"/>
        <v>0</v>
      </c>
      <c r="DV32" s="2">
        <f t="shared" si="23"/>
        <v>0</v>
      </c>
      <c r="DW32" s="2">
        <f t="shared" si="23"/>
        <v>0</v>
      </c>
      <c r="DX32" s="2">
        <f t="shared" si="23"/>
        <v>0</v>
      </c>
      <c r="DY32" s="2">
        <f t="shared" si="23"/>
        <v>0</v>
      </c>
      <c r="DZ32" s="2">
        <f t="shared" si="23"/>
        <v>0</v>
      </c>
      <c r="EA32" s="2">
        <f t="shared" si="23"/>
        <v>0</v>
      </c>
      <c r="EB32" s="2">
        <f t="shared" si="23"/>
        <v>0</v>
      </c>
      <c r="EC32" s="2">
        <f t="shared" si="23"/>
        <v>0</v>
      </c>
      <c r="ED32" s="2">
        <f t="shared" si="23"/>
        <v>0</v>
      </c>
      <c r="EE32" s="2">
        <f t="shared" si="23"/>
        <v>0</v>
      </c>
      <c r="EF32" s="2">
        <f t="shared" si="23"/>
        <v>0</v>
      </c>
      <c r="EG32" s="2">
        <f t="shared" si="23"/>
        <v>0</v>
      </c>
      <c r="EH32" s="2">
        <f t="shared" si="23"/>
        <v>0</v>
      </c>
      <c r="EI32" s="2">
        <f t="shared" si="23"/>
        <v>0</v>
      </c>
      <c r="EJ32" s="2">
        <f t="shared" si="23"/>
        <v>0</v>
      </c>
      <c r="EK32" s="2">
        <f t="shared" si="23"/>
        <v>0</v>
      </c>
      <c r="EL32" s="2">
        <f t="shared" si="23"/>
        <v>0</v>
      </c>
    </row>
    <row r="33" spans="1:142" ht="14.4" customHeight="1" x14ac:dyDescent="0.3">
      <c r="A33" s="329"/>
      <c r="B33" s="328"/>
      <c r="C33" s="328"/>
      <c r="D33" s="328"/>
      <c r="E33" s="328"/>
      <c r="F33" s="328"/>
      <c r="G33" s="328"/>
      <c r="H33" s="328"/>
      <c r="I33" s="328"/>
      <c r="J33" s="328"/>
      <c r="K33" s="328"/>
      <c r="L33" s="328"/>
      <c r="M33" s="328"/>
      <c r="N33" s="328"/>
      <c r="O33" s="328"/>
      <c r="P33" s="328"/>
      <c r="Q33" s="282"/>
      <c r="R33" s="73"/>
      <c r="S33" s="332"/>
      <c r="T33" s="333"/>
      <c r="U33" s="334"/>
      <c r="V33" s="49" t="str">
        <f t="shared" si="35"/>
        <v/>
      </c>
      <c r="W33" s="38" t="str" cm="1">
        <f t="array" ref="W33">IF(Y19="", "", IF(AND(Y19&lt;=MIN(AF19:AO19),Z19&gt;=MAX(AF19:AO19)),"ACCEPT",IF(AND(AF19:AO19="OK"),"ACCEPT","REJECT")))</f>
        <v/>
      </c>
      <c r="X33" s="38" t="str">
        <f t="shared" si="27"/>
        <v/>
      </c>
      <c r="Y33" s="38" t="str">
        <f t="shared" si="28"/>
        <v/>
      </c>
      <c r="Z33" s="38" t="str">
        <f t="shared" si="29"/>
        <v/>
      </c>
      <c r="AA33" s="38">
        <f t="shared" si="30"/>
        <v>1</v>
      </c>
      <c r="AB33" s="38">
        <f t="shared" si="31"/>
        <v>0</v>
      </c>
      <c r="AC33" s="38">
        <f t="shared" si="32"/>
        <v>0</v>
      </c>
      <c r="AD33" s="38">
        <f t="shared" si="33"/>
        <v>0</v>
      </c>
      <c r="AE33" s="38" t="str">
        <f t="shared" si="34"/>
        <v>-</v>
      </c>
      <c r="AP33" s="22"/>
      <c r="AQ33" s="101"/>
      <c r="AR33" s="28"/>
      <c r="AS33" s="28"/>
      <c r="AT33" s="28"/>
      <c r="AU33" s="28"/>
      <c r="AV33" s="28"/>
      <c r="AW33" s="28"/>
      <c r="AX33" s="28"/>
      <c r="AY33" s="28"/>
      <c r="AZ33" s="28"/>
      <c r="BA33" s="28"/>
      <c r="BB33" s="28"/>
      <c r="BC33" s="28"/>
      <c r="BD33" s="28"/>
      <c r="BE33" s="28"/>
      <c r="BF33" s="28"/>
      <c r="BG33" s="28"/>
      <c r="BH33" s="28"/>
      <c r="BI33" s="28"/>
      <c r="BJ33" s="28"/>
      <c r="BK33" s="51"/>
      <c r="BL33" s="158" t="s">
        <v>102</v>
      </c>
      <c r="BM33" s="159"/>
      <c r="BN33" s="42" t="s">
        <v>103</v>
      </c>
      <c r="BO33" s="120"/>
      <c r="BP33" s="120"/>
      <c r="BQ33" s="121"/>
      <c r="BR33" s="354" t="s">
        <v>124</v>
      </c>
      <c r="BS33" s="354"/>
      <c r="BT33" s="164"/>
      <c r="BU33" s="165"/>
      <c r="BV33" s="165"/>
      <c r="BW33" s="165"/>
      <c r="BX33" s="165"/>
      <c r="BY33" s="122"/>
      <c r="BZ33" s="123"/>
      <c r="CA33" s="123"/>
      <c r="CB33" s="124"/>
      <c r="CC33" s="122"/>
      <c r="CD33" s="123"/>
      <c r="CE33" s="123"/>
      <c r="CF33" s="215"/>
      <c r="CG33" s="2">
        <f t="shared" si="24"/>
        <v>0</v>
      </c>
      <c r="CH33" s="2">
        <f t="shared" si="19"/>
        <v>0</v>
      </c>
      <c r="CI33" s="2">
        <f t="shared" si="20"/>
        <v>0</v>
      </c>
      <c r="CJ33" s="2">
        <f t="shared" si="20"/>
        <v>0</v>
      </c>
      <c r="CK33" s="2">
        <f t="shared" si="20"/>
        <v>0</v>
      </c>
      <c r="CL33" s="2" t="str">
        <f t="shared" si="20"/>
        <v/>
      </c>
      <c r="CM33" s="2" t="str">
        <f t="shared" si="20"/>
        <v/>
      </c>
      <c r="CN33" s="2">
        <f t="shared" si="20"/>
        <v>0</v>
      </c>
      <c r="CO33" s="2">
        <f t="shared" si="21"/>
        <v>0</v>
      </c>
      <c r="CP33" s="2">
        <f t="shared" si="21"/>
        <v>0</v>
      </c>
      <c r="CQ33" s="2">
        <f t="shared" si="21"/>
        <v>0</v>
      </c>
      <c r="CR33" s="2">
        <f t="shared" si="21"/>
        <v>0</v>
      </c>
      <c r="CS33" s="2">
        <f t="shared" si="21"/>
        <v>0</v>
      </c>
      <c r="CT33" s="2">
        <f t="shared" si="21"/>
        <v>0</v>
      </c>
      <c r="CU33" s="2">
        <f t="shared" si="21"/>
        <v>0</v>
      </c>
      <c r="CV33" s="2">
        <f t="shared" si="21"/>
        <v>0</v>
      </c>
      <c r="CW33" s="2">
        <f t="shared" si="21"/>
        <v>0</v>
      </c>
      <c r="CX33" s="2">
        <f t="shared" si="21"/>
        <v>0</v>
      </c>
      <c r="DF33" s="2">
        <f t="shared" si="25"/>
        <v>0</v>
      </c>
      <c r="DG33" s="2">
        <f t="shared" si="22"/>
        <v>0</v>
      </c>
      <c r="DH33" s="2">
        <f t="shared" si="22"/>
        <v>0</v>
      </c>
      <c r="DI33" s="2">
        <f t="shared" si="22"/>
        <v>0</v>
      </c>
      <c r="DJ33" s="2">
        <f t="shared" si="22"/>
        <v>0</v>
      </c>
      <c r="DK33" s="2">
        <f t="shared" si="22"/>
        <v>0</v>
      </c>
      <c r="DL33" s="2">
        <f t="shared" si="22"/>
        <v>0</v>
      </c>
      <c r="DM33" s="2">
        <f t="shared" si="22"/>
        <v>0</v>
      </c>
      <c r="DN33" s="2">
        <f t="shared" si="22"/>
        <v>0</v>
      </c>
      <c r="DO33" s="2">
        <f t="shared" si="22"/>
        <v>0</v>
      </c>
      <c r="DP33" s="2">
        <f t="shared" si="22"/>
        <v>0</v>
      </c>
      <c r="DQ33" s="2">
        <f t="shared" si="22"/>
        <v>0</v>
      </c>
      <c r="DR33" s="2">
        <f t="shared" si="26"/>
        <v>0</v>
      </c>
      <c r="DS33" s="2">
        <f t="shared" si="23"/>
        <v>0</v>
      </c>
      <c r="DT33" s="2">
        <f t="shared" si="23"/>
        <v>0</v>
      </c>
      <c r="DU33" s="2">
        <f t="shared" si="23"/>
        <v>0</v>
      </c>
      <c r="DV33" s="2">
        <f t="shared" si="23"/>
        <v>0</v>
      </c>
      <c r="DW33" s="2">
        <f t="shared" si="23"/>
        <v>0</v>
      </c>
      <c r="DX33" s="2">
        <f t="shared" si="23"/>
        <v>0</v>
      </c>
      <c r="DY33" s="2">
        <f t="shared" si="23"/>
        <v>0</v>
      </c>
      <c r="DZ33" s="2">
        <f t="shared" si="23"/>
        <v>0</v>
      </c>
      <c r="EA33" s="2">
        <f t="shared" si="23"/>
        <v>0</v>
      </c>
      <c r="EB33" s="2">
        <f t="shared" si="23"/>
        <v>0</v>
      </c>
      <c r="EC33" s="2">
        <f t="shared" si="23"/>
        <v>0</v>
      </c>
      <c r="ED33" s="2">
        <f t="shared" si="23"/>
        <v>0</v>
      </c>
      <c r="EE33" s="2">
        <f t="shared" si="23"/>
        <v>0</v>
      </c>
      <c r="EF33" s="2">
        <f t="shared" si="23"/>
        <v>0</v>
      </c>
      <c r="EG33" s="2">
        <f t="shared" si="23"/>
        <v>0</v>
      </c>
      <c r="EH33" s="2">
        <f t="shared" si="23"/>
        <v>0</v>
      </c>
      <c r="EI33" s="2">
        <f t="shared" si="23"/>
        <v>0</v>
      </c>
      <c r="EJ33" s="2">
        <f t="shared" si="23"/>
        <v>0</v>
      </c>
      <c r="EK33" s="2">
        <f t="shared" si="23"/>
        <v>0</v>
      </c>
      <c r="EL33" s="2">
        <f t="shared" si="23"/>
        <v>0</v>
      </c>
    </row>
    <row r="34" spans="1:142" ht="14.4" customHeight="1" x14ac:dyDescent="0.3">
      <c r="A34" s="329"/>
      <c r="B34" s="328"/>
      <c r="C34" s="328"/>
      <c r="D34" s="328"/>
      <c r="E34" s="328"/>
      <c r="F34" s="328"/>
      <c r="G34" s="328"/>
      <c r="H34" s="328"/>
      <c r="I34" s="328"/>
      <c r="J34" s="328"/>
      <c r="K34" s="328"/>
      <c r="L34" s="328"/>
      <c r="M34" s="328"/>
      <c r="N34" s="328"/>
      <c r="O34" s="328"/>
      <c r="P34" s="328"/>
      <c r="Q34" s="282"/>
      <c r="R34" s="73"/>
      <c r="S34" s="332"/>
      <c r="T34" s="333"/>
      <c r="U34" s="334"/>
      <c r="V34" s="49" t="str">
        <f t="shared" si="35"/>
        <v/>
      </c>
      <c r="W34" s="38" t="str" cm="1">
        <f t="array" ref="W34">IF(Y20="", "", IF(AND(Y20&lt;=MIN(AF20:AO20),Z20&gt;=MAX(AF20:AO20)),"ACCEPT",IF(AND(AF20:AO20="OK"),"ACCEPT","REJECT")))</f>
        <v/>
      </c>
      <c r="X34" s="38" t="str">
        <f t="shared" si="27"/>
        <v/>
      </c>
      <c r="Y34" s="38" t="str">
        <f t="shared" si="28"/>
        <v/>
      </c>
      <c r="Z34" s="38" t="str">
        <f t="shared" si="29"/>
        <v/>
      </c>
      <c r="AA34" s="38">
        <f t="shared" si="30"/>
        <v>1</v>
      </c>
      <c r="AB34" s="38">
        <f t="shared" si="31"/>
        <v>0</v>
      </c>
      <c r="AC34" s="38">
        <f t="shared" si="32"/>
        <v>0</v>
      </c>
      <c r="AD34" s="38">
        <f t="shared" si="33"/>
        <v>0</v>
      </c>
      <c r="AE34" s="38" t="str">
        <f t="shared" si="34"/>
        <v>-</v>
      </c>
      <c r="AP34" s="22"/>
      <c r="AQ34" s="101"/>
      <c r="AR34" s="28"/>
      <c r="AS34" s="28"/>
      <c r="AT34" s="28"/>
      <c r="AU34" s="28"/>
      <c r="AV34" s="28"/>
      <c r="AW34" s="28"/>
      <c r="AX34" s="28"/>
      <c r="AY34" s="28"/>
      <c r="AZ34" s="28"/>
      <c r="BA34" s="28"/>
      <c r="BB34" s="28"/>
      <c r="BC34" s="28"/>
      <c r="BD34" s="28"/>
      <c r="BE34" s="28"/>
      <c r="BF34" s="28"/>
      <c r="BG34" s="28"/>
      <c r="BH34" s="28"/>
      <c r="BI34" s="28"/>
      <c r="BJ34" s="28"/>
      <c r="BK34" s="51"/>
      <c r="BL34" s="210" t="s">
        <v>105</v>
      </c>
      <c r="BM34" s="211"/>
      <c r="BN34" s="28" t="s">
        <v>101</v>
      </c>
      <c r="BO34" s="126"/>
      <c r="BP34" s="126"/>
      <c r="BQ34" s="127"/>
      <c r="BR34" s="355"/>
      <c r="BS34" s="355"/>
      <c r="BT34" s="167"/>
      <c r="BU34" s="168"/>
      <c r="BV34" s="168"/>
      <c r="BW34" s="168"/>
      <c r="BX34" s="168"/>
      <c r="BY34" s="122"/>
      <c r="BZ34" s="123"/>
      <c r="CA34" s="123"/>
      <c r="CB34" s="124"/>
      <c r="CC34" s="122"/>
      <c r="CD34" s="123"/>
      <c r="CE34" s="123"/>
      <c r="CF34" s="215"/>
      <c r="CG34" s="2">
        <f t="shared" si="24"/>
        <v>0</v>
      </c>
      <c r="CH34" s="2">
        <f t="shared" si="19"/>
        <v>0</v>
      </c>
      <c r="CI34" s="2">
        <f t="shared" si="20"/>
        <v>0</v>
      </c>
      <c r="CJ34" s="2">
        <f t="shared" si="20"/>
        <v>0</v>
      </c>
      <c r="CK34" s="2">
        <f t="shared" si="20"/>
        <v>0</v>
      </c>
      <c r="CL34" s="2" t="str">
        <f t="shared" si="20"/>
        <v/>
      </c>
      <c r="CM34" s="2" t="str">
        <f t="shared" si="20"/>
        <v/>
      </c>
      <c r="CN34" s="2">
        <f t="shared" si="20"/>
        <v>0</v>
      </c>
      <c r="CO34" s="2">
        <f t="shared" si="21"/>
        <v>0</v>
      </c>
      <c r="CP34" s="2">
        <f t="shared" si="21"/>
        <v>0</v>
      </c>
      <c r="CQ34" s="2">
        <f t="shared" si="21"/>
        <v>0</v>
      </c>
      <c r="CR34" s="2">
        <f t="shared" si="21"/>
        <v>0</v>
      </c>
      <c r="CS34" s="2">
        <f t="shared" si="21"/>
        <v>0</v>
      </c>
      <c r="CT34" s="2">
        <f t="shared" si="21"/>
        <v>0</v>
      </c>
      <c r="CU34" s="2">
        <f t="shared" si="21"/>
        <v>0</v>
      </c>
      <c r="CV34" s="2">
        <f t="shared" si="21"/>
        <v>0</v>
      </c>
      <c r="CW34" s="2">
        <f t="shared" si="21"/>
        <v>0</v>
      </c>
      <c r="CX34" s="2">
        <f t="shared" si="21"/>
        <v>0</v>
      </c>
      <c r="DF34" s="2">
        <f t="shared" si="25"/>
        <v>0</v>
      </c>
      <c r="DG34" s="2">
        <f t="shared" si="22"/>
        <v>0</v>
      </c>
      <c r="DH34" s="2">
        <f t="shared" si="22"/>
        <v>0</v>
      </c>
      <c r="DI34" s="2">
        <f t="shared" si="22"/>
        <v>0</v>
      </c>
      <c r="DJ34" s="2">
        <f t="shared" si="22"/>
        <v>0</v>
      </c>
      <c r="DK34" s="2">
        <f t="shared" si="22"/>
        <v>0</v>
      </c>
      <c r="DL34" s="2">
        <f t="shared" si="22"/>
        <v>0</v>
      </c>
      <c r="DM34" s="2">
        <f t="shared" si="22"/>
        <v>0</v>
      </c>
      <c r="DN34" s="2">
        <f t="shared" si="22"/>
        <v>0</v>
      </c>
      <c r="DO34" s="2">
        <f t="shared" si="22"/>
        <v>0</v>
      </c>
      <c r="DP34" s="2">
        <f t="shared" si="22"/>
        <v>0</v>
      </c>
      <c r="DQ34" s="2">
        <f t="shared" si="22"/>
        <v>0</v>
      </c>
      <c r="DR34" s="2">
        <f t="shared" si="26"/>
        <v>0</v>
      </c>
      <c r="DS34" s="2">
        <f t="shared" si="23"/>
        <v>0</v>
      </c>
      <c r="DT34" s="2">
        <f t="shared" si="23"/>
        <v>0</v>
      </c>
      <c r="DU34" s="2">
        <f t="shared" si="23"/>
        <v>0</v>
      </c>
      <c r="DV34" s="2">
        <f t="shared" si="23"/>
        <v>0</v>
      </c>
      <c r="DW34" s="2">
        <f t="shared" si="23"/>
        <v>0</v>
      </c>
      <c r="DX34" s="2">
        <f t="shared" si="23"/>
        <v>0</v>
      </c>
      <c r="DY34" s="2">
        <f t="shared" si="23"/>
        <v>0</v>
      </c>
      <c r="DZ34" s="2">
        <f t="shared" si="23"/>
        <v>0</v>
      </c>
      <c r="EA34" s="2">
        <f t="shared" si="23"/>
        <v>0</v>
      </c>
      <c r="EB34" s="2">
        <f t="shared" si="23"/>
        <v>0</v>
      </c>
      <c r="EC34" s="2">
        <f t="shared" si="23"/>
        <v>0</v>
      </c>
      <c r="ED34" s="2">
        <f t="shared" si="23"/>
        <v>0</v>
      </c>
      <c r="EE34" s="2">
        <f t="shared" si="23"/>
        <v>0</v>
      </c>
      <c r="EF34" s="2">
        <f t="shared" si="23"/>
        <v>0</v>
      </c>
      <c r="EG34" s="2">
        <f t="shared" si="23"/>
        <v>0</v>
      </c>
      <c r="EH34" s="2">
        <f t="shared" si="23"/>
        <v>0</v>
      </c>
      <c r="EI34" s="2">
        <f t="shared" si="23"/>
        <v>0</v>
      </c>
      <c r="EJ34" s="2">
        <f t="shared" si="23"/>
        <v>0</v>
      </c>
      <c r="EK34" s="2">
        <f t="shared" si="23"/>
        <v>0</v>
      </c>
      <c r="EL34" s="2">
        <f t="shared" si="23"/>
        <v>0</v>
      </c>
    </row>
    <row r="35" spans="1:142" ht="14.4" customHeight="1" x14ac:dyDescent="0.3">
      <c r="A35" s="329"/>
      <c r="B35" s="328"/>
      <c r="C35" s="328"/>
      <c r="D35" s="328"/>
      <c r="E35" s="328"/>
      <c r="F35" s="328"/>
      <c r="G35" s="328"/>
      <c r="H35" s="328"/>
      <c r="I35" s="328"/>
      <c r="J35" s="328"/>
      <c r="K35" s="328"/>
      <c r="L35" s="328"/>
      <c r="M35" s="328"/>
      <c r="N35" s="328"/>
      <c r="O35" s="328"/>
      <c r="P35" s="328"/>
      <c r="Q35" s="282"/>
      <c r="R35" s="73"/>
      <c r="S35" s="332"/>
      <c r="T35" s="333"/>
      <c r="U35" s="334"/>
      <c r="V35" s="49" t="str">
        <f t="shared" si="35"/>
        <v/>
      </c>
      <c r="W35" s="38" t="str" cm="1">
        <f t="array" ref="W35">IF(Y21="", "", IF(AND(Y21&lt;=MIN(AF21:AO21),Z21&gt;=MAX(AF21:AO21)),"ACCEPT",IF(AND(AF21:AO21="OK"),"ACCEPT","REJECT")))</f>
        <v/>
      </c>
      <c r="X35" s="38" t="str">
        <f t="shared" si="27"/>
        <v/>
      </c>
      <c r="Y35" s="38" t="str">
        <f t="shared" si="28"/>
        <v/>
      </c>
      <c r="Z35" s="38" t="str">
        <f t="shared" si="29"/>
        <v/>
      </c>
      <c r="AA35" s="38">
        <f t="shared" si="30"/>
        <v>1</v>
      </c>
      <c r="AB35" s="38">
        <f t="shared" si="31"/>
        <v>0</v>
      </c>
      <c r="AC35" s="38">
        <f t="shared" si="32"/>
        <v>0</v>
      </c>
      <c r="AD35" s="38">
        <f t="shared" si="33"/>
        <v>0</v>
      </c>
      <c r="AE35" s="38" t="str">
        <f t="shared" si="34"/>
        <v>-</v>
      </c>
      <c r="AP35" s="22"/>
      <c r="AQ35" s="101"/>
      <c r="AR35" s="28"/>
      <c r="AS35" s="28"/>
      <c r="AT35" s="28"/>
      <c r="AU35" s="28"/>
      <c r="AV35" s="28"/>
      <c r="AW35" s="28"/>
      <c r="AX35" s="28"/>
      <c r="AY35" s="28"/>
      <c r="AZ35" s="28"/>
      <c r="BA35" s="28"/>
      <c r="BB35" s="28"/>
      <c r="BC35" s="28"/>
      <c r="BD35" s="28"/>
      <c r="BE35" s="28"/>
      <c r="BF35" s="28"/>
      <c r="BG35" s="28"/>
      <c r="BH35" s="28"/>
      <c r="BI35" s="28"/>
      <c r="BJ35" s="28"/>
      <c r="BK35" s="51"/>
      <c r="BL35" s="212" t="s">
        <v>106</v>
      </c>
      <c r="BM35" s="205"/>
      <c r="BN35" s="206"/>
      <c r="BO35" s="352" t="s">
        <v>107</v>
      </c>
      <c r="BP35" s="159"/>
      <c r="BQ35" s="43"/>
      <c r="BR35" s="206" t="s">
        <v>108</v>
      </c>
      <c r="BS35" s="44" t="s">
        <v>109</v>
      </c>
      <c r="BT35" s="45"/>
      <c r="BU35" s="220" t="s">
        <v>110</v>
      </c>
      <c r="BV35" s="119"/>
      <c r="BW35" s="120"/>
      <c r="BX35" s="120"/>
      <c r="BY35" s="122"/>
      <c r="BZ35" s="123"/>
      <c r="CA35" s="123"/>
      <c r="CB35" s="124"/>
      <c r="CC35" s="122"/>
      <c r="CD35" s="123"/>
      <c r="CE35" s="123"/>
      <c r="CF35" s="215"/>
      <c r="CG35" s="2">
        <f>V111</f>
        <v>0</v>
      </c>
      <c r="CH35" s="2">
        <f t="shared" ref="CH35:CH46" si="36">W111</f>
        <v>0</v>
      </c>
      <c r="CI35" s="2">
        <f t="shared" ref="CI35:CN46" si="37">Y111</f>
        <v>0</v>
      </c>
      <c r="CJ35" s="2">
        <f t="shared" si="37"/>
        <v>0</v>
      </c>
      <c r="CK35" s="2">
        <f t="shared" si="37"/>
        <v>0</v>
      </c>
      <c r="CL35" s="2" t="str">
        <f t="shared" si="37"/>
        <v/>
      </c>
      <c r="CM35" s="2" t="str">
        <f t="shared" si="37"/>
        <v/>
      </c>
      <c r="CN35" s="2">
        <f t="shared" si="37"/>
        <v>0</v>
      </c>
      <c r="CO35" s="2">
        <f t="shared" ref="CO35:CX46" si="38">AF111</f>
        <v>0</v>
      </c>
      <c r="CP35" s="2">
        <f t="shared" si="38"/>
        <v>0</v>
      </c>
      <c r="CQ35" s="2">
        <f t="shared" si="38"/>
        <v>0</v>
      </c>
      <c r="CR35" s="2">
        <f t="shared" si="38"/>
        <v>0</v>
      </c>
      <c r="CS35" s="2">
        <f t="shared" si="38"/>
        <v>0</v>
      </c>
      <c r="CT35" s="2">
        <f t="shared" si="38"/>
        <v>0</v>
      </c>
      <c r="CU35" s="2">
        <f t="shared" si="38"/>
        <v>0</v>
      </c>
      <c r="CV35" s="2">
        <f t="shared" si="38"/>
        <v>0</v>
      </c>
      <c r="CW35" s="2">
        <f t="shared" si="38"/>
        <v>0</v>
      </c>
      <c r="CX35" s="2">
        <f t="shared" si="38"/>
        <v>0</v>
      </c>
      <c r="DF35" s="2">
        <f>AZ110</f>
        <v>0</v>
      </c>
      <c r="DG35" s="2">
        <f t="shared" ref="DG35:DQ46" si="39">BA110</f>
        <v>0</v>
      </c>
      <c r="DH35" s="2">
        <f t="shared" si="39"/>
        <v>0</v>
      </c>
      <c r="DI35" s="2">
        <f t="shared" si="39"/>
        <v>0</v>
      </c>
      <c r="DJ35" s="2">
        <f t="shared" si="39"/>
        <v>0</v>
      </c>
      <c r="DK35" s="2">
        <f t="shared" si="39"/>
        <v>0</v>
      </c>
      <c r="DL35" s="2">
        <f t="shared" si="39"/>
        <v>0</v>
      </c>
      <c r="DM35" s="2">
        <f t="shared" si="39"/>
        <v>0</v>
      </c>
      <c r="DN35" s="2">
        <f t="shared" si="39"/>
        <v>0</v>
      </c>
      <c r="DO35" s="2">
        <f t="shared" si="39"/>
        <v>0</v>
      </c>
      <c r="DP35" s="2">
        <f t="shared" si="39"/>
        <v>0</v>
      </c>
      <c r="DQ35" s="2">
        <f t="shared" si="39"/>
        <v>0</v>
      </c>
      <c r="DR35" s="2">
        <f>AQ123</f>
        <v>0</v>
      </c>
      <c r="DS35" s="2">
        <f t="shared" ref="DS35:EL46" si="40">AR123</f>
        <v>0</v>
      </c>
      <c r="DT35" s="2">
        <f t="shared" si="40"/>
        <v>0</v>
      </c>
      <c r="DU35" s="2">
        <f t="shared" si="40"/>
        <v>0</v>
      </c>
      <c r="DV35" s="2">
        <f t="shared" si="40"/>
        <v>0</v>
      </c>
      <c r="DW35" s="2">
        <f t="shared" si="40"/>
        <v>0</v>
      </c>
      <c r="DX35" s="2">
        <f t="shared" si="40"/>
        <v>0</v>
      </c>
      <c r="DY35" s="2">
        <f t="shared" si="40"/>
        <v>0</v>
      </c>
      <c r="DZ35" s="2">
        <f t="shared" si="40"/>
        <v>0</v>
      </c>
      <c r="EA35" s="2">
        <f t="shared" si="40"/>
        <v>0</v>
      </c>
      <c r="EB35" s="2">
        <f t="shared" si="40"/>
        <v>0</v>
      </c>
      <c r="EC35" s="2">
        <f t="shared" si="40"/>
        <v>0</v>
      </c>
      <c r="ED35" s="2">
        <f t="shared" si="40"/>
        <v>0</v>
      </c>
      <c r="EE35" s="2">
        <f t="shared" si="40"/>
        <v>0</v>
      </c>
      <c r="EF35" s="2">
        <f t="shared" si="40"/>
        <v>0</v>
      </c>
      <c r="EG35" s="2">
        <f t="shared" si="40"/>
        <v>0</v>
      </c>
      <c r="EH35" s="2">
        <f t="shared" si="40"/>
        <v>0</v>
      </c>
      <c r="EI35" s="2">
        <f t="shared" si="40"/>
        <v>0</v>
      </c>
      <c r="EJ35" s="2">
        <f t="shared" si="40"/>
        <v>0</v>
      </c>
      <c r="EK35" s="2">
        <f t="shared" si="40"/>
        <v>0</v>
      </c>
      <c r="EL35" s="2">
        <f t="shared" si="40"/>
        <v>0</v>
      </c>
    </row>
    <row r="36" spans="1:142" ht="14.4" customHeight="1" x14ac:dyDescent="0.3">
      <c r="A36" s="329"/>
      <c r="B36" s="328"/>
      <c r="C36" s="328"/>
      <c r="D36" s="328"/>
      <c r="E36" s="328"/>
      <c r="F36" s="328"/>
      <c r="G36" s="328"/>
      <c r="H36" s="328"/>
      <c r="I36" s="328"/>
      <c r="J36" s="328"/>
      <c r="K36" s="328"/>
      <c r="L36" s="328"/>
      <c r="M36" s="328"/>
      <c r="N36" s="328"/>
      <c r="O36" s="328"/>
      <c r="P36" s="328"/>
      <c r="Q36" s="282"/>
      <c r="R36" s="73"/>
      <c r="S36" s="332"/>
      <c r="T36" s="333"/>
      <c r="U36" s="334"/>
      <c r="V36" s="49" t="str">
        <f t="shared" si="35"/>
        <v/>
      </c>
      <c r="W36" s="38" t="str" cm="1">
        <f t="array" ref="W36">IF(Y22="", "", IF(AND(Y22&lt;=MIN(AF22:AO22),Z22&gt;=MAX(AF22:AO22)),"ACCEPT",IF(AND(AF22:AO22="OK"),"ACCEPT","REJECT")))</f>
        <v/>
      </c>
      <c r="X36" s="38" t="str">
        <f t="shared" si="27"/>
        <v/>
      </c>
      <c r="Y36" s="38" t="str">
        <f t="shared" si="28"/>
        <v/>
      </c>
      <c r="Z36" s="38" t="str">
        <f t="shared" si="29"/>
        <v/>
      </c>
      <c r="AA36" s="38">
        <f t="shared" si="30"/>
        <v>1</v>
      </c>
      <c r="AB36" s="38">
        <f t="shared" si="31"/>
        <v>0</v>
      </c>
      <c r="AC36" s="38">
        <f t="shared" si="32"/>
        <v>0</v>
      </c>
      <c r="AD36" s="38">
        <f t="shared" si="33"/>
        <v>0</v>
      </c>
      <c r="AE36" s="38" t="str">
        <f t="shared" si="34"/>
        <v>-</v>
      </c>
      <c r="AP36" s="22"/>
      <c r="AQ36" s="101"/>
      <c r="AR36" s="28"/>
      <c r="AS36" s="28"/>
      <c r="AT36" s="28"/>
      <c r="AU36" s="28"/>
      <c r="AV36" s="28"/>
      <c r="AW36" s="28"/>
      <c r="AX36" s="28"/>
      <c r="AY36" s="28"/>
      <c r="AZ36" s="28"/>
      <c r="BA36" s="28"/>
      <c r="BB36" s="28"/>
      <c r="BC36" s="28"/>
      <c r="BD36" s="28"/>
      <c r="BE36" s="28"/>
      <c r="BF36" s="28"/>
      <c r="BG36" s="28"/>
      <c r="BH36" s="28"/>
      <c r="BI36" s="28"/>
      <c r="BJ36" s="28"/>
      <c r="BK36" s="51"/>
      <c r="BL36" s="199"/>
      <c r="BM36" s="154"/>
      <c r="BN36" s="200"/>
      <c r="BO36" s="202"/>
      <c r="BP36" s="202"/>
      <c r="BQ36" s="203"/>
      <c r="BR36" s="206"/>
      <c r="BS36" s="44" t="s">
        <v>112</v>
      </c>
      <c r="BT36" s="45"/>
      <c r="BU36" s="221"/>
      <c r="BV36" s="125"/>
      <c r="BW36" s="126"/>
      <c r="BX36" s="126"/>
      <c r="BY36" s="122"/>
      <c r="BZ36" s="123"/>
      <c r="CA36" s="123"/>
      <c r="CB36" s="124"/>
      <c r="CC36" s="122"/>
      <c r="CD36" s="123"/>
      <c r="CE36" s="123"/>
      <c r="CF36" s="215"/>
      <c r="CG36" s="2">
        <f t="shared" ref="CG36:CG46" si="41">V112</f>
        <v>0</v>
      </c>
      <c r="CH36" s="2">
        <f t="shared" si="36"/>
        <v>0</v>
      </c>
      <c r="CI36" s="2">
        <f t="shared" si="37"/>
        <v>0</v>
      </c>
      <c r="CJ36" s="2">
        <f t="shared" si="37"/>
        <v>0</v>
      </c>
      <c r="CK36" s="2">
        <f t="shared" si="37"/>
        <v>0</v>
      </c>
      <c r="CL36" s="2" t="str">
        <f t="shared" si="37"/>
        <v/>
      </c>
      <c r="CM36" s="2" t="str">
        <f t="shared" si="37"/>
        <v/>
      </c>
      <c r="CN36" s="2">
        <f t="shared" si="37"/>
        <v>0</v>
      </c>
      <c r="CO36" s="2">
        <f t="shared" si="38"/>
        <v>0</v>
      </c>
      <c r="CP36" s="2">
        <f t="shared" si="38"/>
        <v>0</v>
      </c>
      <c r="CQ36" s="2">
        <f t="shared" si="38"/>
        <v>0</v>
      </c>
      <c r="CR36" s="2">
        <f t="shared" si="38"/>
        <v>0</v>
      </c>
      <c r="CS36" s="2">
        <f t="shared" si="38"/>
        <v>0</v>
      </c>
      <c r="CT36" s="2">
        <f t="shared" si="38"/>
        <v>0</v>
      </c>
      <c r="CU36" s="2">
        <f t="shared" si="38"/>
        <v>0</v>
      </c>
      <c r="CV36" s="2">
        <f t="shared" si="38"/>
        <v>0</v>
      </c>
      <c r="CW36" s="2">
        <f t="shared" si="38"/>
        <v>0</v>
      </c>
      <c r="CX36" s="2">
        <f t="shared" si="38"/>
        <v>0</v>
      </c>
      <c r="DF36" s="2">
        <f t="shared" ref="DF36:DF46" si="42">AZ111</f>
        <v>0</v>
      </c>
      <c r="DG36" s="2">
        <f t="shared" si="39"/>
        <v>0</v>
      </c>
      <c r="DH36" s="2">
        <f t="shared" si="39"/>
        <v>0</v>
      </c>
      <c r="DI36" s="2">
        <f t="shared" si="39"/>
        <v>0</v>
      </c>
      <c r="DJ36" s="2">
        <f t="shared" si="39"/>
        <v>0</v>
      </c>
      <c r="DK36" s="2">
        <f t="shared" si="39"/>
        <v>0</v>
      </c>
      <c r="DL36" s="2">
        <f t="shared" si="39"/>
        <v>0</v>
      </c>
      <c r="DM36" s="2">
        <f t="shared" si="39"/>
        <v>0</v>
      </c>
      <c r="DN36" s="2">
        <f t="shared" si="39"/>
        <v>0</v>
      </c>
      <c r="DO36" s="2">
        <f t="shared" si="39"/>
        <v>0</v>
      </c>
      <c r="DP36" s="2">
        <f t="shared" si="39"/>
        <v>0</v>
      </c>
      <c r="DQ36" s="2">
        <f t="shared" si="39"/>
        <v>0</v>
      </c>
      <c r="DR36" s="2">
        <f t="shared" ref="DR36:DR46" si="43">AQ124</f>
        <v>0</v>
      </c>
      <c r="DS36" s="2">
        <f t="shared" si="40"/>
        <v>0</v>
      </c>
      <c r="DT36" s="2">
        <f t="shared" si="40"/>
        <v>0</v>
      </c>
      <c r="DU36" s="2">
        <f t="shared" si="40"/>
        <v>0</v>
      </c>
      <c r="DV36" s="2">
        <f t="shared" si="40"/>
        <v>0</v>
      </c>
      <c r="DW36" s="2">
        <f t="shared" si="40"/>
        <v>0</v>
      </c>
      <c r="DX36" s="2">
        <f t="shared" si="40"/>
        <v>0</v>
      </c>
      <c r="DY36" s="2">
        <f t="shared" si="40"/>
        <v>0</v>
      </c>
      <c r="DZ36" s="2">
        <f t="shared" si="40"/>
        <v>0</v>
      </c>
      <c r="EA36" s="2">
        <f t="shared" si="40"/>
        <v>0</v>
      </c>
      <c r="EB36" s="2">
        <f t="shared" si="40"/>
        <v>0</v>
      </c>
      <c r="EC36" s="2">
        <f t="shared" si="40"/>
        <v>0</v>
      </c>
      <c r="ED36" s="2">
        <f t="shared" si="40"/>
        <v>0</v>
      </c>
      <c r="EE36" s="2">
        <f t="shared" si="40"/>
        <v>0</v>
      </c>
      <c r="EF36" s="2">
        <f t="shared" si="40"/>
        <v>0</v>
      </c>
      <c r="EG36" s="2">
        <f t="shared" si="40"/>
        <v>0</v>
      </c>
      <c r="EH36" s="2">
        <f t="shared" si="40"/>
        <v>0</v>
      </c>
      <c r="EI36" s="2">
        <f t="shared" si="40"/>
        <v>0</v>
      </c>
      <c r="EJ36" s="2">
        <f t="shared" si="40"/>
        <v>0</v>
      </c>
      <c r="EK36" s="2">
        <f t="shared" si="40"/>
        <v>0</v>
      </c>
      <c r="EL36" s="2">
        <f t="shared" si="40"/>
        <v>0</v>
      </c>
    </row>
    <row r="37" spans="1:142" ht="14.4" customHeight="1" x14ac:dyDescent="0.3">
      <c r="A37" s="329"/>
      <c r="B37" s="328"/>
      <c r="C37" s="328"/>
      <c r="D37" s="328"/>
      <c r="E37" s="328"/>
      <c r="F37" s="328"/>
      <c r="G37" s="328"/>
      <c r="H37" s="328"/>
      <c r="I37" s="328"/>
      <c r="J37" s="328"/>
      <c r="K37" s="328"/>
      <c r="L37" s="328"/>
      <c r="M37" s="328"/>
      <c r="N37" s="328"/>
      <c r="O37" s="328"/>
      <c r="P37" s="328"/>
      <c r="Q37" s="282"/>
      <c r="R37" s="73"/>
      <c r="S37" s="332"/>
      <c r="T37" s="333"/>
      <c r="U37" s="334"/>
      <c r="V37" s="49" t="str">
        <f t="shared" si="35"/>
        <v/>
      </c>
      <c r="W37" s="38" t="str" cm="1">
        <f t="array" ref="W37">IF(Y23="", "", IF(AND(Y23&lt;=MIN(AF23:AO23),Z23&gt;=MAX(AF23:AO23)),"ACCEPT",IF(AND(AF23:AO23="OK"),"ACCEPT","REJECT")))</f>
        <v/>
      </c>
      <c r="X37" s="38" t="str">
        <f t="shared" si="27"/>
        <v/>
      </c>
      <c r="Y37" s="38" t="str">
        <f t="shared" si="28"/>
        <v/>
      </c>
      <c r="Z37" s="38" t="str">
        <f t="shared" si="29"/>
        <v/>
      </c>
      <c r="AA37" s="38">
        <f t="shared" si="30"/>
        <v>1</v>
      </c>
      <c r="AB37" s="38">
        <f t="shared" si="31"/>
        <v>0</v>
      </c>
      <c r="AC37" s="38">
        <f t="shared" si="32"/>
        <v>0</v>
      </c>
      <c r="AD37" s="38">
        <f t="shared" si="33"/>
        <v>0</v>
      </c>
      <c r="AE37" s="38" t="str">
        <f t="shared" si="34"/>
        <v>-</v>
      </c>
      <c r="AP37" s="22"/>
      <c r="AQ37" s="101"/>
      <c r="AR37" s="28"/>
      <c r="AS37" s="28"/>
      <c r="AT37" s="28"/>
      <c r="AU37" s="28"/>
      <c r="AV37" s="28"/>
      <c r="AW37" s="28"/>
      <c r="AX37" s="28"/>
      <c r="AY37" s="28"/>
      <c r="AZ37" s="28"/>
      <c r="BA37" s="28"/>
      <c r="BB37" s="28"/>
      <c r="BC37" s="28"/>
      <c r="BD37" s="28"/>
      <c r="BE37" s="28"/>
      <c r="BF37" s="28"/>
      <c r="BG37" s="28"/>
      <c r="BH37" s="28"/>
      <c r="BI37" s="28"/>
      <c r="BJ37" s="28"/>
      <c r="BK37" s="51"/>
      <c r="BL37" s="170"/>
      <c r="BM37" s="171"/>
      <c r="BN37" s="172"/>
      <c r="BO37" s="171"/>
      <c r="BP37" s="171"/>
      <c r="BQ37" s="172"/>
      <c r="BR37" s="171"/>
      <c r="BS37" s="171"/>
      <c r="BT37" s="171"/>
      <c r="BU37" s="171"/>
      <c r="BV37" s="171"/>
      <c r="BW37" s="171"/>
      <c r="BX37" s="172"/>
      <c r="BY37" s="122"/>
      <c r="BZ37" s="123"/>
      <c r="CA37" s="123"/>
      <c r="CB37" s="124"/>
      <c r="CC37" s="122"/>
      <c r="CD37" s="123"/>
      <c r="CE37" s="123"/>
      <c r="CF37" s="215"/>
      <c r="CG37" s="2">
        <f t="shared" si="41"/>
        <v>0</v>
      </c>
      <c r="CH37" s="2">
        <f t="shared" si="36"/>
        <v>0</v>
      </c>
      <c r="CI37" s="2">
        <f t="shared" si="37"/>
        <v>0</v>
      </c>
      <c r="CJ37" s="2">
        <f t="shared" si="37"/>
        <v>0</v>
      </c>
      <c r="CK37" s="2">
        <f t="shared" si="37"/>
        <v>0</v>
      </c>
      <c r="CL37" s="2" t="str">
        <f t="shared" si="37"/>
        <v/>
      </c>
      <c r="CM37" s="2" t="str">
        <f t="shared" si="37"/>
        <v/>
      </c>
      <c r="CN37" s="2">
        <f t="shared" si="37"/>
        <v>0</v>
      </c>
      <c r="CO37" s="2">
        <f t="shared" si="38"/>
        <v>0</v>
      </c>
      <c r="CP37" s="2">
        <f t="shared" si="38"/>
        <v>0</v>
      </c>
      <c r="CQ37" s="2">
        <f t="shared" si="38"/>
        <v>0</v>
      </c>
      <c r="CR37" s="2">
        <f t="shared" si="38"/>
        <v>0</v>
      </c>
      <c r="CS37" s="2">
        <f t="shared" si="38"/>
        <v>0</v>
      </c>
      <c r="CT37" s="2">
        <f t="shared" si="38"/>
        <v>0</v>
      </c>
      <c r="CU37" s="2">
        <f t="shared" si="38"/>
        <v>0</v>
      </c>
      <c r="CV37" s="2">
        <f t="shared" si="38"/>
        <v>0</v>
      </c>
      <c r="CW37" s="2">
        <f t="shared" si="38"/>
        <v>0</v>
      </c>
      <c r="CX37" s="2">
        <f t="shared" si="38"/>
        <v>0</v>
      </c>
      <c r="DF37" s="2">
        <f t="shared" si="42"/>
        <v>0</v>
      </c>
      <c r="DG37" s="2">
        <f t="shared" si="39"/>
        <v>0</v>
      </c>
      <c r="DH37" s="2">
        <f t="shared" si="39"/>
        <v>0</v>
      </c>
      <c r="DI37" s="2">
        <f t="shared" si="39"/>
        <v>0</v>
      </c>
      <c r="DJ37" s="2">
        <f t="shared" si="39"/>
        <v>0</v>
      </c>
      <c r="DK37" s="2">
        <f t="shared" si="39"/>
        <v>0</v>
      </c>
      <c r="DL37" s="2">
        <f t="shared" si="39"/>
        <v>0</v>
      </c>
      <c r="DM37" s="2">
        <f t="shared" si="39"/>
        <v>0</v>
      </c>
      <c r="DN37" s="2">
        <f t="shared" si="39"/>
        <v>0</v>
      </c>
      <c r="DO37" s="2">
        <f t="shared" si="39"/>
        <v>0</v>
      </c>
      <c r="DP37" s="2">
        <f t="shared" si="39"/>
        <v>0</v>
      </c>
      <c r="DQ37" s="2">
        <f t="shared" si="39"/>
        <v>0</v>
      </c>
      <c r="DR37" s="2">
        <f t="shared" si="43"/>
        <v>0</v>
      </c>
      <c r="DS37" s="2">
        <f t="shared" si="40"/>
        <v>0</v>
      </c>
      <c r="DT37" s="2">
        <f t="shared" si="40"/>
        <v>0</v>
      </c>
      <c r="DU37" s="2">
        <f t="shared" si="40"/>
        <v>0</v>
      </c>
      <c r="DV37" s="2">
        <f t="shared" si="40"/>
        <v>0</v>
      </c>
      <c r="DW37" s="2">
        <f t="shared" si="40"/>
        <v>0</v>
      </c>
      <c r="DX37" s="2">
        <f t="shared" si="40"/>
        <v>0</v>
      </c>
      <c r="DY37" s="2">
        <f t="shared" si="40"/>
        <v>0</v>
      </c>
      <c r="DZ37" s="2">
        <f t="shared" si="40"/>
        <v>0</v>
      </c>
      <c r="EA37" s="2">
        <f t="shared" si="40"/>
        <v>0</v>
      </c>
      <c r="EB37" s="2">
        <f t="shared" si="40"/>
        <v>0</v>
      </c>
      <c r="EC37" s="2">
        <f t="shared" si="40"/>
        <v>0</v>
      </c>
      <c r="ED37" s="2">
        <f t="shared" si="40"/>
        <v>0</v>
      </c>
      <c r="EE37" s="2">
        <f t="shared" si="40"/>
        <v>0</v>
      </c>
      <c r="EF37" s="2">
        <f t="shared" si="40"/>
        <v>0</v>
      </c>
      <c r="EG37" s="2">
        <f t="shared" si="40"/>
        <v>0</v>
      </c>
      <c r="EH37" s="2">
        <f t="shared" si="40"/>
        <v>0</v>
      </c>
      <c r="EI37" s="2">
        <f t="shared" si="40"/>
        <v>0</v>
      </c>
      <c r="EJ37" s="2">
        <f t="shared" si="40"/>
        <v>0</v>
      </c>
      <c r="EK37" s="2">
        <f t="shared" si="40"/>
        <v>0</v>
      </c>
      <c r="EL37" s="2">
        <f t="shared" si="40"/>
        <v>0</v>
      </c>
    </row>
    <row r="38" spans="1:142" ht="14.4" customHeight="1" x14ac:dyDescent="0.3">
      <c r="A38" s="329"/>
      <c r="B38" s="328"/>
      <c r="C38" s="328"/>
      <c r="D38" s="328"/>
      <c r="E38" s="328"/>
      <c r="F38" s="328"/>
      <c r="G38" s="328"/>
      <c r="H38" s="328"/>
      <c r="I38" s="328"/>
      <c r="J38" s="328"/>
      <c r="K38" s="328"/>
      <c r="L38" s="328"/>
      <c r="M38" s="328"/>
      <c r="N38" s="328"/>
      <c r="O38" s="328"/>
      <c r="P38" s="328"/>
      <c r="Q38" s="282"/>
      <c r="R38" s="73"/>
      <c r="S38" s="332"/>
      <c r="T38" s="333"/>
      <c r="U38" s="334"/>
      <c r="V38" s="49" t="str">
        <f t="shared" si="35"/>
        <v/>
      </c>
      <c r="W38" s="38" t="str" cm="1">
        <f t="array" ref="W38">IF(Y24="", "", IF(AND(Y24&lt;=MIN(AF24:AO24),Z24&gt;=MAX(AF24:AO24)),"ACCEPT",IF(AND(AF24:AO24="OK"),"ACCEPT","REJECT")))</f>
        <v/>
      </c>
      <c r="X38" s="38" t="str">
        <f t="shared" si="27"/>
        <v/>
      </c>
      <c r="Y38" s="38" t="str">
        <f t="shared" si="28"/>
        <v/>
      </c>
      <c r="Z38" s="38" t="str">
        <f t="shared" si="29"/>
        <v/>
      </c>
      <c r="AA38" s="38">
        <f t="shared" si="30"/>
        <v>1</v>
      </c>
      <c r="AB38" s="38">
        <f t="shared" si="31"/>
        <v>0</v>
      </c>
      <c r="AC38" s="38">
        <f t="shared" si="32"/>
        <v>0</v>
      </c>
      <c r="AD38" s="38">
        <f t="shared" si="33"/>
        <v>0</v>
      </c>
      <c r="AE38" s="38" t="str">
        <f t="shared" si="34"/>
        <v>-</v>
      </c>
      <c r="AP38" s="22"/>
      <c r="AQ38" s="101"/>
      <c r="AR38" s="28"/>
      <c r="AS38" s="28"/>
      <c r="AT38" s="28"/>
      <c r="AU38" s="28"/>
      <c r="AV38" s="28"/>
      <c r="AW38" s="28"/>
      <c r="AX38" s="28"/>
      <c r="AY38" s="28"/>
      <c r="AZ38" s="28"/>
      <c r="BA38" s="28"/>
      <c r="BB38" s="28"/>
      <c r="BC38" s="28"/>
      <c r="BD38" s="28"/>
      <c r="BE38" s="28"/>
      <c r="BF38" s="28"/>
      <c r="BG38" s="28"/>
      <c r="BH38" s="28"/>
      <c r="BI38" s="28"/>
      <c r="BJ38" s="28"/>
      <c r="BK38" s="51"/>
      <c r="BL38" s="173"/>
      <c r="BM38" s="174"/>
      <c r="BN38" s="175"/>
      <c r="BO38" s="174"/>
      <c r="BP38" s="174"/>
      <c r="BQ38" s="175"/>
      <c r="BR38" s="174"/>
      <c r="BS38" s="174"/>
      <c r="BT38" s="174"/>
      <c r="BU38" s="174"/>
      <c r="BV38" s="174"/>
      <c r="BW38" s="174"/>
      <c r="BX38" s="175"/>
      <c r="BY38" s="122"/>
      <c r="BZ38" s="123"/>
      <c r="CA38" s="123"/>
      <c r="CB38" s="124"/>
      <c r="CC38" s="122"/>
      <c r="CD38" s="123"/>
      <c r="CE38" s="123"/>
      <c r="CF38" s="215"/>
      <c r="CG38" s="2">
        <f t="shared" si="41"/>
        <v>0</v>
      </c>
      <c r="CH38" s="2">
        <f t="shared" si="36"/>
        <v>0</v>
      </c>
      <c r="CI38" s="2">
        <f t="shared" si="37"/>
        <v>0</v>
      </c>
      <c r="CJ38" s="2">
        <f t="shared" si="37"/>
        <v>0</v>
      </c>
      <c r="CK38" s="2">
        <f t="shared" si="37"/>
        <v>0</v>
      </c>
      <c r="CL38" s="2" t="str">
        <f t="shared" si="37"/>
        <v/>
      </c>
      <c r="CM38" s="2" t="str">
        <f t="shared" si="37"/>
        <v/>
      </c>
      <c r="CN38" s="2">
        <f t="shared" si="37"/>
        <v>0</v>
      </c>
      <c r="CO38" s="2">
        <f t="shared" si="38"/>
        <v>0</v>
      </c>
      <c r="CP38" s="2">
        <f t="shared" si="38"/>
        <v>0</v>
      </c>
      <c r="CQ38" s="2">
        <f t="shared" si="38"/>
        <v>0</v>
      </c>
      <c r="CR38" s="2">
        <f t="shared" si="38"/>
        <v>0</v>
      </c>
      <c r="CS38" s="2">
        <f t="shared" si="38"/>
        <v>0</v>
      </c>
      <c r="CT38" s="2">
        <f t="shared" si="38"/>
        <v>0</v>
      </c>
      <c r="CU38" s="2">
        <f t="shared" si="38"/>
        <v>0</v>
      </c>
      <c r="CV38" s="2">
        <f t="shared" si="38"/>
        <v>0</v>
      </c>
      <c r="CW38" s="2">
        <f t="shared" si="38"/>
        <v>0</v>
      </c>
      <c r="CX38" s="2">
        <f t="shared" si="38"/>
        <v>0</v>
      </c>
      <c r="DF38" s="2">
        <f t="shared" si="42"/>
        <v>0</v>
      </c>
      <c r="DG38" s="2">
        <f t="shared" si="39"/>
        <v>0</v>
      </c>
      <c r="DH38" s="2">
        <f t="shared" si="39"/>
        <v>0</v>
      </c>
      <c r="DI38" s="2">
        <f t="shared" si="39"/>
        <v>0</v>
      </c>
      <c r="DJ38" s="2">
        <f t="shared" si="39"/>
        <v>0</v>
      </c>
      <c r="DK38" s="2">
        <f t="shared" si="39"/>
        <v>0</v>
      </c>
      <c r="DL38" s="2">
        <f t="shared" si="39"/>
        <v>0</v>
      </c>
      <c r="DM38" s="2">
        <f t="shared" si="39"/>
        <v>0</v>
      </c>
      <c r="DN38" s="2">
        <f t="shared" si="39"/>
        <v>0</v>
      </c>
      <c r="DO38" s="2">
        <f t="shared" si="39"/>
        <v>0</v>
      </c>
      <c r="DP38" s="2">
        <f t="shared" si="39"/>
        <v>0</v>
      </c>
      <c r="DQ38" s="2">
        <f t="shared" si="39"/>
        <v>0</v>
      </c>
      <c r="DR38" s="2">
        <f t="shared" si="43"/>
        <v>0</v>
      </c>
      <c r="DS38" s="2">
        <f t="shared" si="40"/>
        <v>0</v>
      </c>
      <c r="DT38" s="2">
        <f t="shared" si="40"/>
        <v>0</v>
      </c>
      <c r="DU38" s="2">
        <f t="shared" si="40"/>
        <v>0</v>
      </c>
      <c r="DV38" s="2">
        <f t="shared" si="40"/>
        <v>0</v>
      </c>
      <c r="DW38" s="2">
        <f t="shared" si="40"/>
        <v>0</v>
      </c>
      <c r="DX38" s="2">
        <f t="shared" si="40"/>
        <v>0</v>
      </c>
      <c r="DY38" s="2">
        <f t="shared" si="40"/>
        <v>0</v>
      </c>
      <c r="DZ38" s="2">
        <f t="shared" si="40"/>
        <v>0</v>
      </c>
      <c r="EA38" s="2">
        <f t="shared" si="40"/>
        <v>0</v>
      </c>
      <c r="EB38" s="2">
        <f t="shared" si="40"/>
        <v>0</v>
      </c>
      <c r="EC38" s="2">
        <f t="shared" si="40"/>
        <v>0</v>
      </c>
      <c r="ED38" s="2">
        <f t="shared" si="40"/>
        <v>0</v>
      </c>
      <c r="EE38" s="2">
        <f t="shared" si="40"/>
        <v>0</v>
      </c>
      <c r="EF38" s="2">
        <f t="shared" si="40"/>
        <v>0</v>
      </c>
      <c r="EG38" s="2">
        <f t="shared" si="40"/>
        <v>0</v>
      </c>
      <c r="EH38" s="2">
        <f t="shared" si="40"/>
        <v>0</v>
      </c>
      <c r="EI38" s="2">
        <f t="shared" si="40"/>
        <v>0</v>
      </c>
      <c r="EJ38" s="2">
        <f t="shared" si="40"/>
        <v>0</v>
      </c>
      <c r="EK38" s="2">
        <f t="shared" si="40"/>
        <v>0</v>
      </c>
      <c r="EL38" s="2">
        <f t="shared" si="40"/>
        <v>0</v>
      </c>
    </row>
    <row r="39" spans="1:142" ht="14.4" customHeight="1" thickBot="1" x14ac:dyDescent="0.35">
      <c r="A39" s="329"/>
      <c r="B39" s="328"/>
      <c r="C39" s="328"/>
      <c r="D39" s="328"/>
      <c r="E39" s="328"/>
      <c r="F39" s="328"/>
      <c r="G39" s="328"/>
      <c r="H39" s="328"/>
      <c r="I39" s="328"/>
      <c r="J39" s="328"/>
      <c r="K39" s="328"/>
      <c r="L39" s="328"/>
      <c r="M39" s="328"/>
      <c r="N39" s="328"/>
      <c r="O39" s="328"/>
      <c r="P39" s="328"/>
      <c r="Q39" s="282"/>
      <c r="R39" s="73"/>
      <c r="S39" s="332"/>
      <c r="T39" s="333"/>
      <c r="U39" s="334"/>
      <c r="V39" s="49" t="str">
        <f t="shared" si="35"/>
        <v/>
      </c>
      <c r="W39" s="38" t="str" cm="1">
        <f t="array" ref="W39">IF(Y25="", "", IF(AND(Y25&lt;=MIN(AF25:AO25),Z25&gt;=MAX(AF25:AO25)),"ACCEPT",IF(AND(AF25:AO25="OK"),"ACCEPT","REJECT")))</f>
        <v/>
      </c>
      <c r="X39" s="38" t="str">
        <f t="shared" si="27"/>
        <v/>
      </c>
      <c r="Y39" s="38" t="str">
        <f t="shared" si="28"/>
        <v/>
      </c>
      <c r="Z39" s="38" t="str">
        <f t="shared" si="29"/>
        <v/>
      </c>
      <c r="AA39" s="38">
        <f t="shared" si="30"/>
        <v>1</v>
      </c>
      <c r="AB39" s="38">
        <f t="shared" si="31"/>
        <v>0</v>
      </c>
      <c r="AC39" s="38">
        <f t="shared" si="32"/>
        <v>0</v>
      </c>
      <c r="AD39" s="38">
        <f t="shared" si="33"/>
        <v>0</v>
      </c>
      <c r="AE39" s="38" t="str">
        <f t="shared" si="34"/>
        <v>-</v>
      </c>
      <c r="AP39" s="22"/>
      <c r="AQ39" s="145" t="s">
        <v>113</v>
      </c>
      <c r="AR39" s="145"/>
      <c r="AS39" s="145"/>
      <c r="AT39" s="145"/>
      <c r="AU39" s="145"/>
      <c r="AV39" s="145"/>
      <c r="AW39" s="145"/>
      <c r="AX39" s="145"/>
      <c r="AY39" s="285"/>
      <c r="AZ39" s="285"/>
      <c r="BA39" s="285"/>
      <c r="BB39" s="285"/>
      <c r="BC39" s="285"/>
      <c r="BD39" s="285"/>
      <c r="BE39" s="285"/>
      <c r="BF39" s="286"/>
      <c r="BK39" s="22"/>
      <c r="BL39" s="173"/>
      <c r="BM39" s="174"/>
      <c r="BN39" s="175"/>
      <c r="BO39" s="174"/>
      <c r="BP39" s="174"/>
      <c r="BQ39" s="175"/>
      <c r="BR39" s="174"/>
      <c r="BS39" s="174"/>
      <c r="BT39" s="174"/>
      <c r="BU39" s="174"/>
      <c r="BV39" s="174"/>
      <c r="BW39" s="174"/>
      <c r="BX39" s="175"/>
      <c r="BY39" s="122"/>
      <c r="BZ39" s="123"/>
      <c r="CA39" s="123"/>
      <c r="CB39" s="124"/>
      <c r="CC39" s="122"/>
      <c r="CD39" s="123"/>
      <c r="CE39" s="123"/>
      <c r="CF39" s="215"/>
      <c r="CG39" s="2">
        <f t="shared" si="41"/>
        <v>0</v>
      </c>
      <c r="CH39" s="2">
        <f t="shared" si="36"/>
        <v>0</v>
      </c>
      <c r="CI39" s="2">
        <f t="shared" si="37"/>
        <v>0</v>
      </c>
      <c r="CJ39" s="2">
        <f t="shared" si="37"/>
        <v>0</v>
      </c>
      <c r="CK39" s="2">
        <f t="shared" si="37"/>
        <v>0</v>
      </c>
      <c r="CL39" s="2" t="str">
        <f t="shared" si="37"/>
        <v/>
      </c>
      <c r="CM39" s="2" t="str">
        <f t="shared" si="37"/>
        <v/>
      </c>
      <c r="CN39" s="2">
        <f t="shared" si="37"/>
        <v>0</v>
      </c>
      <c r="CO39" s="2">
        <f t="shared" si="38"/>
        <v>0</v>
      </c>
      <c r="CP39" s="2">
        <f t="shared" si="38"/>
        <v>0</v>
      </c>
      <c r="CQ39" s="2">
        <f t="shared" si="38"/>
        <v>0</v>
      </c>
      <c r="CR39" s="2">
        <f t="shared" si="38"/>
        <v>0</v>
      </c>
      <c r="CS39" s="2">
        <f t="shared" si="38"/>
        <v>0</v>
      </c>
      <c r="CT39" s="2">
        <f t="shared" si="38"/>
        <v>0</v>
      </c>
      <c r="CU39" s="2">
        <f t="shared" si="38"/>
        <v>0</v>
      </c>
      <c r="CV39" s="2">
        <f t="shared" si="38"/>
        <v>0</v>
      </c>
      <c r="CW39" s="2">
        <f t="shared" si="38"/>
        <v>0</v>
      </c>
      <c r="CX39" s="2">
        <f t="shared" si="38"/>
        <v>0</v>
      </c>
      <c r="DF39" s="2">
        <f t="shared" si="42"/>
        <v>0</v>
      </c>
      <c r="DG39" s="2">
        <f t="shared" si="39"/>
        <v>0</v>
      </c>
      <c r="DH39" s="2">
        <f t="shared" si="39"/>
        <v>0</v>
      </c>
      <c r="DI39" s="2">
        <f t="shared" si="39"/>
        <v>0</v>
      </c>
      <c r="DJ39" s="2">
        <f t="shared" si="39"/>
        <v>0</v>
      </c>
      <c r="DK39" s="2">
        <f t="shared" si="39"/>
        <v>0</v>
      </c>
      <c r="DL39" s="2">
        <f t="shared" si="39"/>
        <v>0</v>
      </c>
      <c r="DM39" s="2">
        <f t="shared" si="39"/>
        <v>0</v>
      </c>
      <c r="DN39" s="2">
        <f t="shared" si="39"/>
        <v>0</v>
      </c>
      <c r="DO39" s="2">
        <f t="shared" si="39"/>
        <v>0</v>
      </c>
      <c r="DP39" s="2">
        <f t="shared" si="39"/>
        <v>0</v>
      </c>
      <c r="DQ39" s="2">
        <f t="shared" si="39"/>
        <v>0</v>
      </c>
      <c r="DR39" s="2">
        <f t="shared" si="43"/>
        <v>0</v>
      </c>
      <c r="DS39" s="2">
        <f t="shared" si="40"/>
        <v>0</v>
      </c>
      <c r="DT39" s="2">
        <f t="shared" si="40"/>
        <v>0</v>
      </c>
      <c r="DU39" s="2">
        <f t="shared" si="40"/>
        <v>0</v>
      </c>
      <c r="DV39" s="2">
        <f t="shared" si="40"/>
        <v>0</v>
      </c>
      <c r="DW39" s="2">
        <f t="shared" si="40"/>
        <v>0</v>
      </c>
      <c r="DX39" s="2">
        <f t="shared" si="40"/>
        <v>0</v>
      </c>
      <c r="DY39" s="2">
        <f t="shared" si="40"/>
        <v>0</v>
      </c>
      <c r="DZ39" s="2">
        <f t="shared" si="40"/>
        <v>0</v>
      </c>
      <c r="EA39" s="2">
        <f t="shared" si="40"/>
        <v>0</v>
      </c>
      <c r="EB39" s="2">
        <f t="shared" si="40"/>
        <v>0</v>
      </c>
      <c r="EC39" s="2">
        <f t="shared" si="40"/>
        <v>0</v>
      </c>
      <c r="ED39" s="2">
        <f t="shared" si="40"/>
        <v>0</v>
      </c>
      <c r="EE39" s="2">
        <f t="shared" si="40"/>
        <v>0</v>
      </c>
      <c r="EF39" s="2">
        <f t="shared" si="40"/>
        <v>0</v>
      </c>
      <c r="EG39" s="2">
        <f t="shared" si="40"/>
        <v>0</v>
      </c>
      <c r="EH39" s="2">
        <f t="shared" si="40"/>
        <v>0</v>
      </c>
      <c r="EI39" s="2">
        <f t="shared" si="40"/>
        <v>0</v>
      </c>
      <c r="EJ39" s="2">
        <f t="shared" si="40"/>
        <v>0</v>
      </c>
      <c r="EK39" s="2">
        <f t="shared" si="40"/>
        <v>0</v>
      </c>
      <c r="EL39" s="2">
        <f t="shared" si="40"/>
        <v>0</v>
      </c>
    </row>
    <row r="40" spans="1:142" ht="14.4" customHeight="1" x14ac:dyDescent="0.3">
      <c r="A40" s="329"/>
      <c r="B40" s="328"/>
      <c r="C40" s="328"/>
      <c r="D40" s="328"/>
      <c r="E40" s="328"/>
      <c r="F40" s="328"/>
      <c r="G40" s="328"/>
      <c r="H40" s="328"/>
      <c r="I40" s="328"/>
      <c r="J40" s="328"/>
      <c r="K40" s="328"/>
      <c r="L40" s="328"/>
      <c r="M40" s="328"/>
      <c r="N40" s="328"/>
      <c r="O40" s="328"/>
      <c r="P40" s="328"/>
      <c r="Q40" s="282"/>
      <c r="R40" s="73"/>
      <c r="S40" s="332"/>
      <c r="T40" s="333"/>
      <c r="U40" s="334"/>
      <c r="V40" s="49" t="str">
        <f>IF(ISBLANK(V26),"",V26)</f>
        <v/>
      </c>
      <c r="W40" s="38" t="str" cm="1">
        <f t="array" ref="W40">IF(Y26="", "", IF(AND(Y26&lt;=MIN(AF26:AO26),Z26&gt;=MAX(AF26:AO26)),"ACCEPT",IF(AND(AF26:AO26="OK"),"ACCEPT","REJECT")))</f>
        <v/>
      </c>
      <c r="X40" s="38" t="str">
        <f t="shared" si="27"/>
        <v/>
      </c>
      <c r="Y40" s="38" t="str">
        <f t="shared" si="28"/>
        <v/>
      </c>
      <c r="Z40" s="38" t="str">
        <f t="shared" si="29"/>
        <v/>
      </c>
      <c r="AA40" s="38">
        <f t="shared" si="30"/>
        <v>1</v>
      </c>
      <c r="AB40" s="38">
        <f t="shared" si="31"/>
        <v>0</v>
      </c>
      <c r="AC40" s="38">
        <f t="shared" si="32"/>
        <v>0</v>
      </c>
      <c r="AD40" s="38">
        <f t="shared" si="33"/>
        <v>0</v>
      </c>
      <c r="AE40" s="38" t="str">
        <f t="shared" si="34"/>
        <v>-</v>
      </c>
      <c r="AP40" s="22"/>
      <c r="AQ40" s="102"/>
      <c r="AR40" s="53" t="s">
        <v>114</v>
      </c>
      <c r="AS40" s="53" t="s">
        <v>115</v>
      </c>
      <c r="AT40" s="53" t="s">
        <v>116</v>
      </c>
      <c r="AU40" s="53" t="s">
        <v>119</v>
      </c>
      <c r="AV40" s="53" t="s">
        <v>120</v>
      </c>
      <c r="AW40" s="53" t="s">
        <v>121</v>
      </c>
      <c r="AX40" s="54" t="s">
        <v>122</v>
      </c>
      <c r="AY40" s="52"/>
      <c r="AZ40" s="53" t="s">
        <v>114</v>
      </c>
      <c r="BA40" s="53" t="s">
        <v>115</v>
      </c>
      <c r="BB40" s="53" t="s">
        <v>116</v>
      </c>
      <c r="BC40" s="53" t="s">
        <v>119</v>
      </c>
      <c r="BD40" s="53" t="s">
        <v>120</v>
      </c>
      <c r="BE40" s="53" t="s">
        <v>121</v>
      </c>
      <c r="BF40" s="54" t="s">
        <v>122</v>
      </c>
      <c r="BK40" s="22"/>
      <c r="BL40" s="173"/>
      <c r="BM40" s="174"/>
      <c r="BN40" s="175"/>
      <c r="BO40" s="174"/>
      <c r="BP40" s="174"/>
      <c r="BQ40" s="175"/>
      <c r="BR40" s="174"/>
      <c r="BS40" s="174"/>
      <c r="BT40" s="174"/>
      <c r="BU40" s="174"/>
      <c r="BV40" s="174"/>
      <c r="BW40" s="174"/>
      <c r="BX40" s="175"/>
      <c r="BY40" s="122"/>
      <c r="BZ40" s="123"/>
      <c r="CA40" s="123"/>
      <c r="CB40" s="124"/>
      <c r="CC40" s="122"/>
      <c r="CD40" s="123"/>
      <c r="CE40" s="123"/>
      <c r="CF40" s="215"/>
      <c r="CG40" s="2">
        <f t="shared" si="41"/>
        <v>0</v>
      </c>
      <c r="CH40" s="2">
        <f t="shared" si="36"/>
        <v>0</v>
      </c>
      <c r="CI40" s="2">
        <f t="shared" si="37"/>
        <v>0</v>
      </c>
      <c r="CJ40" s="2">
        <f t="shared" si="37"/>
        <v>0</v>
      </c>
      <c r="CK40" s="2">
        <f t="shared" si="37"/>
        <v>0</v>
      </c>
      <c r="CL40" s="2" t="str">
        <f t="shared" si="37"/>
        <v/>
      </c>
      <c r="CM40" s="2" t="str">
        <f t="shared" si="37"/>
        <v/>
      </c>
      <c r="CN40" s="2">
        <f t="shared" si="37"/>
        <v>0</v>
      </c>
      <c r="CO40" s="2">
        <f t="shared" si="38"/>
        <v>0</v>
      </c>
      <c r="CP40" s="2">
        <f t="shared" si="38"/>
        <v>0</v>
      </c>
      <c r="CQ40" s="2">
        <f t="shared" si="38"/>
        <v>0</v>
      </c>
      <c r="CR40" s="2">
        <f t="shared" si="38"/>
        <v>0</v>
      </c>
      <c r="CS40" s="2">
        <f t="shared" si="38"/>
        <v>0</v>
      </c>
      <c r="CT40" s="2">
        <f t="shared" si="38"/>
        <v>0</v>
      </c>
      <c r="CU40" s="2">
        <f t="shared" si="38"/>
        <v>0</v>
      </c>
      <c r="CV40" s="2">
        <f t="shared" si="38"/>
        <v>0</v>
      </c>
      <c r="CW40" s="2">
        <f t="shared" si="38"/>
        <v>0</v>
      </c>
      <c r="CX40" s="2">
        <f t="shared" si="38"/>
        <v>0</v>
      </c>
      <c r="DF40" s="2">
        <f t="shared" si="42"/>
        <v>0</v>
      </c>
      <c r="DG40" s="2">
        <f t="shared" si="39"/>
        <v>0</v>
      </c>
      <c r="DH40" s="2">
        <f t="shared" si="39"/>
        <v>0</v>
      </c>
      <c r="DI40" s="2">
        <f t="shared" si="39"/>
        <v>0</v>
      </c>
      <c r="DJ40" s="2">
        <f t="shared" si="39"/>
        <v>0</v>
      </c>
      <c r="DK40" s="2">
        <f t="shared" si="39"/>
        <v>0</v>
      </c>
      <c r="DL40" s="2">
        <f t="shared" si="39"/>
        <v>0</v>
      </c>
      <c r="DM40" s="2">
        <f t="shared" si="39"/>
        <v>0</v>
      </c>
      <c r="DN40" s="2">
        <f t="shared" si="39"/>
        <v>0</v>
      </c>
      <c r="DO40" s="2">
        <f t="shared" si="39"/>
        <v>0</v>
      </c>
      <c r="DP40" s="2">
        <f t="shared" si="39"/>
        <v>0</v>
      </c>
      <c r="DQ40" s="2">
        <f t="shared" si="39"/>
        <v>0</v>
      </c>
      <c r="DR40" s="2">
        <f t="shared" si="43"/>
        <v>0</v>
      </c>
      <c r="DS40" s="2">
        <f t="shared" si="40"/>
        <v>0</v>
      </c>
      <c r="DT40" s="2">
        <f t="shared" si="40"/>
        <v>0</v>
      </c>
      <c r="DU40" s="2">
        <f t="shared" si="40"/>
        <v>0</v>
      </c>
      <c r="DV40" s="2">
        <f t="shared" si="40"/>
        <v>0</v>
      </c>
      <c r="DW40" s="2">
        <f t="shared" si="40"/>
        <v>0</v>
      </c>
      <c r="DX40" s="2">
        <f t="shared" si="40"/>
        <v>0</v>
      </c>
      <c r="DY40" s="2">
        <f t="shared" si="40"/>
        <v>0</v>
      </c>
      <c r="DZ40" s="2">
        <f t="shared" si="40"/>
        <v>0</v>
      </c>
      <c r="EA40" s="2">
        <f t="shared" si="40"/>
        <v>0</v>
      </c>
      <c r="EB40" s="2">
        <f t="shared" si="40"/>
        <v>0</v>
      </c>
      <c r="EC40" s="2">
        <f t="shared" si="40"/>
        <v>0</v>
      </c>
      <c r="ED40" s="2">
        <f t="shared" si="40"/>
        <v>0</v>
      </c>
      <c r="EE40" s="2">
        <f t="shared" si="40"/>
        <v>0</v>
      </c>
      <c r="EF40" s="2">
        <f t="shared" si="40"/>
        <v>0</v>
      </c>
      <c r="EG40" s="2">
        <f t="shared" si="40"/>
        <v>0</v>
      </c>
      <c r="EH40" s="2">
        <f t="shared" si="40"/>
        <v>0</v>
      </c>
      <c r="EI40" s="2">
        <f t="shared" si="40"/>
        <v>0</v>
      </c>
      <c r="EJ40" s="2">
        <f t="shared" si="40"/>
        <v>0</v>
      </c>
      <c r="EK40" s="2">
        <f t="shared" si="40"/>
        <v>0</v>
      </c>
      <c r="EL40" s="2">
        <f t="shared" si="40"/>
        <v>0</v>
      </c>
    </row>
    <row r="41" spans="1:142" ht="14.4" customHeight="1" x14ac:dyDescent="0.3">
      <c r="A41" s="329"/>
      <c r="B41" s="328"/>
      <c r="C41" s="328"/>
      <c r="D41" s="328"/>
      <c r="E41" s="328"/>
      <c r="F41" s="328"/>
      <c r="G41" s="328"/>
      <c r="H41" s="328"/>
      <c r="I41" s="328"/>
      <c r="J41" s="328"/>
      <c r="K41" s="328"/>
      <c r="L41" s="328"/>
      <c r="M41" s="328"/>
      <c r="N41" s="328"/>
      <c r="O41" s="328"/>
      <c r="P41" s="328"/>
      <c r="Q41" s="282"/>
      <c r="R41" s="73"/>
      <c r="S41" s="332"/>
      <c r="T41" s="333"/>
      <c r="U41" s="334"/>
      <c r="V41" s="55"/>
      <c r="W41" s="56"/>
      <c r="X41" s="56"/>
      <c r="Y41" s="56"/>
      <c r="Z41" s="56"/>
      <c r="AP41" s="22"/>
      <c r="AQ41" s="37" t="str">
        <f>IF(ISBLANK(V15),"",V15)</f>
        <v/>
      </c>
      <c r="AR41" s="38" t="str" cm="1">
        <f t="array" ref="AR41">IF(AT14="", "", IF(AND(AT14&lt;=MIN(AZ14:BK14,AQ27:BK27),AU14&gt;=MAX(AZ14:BK14,AQ27:BK27)),"ACCEPT",IF(AND(AZ14:BK14,AQ27:BK27="OK"),"ACCEPT","REJECT")))</f>
        <v/>
      </c>
      <c r="AS41" s="38" t="str">
        <f t="shared" ref="AS41:AS46" si="44">IF(TRIM(AR41)="", "", MAX(AZ14:BK14,AQ27:BK27))</f>
        <v/>
      </c>
      <c r="AT41" s="38" t="str">
        <f t="shared" ref="AT41:AT46" si="45">IF(TRIM(AR41)="", "", MIN(AZ14:BK14,AQ27:BK27))</f>
        <v/>
      </c>
      <c r="AU41" s="38">
        <f t="shared" ref="AU41:AU46" si="46">IF(COUNT(AZ14:BK14,AQ27:BK27)=0,0,AVERAGE(AZ14:BK14,AQ27:BK27))</f>
        <v>0</v>
      </c>
      <c r="AV41" s="38">
        <f t="shared" ref="AV41:AV46" si="47">MAX(AZ14:BK14,AQ27:BK27)-MIN(AZ14:BK14,AQ27:BK27)</f>
        <v>0</v>
      </c>
      <c r="AW41" s="38">
        <f>IF(COUNT(AZ14:BK14,AQ27:BK27)=0,0,_xlfn.STDEV.S(AZ14:BK14,AQ27:BK27))</f>
        <v>0</v>
      </c>
      <c r="AX41" s="57" t="str">
        <f t="shared" ref="AX41:AX46" si="48">IF(AU41=0,"-",IF(AU41-AT14&lt;AU14-AU41,AU41-AT14,AU14-AU41)/(AW41*3))</f>
        <v>-</v>
      </c>
      <c r="AY41" s="49" t="str">
        <f>IF(ISBLANK(V21),"",V21)</f>
        <v/>
      </c>
      <c r="AZ41" s="38" t="str" cm="1">
        <f t="array" ref="AZ41">IF(AT20="", "", IF(AND(AT20&lt;=MIN(AZ20:BK20,AQ33:BK33),AU20&gt;=MAX(AZ20:BK20,AQ33:BK33)),"ACCEPT",IF(AND(AZ20:BK20,AQ33:BK33="OK"),"ACCEPT","REJECT")))</f>
        <v/>
      </c>
      <c r="BA41" s="38" t="str">
        <f t="shared" ref="BA41:BA46" si="49">IF(TRIM(AZ41)="", "", MAX(AZ20:BK20,AQ33:BK33))</f>
        <v/>
      </c>
      <c r="BB41" s="38" t="str">
        <f t="shared" ref="BB41:BB46" si="50">IF(TRIM(AZ41)="", "", MIN(AZ20:BK20,AQ33:BK33))</f>
        <v/>
      </c>
      <c r="BC41" s="38">
        <f t="shared" ref="BC41:BC46" si="51">IF(COUNT(AZ20:BK20,AQ33:BK33)=0,0,AVERAGE(AZ20:BK20,AQ33:BK33))</f>
        <v>0</v>
      </c>
      <c r="BD41" s="38">
        <f t="shared" ref="BD41:BD46" si="52">MAX(AZ20:BK20,AQ33:BK33)-MIN(AZ20:BK20,AQ33:BK33)</f>
        <v>0</v>
      </c>
      <c r="BE41" s="38">
        <f t="shared" ref="BE41:BE46" si="53">IF(COUNT(AZ20:BK20,AQ33:BK33)=0,0,_xlfn.STDEV.S(AZ20:BK20,AQ33:BK33))</f>
        <v>0</v>
      </c>
      <c r="BF41" s="57" t="str">
        <f t="shared" ref="BF41:BF46" si="54">IF(BC41=0,"-",IF(BC41-AT20&lt;AU20-BC41,BC41-AT20,AU20-BC41)/(BE41*3))</f>
        <v>-</v>
      </c>
      <c r="BK41" s="22"/>
      <c r="BL41" s="173"/>
      <c r="BM41" s="174"/>
      <c r="BN41" s="175"/>
      <c r="BO41" s="174"/>
      <c r="BP41" s="174"/>
      <c r="BQ41" s="175"/>
      <c r="BR41" s="174"/>
      <c r="BS41" s="174"/>
      <c r="BT41" s="174"/>
      <c r="BU41" s="174"/>
      <c r="BV41" s="174"/>
      <c r="BW41" s="174"/>
      <c r="BX41" s="175"/>
      <c r="BY41" s="122"/>
      <c r="BZ41" s="123"/>
      <c r="CA41" s="123"/>
      <c r="CB41" s="124"/>
      <c r="CC41" s="122"/>
      <c r="CD41" s="123"/>
      <c r="CE41" s="123"/>
      <c r="CF41" s="215"/>
      <c r="CG41" s="2">
        <f t="shared" si="41"/>
        <v>0</v>
      </c>
      <c r="CH41" s="2">
        <f t="shared" si="36"/>
        <v>0</v>
      </c>
      <c r="CI41" s="2">
        <f t="shared" si="37"/>
        <v>0</v>
      </c>
      <c r="CJ41" s="2">
        <f t="shared" si="37"/>
        <v>0</v>
      </c>
      <c r="CK41" s="2">
        <f t="shared" si="37"/>
        <v>0</v>
      </c>
      <c r="CL41" s="2" t="str">
        <f t="shared" si="37"/>
        <v/>
      </c>
      <c r="CM41" s="2" t="str">
        <f t="shared" si="37"/>
        <v/>
      </c>
      <c r="CN41" s="2">
        <f t="shared" si="37"/>
        <v>0</v>
      </c>
      <c r="CO41" s="2">
        <f t="shared" si="38"/>
        <v>0</v>
      </c>
      <c r="CP41" s="2">
        <f t="shared" si="38"/>
        <v>0</v>
      </c>
      <c r="CQ41" s="2">
        <f t="shared" si="38"/>
        <v>0</v>
      </c>
      <c r="CR41" s="2">
        <f t="shared" si="38"/>
        <v>0</v>
      </c>
      <c r="CS41" s="2">
        <f t="shared" si="38"/>
        <v>0</v>
      </c>
      <c r="CT41" s="2">
        <f t="shared" si="38"/>
        <v>0</v>
      </c>
      <c r="CU41" s="2">
        <f t="shared" si="38"/>
        <v>0</v>
      </c>
      <c r="CV41" s="2">
        <f t="shared" si="38"/>
        <v>0</v>
      </c>
      <c r="CW41" s="2">
        <f t="shared" si="38"/>
        <v>0</v>
      </c>
      <c r="CX41" s="2">
        <f t="shared" si="38"/>
        <v>0</v>
      </c>
      <c r="DF41" s="2">
        <f t="shared" si="42"/>
        <v>0</v>
      </c>
      <c r="DG41" s="2">
        <f t="shared" si="39"/>
        <v>0</v>
      </c>
      <c r="DH41" s="2">
        <f t="shared" si="39"/>
        <v>0</v>
      </c>
      <c r="DI41" s="2">
        <f t="shared" si="39"/>
        <v>0</v>
      </c>
      <c r="DJ41" s="2">
        <f t="shared" si="39"/>
        <v>0</v>
      </c>
      <c r="DK41" s="2">
        <f t="shared" si="39"/>
        <v>0</v>
      </c>
      <c r="DL41" s="2">
        <f t="shared" si="39"/>
        <v>0</v>
      </c>
      <c r="DM41" s="2">
        <f t="shared" si="39"/>
        <v>0</v>
      </c>
      <c r="DN41" s="2">
        <f t="shared" si="39"/>
        <v>0</v>
      </c>
      <c r="DO41" s="2">
        <f t="shared" si="39"/>
        <v>0</v>
      </c>
      <c r="DP41" s="2">
        <f t="shared" si="39"/>
        <v>0</v>
      </c>
      <c r="DQ41" s="2">
        <f t="shared" si="39"/>
        <v>0</v>
      </c>
      <c r="DR41" s="2">
        <f t="shared" si="43"/>
        <v>0</v>
      </c>
      <c r="DS41" s="2">
        <f t="shared" si="40"/>
        <v>0</v>
      </c>
      <c r="DT41" s="2">
        <f t="shared" si="40"/>
        <v>0</v>
      </c>
      <c r="DU41" s="2">
        <f t="shared" si="40"/>
        <v>0</v>
      </c>
      <c r="DV41" s="2">
        <f t="shared" si="40"/>
        <v>0</v>
      </c>
      <c r="DW41" s="2">
        <f t="shared" si="40"/>
        <v>0</v>
      </c>
      <c r="DX41" s="2">
        <f t="shared" si="40"/>
        <v>0</v>
      </c>
      <c r="DY41" s="2">
        <f t="shared" si="40"/>
        <v>0</v>
      </c>
      <c r="DZ41" s="2">
        <f t="shared" si="40"/>
        <v>0</v>
      </c>
      <c r="EA41" s="2">
        <f t="shared" si="40"/>
        <v>0</v>
      </c>
      <c r="EB41" s="2">
        <f t="shared" si="40"/>
        <v>0</v>
      </c>
      <c r="EC41" s="2">
        <f t="shared" si="40"/>
        <v>0</v>
      </c>
      <c r="ED41" s="2">
        <f t="shared" si="40"/>
        <v>0</v>
      </c>
      <c r="EE41" s="2">
        <f t="shared" si="40"/>
        <v>0</v>
      </c>
      <c r="EF41" s="2">
        <f t="shared" si="40"/>
        <v>0</v>
      </c>
      <c r="EG41" s="2">
        <f t="shared" si="40"/>
        <v>0</v>
      </c>
      <c r="EH41" s="2">
        <f t="shared" si="40"/>
        <v>0</v>
      </c>
      <c r="EI41" s="2">
        <f t="shared" si="40"/>
        <v>0</v>
      </c>
      <c r="EJ41" s="2">
        <f t="shared" si="40"/>
        <v>0</v>
      </c>
      <c r="EK41" s="2">
        <f t="shared" si="40"/>
        <v>0</v>
      </c>
      <c r="EL41" s="2">
        <f t="shared" si="40"/>
        <v>0</v>
      </c>
    </row>
    <row r="42" spans="1:142" ht="14.4" customHeight="1" x14ac:dyDescent="0.3">
      <c r="A42" s="329"/>
      <c r="B42" s="328"/>
      <c r="C42" s="328"/>
      <c r="D42" s="328"/>
      <c r="E42" s="328"/>
      <c r="F42" s="328"/>
      <c r="G42" s="328"/>
      <c r="H42" s="328"/>
      <c r="I42" s="328"/>
      <c r="J42" s="328"/>
      <c r="K42" s="328"/>
      <c r="L42" s="328"/>
      <c r="M42" s="328"/>
      <c r="N42" s="328"/>
      <c r="O42" s="328"/>
      <c r="P42" s="328"/>
      <c r="Q42" s="282"/>
      <c r="R42" s="73"/>
      <c r="S42" s="332"/>
      <c r="T42" s="333"/>
      <c r="U42" s="334"/>
      <c r="V42" s="58" t="s">
        <v>35</v>
      </c>
      <c r="W42" s="247"/>
      <c r="X42" s="248"/>
      <c r="Y42" s="277" t="s">
        <v>37</v>
      </c>
      <c r="Z42" s="278"/>
      <c r="AB42" s="253" t="s">
        <v>125</v>
      </c>
      <c r="AC42" s="171"/>
      <c r="AD42" s="171"/>
      <c r="AE42" s="172"/>
      <c r="AG42" s="249" t="s">
        <v>126</v>
      </c>
      <c r="AH42" s="250"/>
      <c r="AI42" s="249" t="s">
        <v>9</v>
      </c>
      <c r="AJ42" s="250"/>
      <c r="AL42" s="249" t="s">
        <v>126</v>
      </c>
      <c r="AM42" s="250"/>
      <c r="AN42" s="249" t="s">
        <v>9</v>
      </c>
      <c r="AO42" s="250"/>
      <c r="AP42" s="22"/>
      <c r="AQ42" s="37" t="str">
        <f t="shared" ref="AQ42:AQ46" si="55">IF(ISBLANK(V16),"",V16)</f>
        <v/>
      </c>
      <c r="AR42" s="38" t="str" cm="1">
        <f t="array" ref="AR42">IF(AT15="", "", IF(AND(AT15&lt;=MIN(AZ15:BK15,AQ28:BK28),AU15&gt;=MAX(AZ15:BK15,AQ28:BK28)),"ACCEPT",IF(AND(AZ15:BK15,AQ28:BK28="OK"),"ACCEPT","REJECT")))</f>
        <v/>
      </c>
      <c r="AS42" s="38" t="str">
        <f t="shared" si="44"/>
        <v/>
      </c>
      <c r="AT42" s="38" t="str">
        <f t="shared" si="45"/>
        <v/>
      </c>
      <c r="AU42" s="38">
        <f t="shared" si="46"/>
        <v>0</v>
      </c>
      <c r="AV42" s="38">
        <f t="shared" si="47"/>
        <v>0</v>
      </c>
      <c r="AW42" s="38">
        <f>IF(COUNT(AZ15:BK15,AQ28:BK28)=0,0,_xlfn.STDEV.S(AZ15:BK15,AQ28:BK28))</f>
        <v>0</v>
      </c>
      <c r="AX42" s="57" t="str">
        <f t="shared" si="48"/>
        <v>-</v>
      </c>
      <c r="AY42" s="49" t="str">
        <f t="shared" ref="AY42:AY46" si="56">IF(ISBLANK(V22),"",V22)</f>
        <v/>
      </c>
      <c r="AZ42" s="38" t="str" cm="1">
        <f t="array" ref="AZ42">IF(AT21="", "", IF(AND(AT21&lt;=MIN(AZ21:BK21,AQ34:BK34),AU21&gt;=MAX(AZ21:BK21,AQ34:BK34)),"ACCEPT",IF(AND(AZ21:BK21,AQ34:BK34="OK"),"ACCEPT","REJECT")))</f>
        <v/>
      </c>
      <c r="BA42" s="38" t="str">
        <f t="shared" si="49"/>
        <v/>
      </c>
      <c r="BB42" s="38" t="str">
        <f t="shared" si="50"/>
        <v/>
      </c>
      <c r="BC42" s="38">
        <f t="shared" si="51"/>
        <v>0</v>
      </c>
      <c r="BD42" s="38">
        <f t="shared" si="52"/>
        <v>0</v>
      </c>
      <c r="BE42" s="38">
        <f t="shared" si="53"/>
        <v>0</v>
      </c>
      <c r="BF42" s="57" t="str">
        <f t="shared" si="54"/>
        <v>-</v>
      </c>
      <c r="BG42" s="61" t="s">
        <v>126</v>
      </c>
      <c r="BH42" s="60"/>
      <c r="BI42" s="59" t="s">
        <v>9</v>
      </c>
      <c r="BJ42" s="60"/>
      <c r="BK42" s="22"/>
      <c r="BL42" s="173"/>
      <c r="BM42" s="174"/>
      <c r="BN42" s="175"/>
      <c r="BO42" s="174"/>
      <c r="BP42" s="174"/>
      <c r="BQ42" s="175"/>
      <c r="BR42" s="174"/>
      <c r="BS42" s="174"/>
      <c r="BT42" s="174"/>
      <c r="BU42" s="174"/>
      <c r="BV42" s="174"/>
      <c r="BW42" s="174"/>
      <c r="BX42" s="175"/>
      <c r="BY42" s="122"/>
      <c r="BZ42" s="123"/>
      <c r="CA42" s="123"/>
      <c r="CB42" s="124"/>
      <c r="CC42" s="122"/>
      <c r="CD42" s="123"/>
      <c r="CE42" s="123"/>
      <c r="CF42" s="215"/>
      <c r="CG42" s="2">
        <f t="shared" si="41"/>
        <v>0</v>
      </c>
      <c r="CH42" s="2">
        <f t="shared" si="36"/>
        <v>0</v>
      </c>
      <c r="CI42" s="2">
        <f t="shared" si="37"/>
        <v>0</v>
      </c>
      <c r="CJ42" s="2">
        <f t="shared" si="37"/>
        <v>0</v>
      </c>
      <c r="CK42" s="2">
        <f t="shared" si="37"/>
        <v>0</v>
      </c>
      <c r="CL42" s="2" t="str">
        <f t="shared" si="37"/>
        <v/>
      </c>
      <c r="CM42" s="2" t="str">
        <f t="shared" si="37"/>
        <v/>
      </c>
      <c r="CN42" s="2">
        <f t="shared" si="37"/>
        <v>0</v>
      </c>
      <c r="CO42" s="2">
        <f t="shared" si="38"/>
        <v>0</v>
      </c>
      <c r="CP42" s="2">
        <f t="shared" si="38"/>
        <v>0</v>
      </c>
      <c r="CQ42" s="2">
        <f t="shared" si="38"/>
        <v>0</v>
      </c>
      <c r="CR42" s="2">
        <f t="shared" si="38"/>
        <v>0</v>
      </c>
      <c r="CS42" s="2">
        <f t="shared" si="38"/>
        <v>0</v>
      </c>
      <c r="CT42" s="2">
        <f t="shared" si="38"/>
        <v>0</v>
      </c>
      <c r="CU42" s="2">
        <f t="shared" si="38"/>
        <v>0</v>
      </c>
      <c r="CV42" s="2">
        <f t="shared" si="38"/>
        <v>0</v>
      </c>
      <c r="CW42" s="2">
        <f t="shared" si="38"/>
        <v>0</v>
      </c>
      <c r="CX42" s="2">
        <f t="shared" si="38"/>
        <v>0</v>
      </c>
      <c r="DF42" s="2">
        <f t="shared" si="42"/>
        <v>0</v>
      </c>
      <c r="DG42" s="2">
        <f t="shared" si="39"/>
        <v>0</v>
      </c>
      <c r="DH42" s="2">
        <f t="shared" si="39"/>
        <v>0</v>
      </c>
      <c r="DI42" s="2">
        <f t="shared" si="39"/>
        <v>0</v>
      </c>
      <c r="DJ42" s="2">
        <f t="shared" si="39"/>
        <v>0</v>
      </c>
      <c r="DK42" s="2">
        <f t="shared" si="39"/>
        <v>0</v>
      </c>
      <c r="DL42" s="2">
        <f t="shared" si="39"/>
        <v>0</v>
      </c>
      <c r="DM42" s="2">
        <f t="shared" si="39"/>
        <v>0</v>
      </c>
      <c r="DN42" s="2">
        <f t="shared" si="39"/>
        <v>0</v>
      </c>
      <c r="DO42" s="2">
        <f t="shared" si="39"/>
        <v>0</v>
      </c>
      <c r="DP42" s="2">
        <f t="shared" si="39"/>
        <v>0</v>
      </c>
      <c r="DQ42" s="2">
        <f t="shared" si="39"/>
        <v>0</v>
      </c>
      <c r="DR42" s="2">
        <f t="shared" si="43"/>
        <v>0</v>
      </c>
      <c r="DS42" s="2">
        <f t="shared" si="40"/>
        <v>0</v>
      </c>
      <c r="DT42" s="2">
        <f t="shared" si="40"/>
        <v>0</v>
      </c>
      <c r="DU42" s="2">
        <f t="shared" si="40"/>
        <v>0</v>
      </c>
      <c r="DV42" s="2">
        <f t="shared" si="40"/>
        <v>0</v>
      </c>
      <c r="DW42" s="2">
        <f t="shared" si="40"/>
        <v>0</v>
      </c>
      <c r="DX42" s="2">
        <f t="shared" si="40"/>
        <v>0</v>
      </c>
      <c r="DY42" s="2">
        <f t="shared" si="40"/>
        <v>0</v>
      </c>
      <c r="DZ42" s="2">
        <f t="shared" si="40"/>
        <v>0</v>
      </c>
      <c r="EA42" s="2">
        <f t="shared" si="40"/>
        <v>0</v>
      </c>
      <c r="EB42" s="2">
        <f t="shared" si="40"/>
        <v>0</v>
      </c>
      <c r="EC42" s="2">
        <f t="shared" si="40"/>
        <v>0</v>
      </c>
      <c r="ED42" s="2">
        <f t="shared" si="40"/>
        <v>0</v>
      </c>
      <c r="EE42" s="2">
        <f t="shared" si="40"/>
        <v>0</v>
      </c>
      <c r="EF42" s="2">
        <f t="shared" si="40"/>
        <v>0</v>
      </c>
      <c r="EG42" s="2">
        <f t="shared" si="40"/>
        <v>0</v>
      </c>
      <c r="EH42" s="2">
        <f t="shared" si="40"/>
        <v>0</v>
      </c>
      <c r="EI42" s="2">
        <f t="shared" si="40"/>
        <v>0</v>
      </c>
      <c r="EJ42" s="2">
        <f t="shared" si="40"/>
        <v>0</v>
      </c>
      <c r="EK42" s="2">
        <f t="shared" si="40"/>
        <v>0</v>
      </c>
      <c r="EL42" s="2">
        <f t="shared" si="40"/>
        <v>0</v>
      </c>
    </row>
    <row r="43" spans="1:142" ht="14.4" customHeight="1" x14ac:dyDescent="0.3">
      <c r="A43" s="329"/>
      <c r="B43" s="328"/>
      <c r="C43" s="328"/>
      <c r="D43" s="328"/>
      <c r="E43" s="328"/>
      <c r="F43" s="328"/>
      <c r="G43" s="328"/>
      <c r="H43" s="328"/>
      <c r="I43" s="328"/>
      <c r="J43" s="328"/>
      <c r="K43" s="328"/>
      <c r="L43" s="328"/>
      <c r="M43" s="328"/>
      <c r="N43" s="328"/>
      <c r="O43" s="328"/>
      <c r="P43" s="328"/>
      <c r="Q43" s="282"/>
      <c r="R43" s="73"/>
      <c r="S43" s="332"/>
      <c r="T43" s="333"/>
      <c r="U43" s="334"/>
      <c r="V43" s="33"/>
      <c r="Y43" s="279"/>
      <c r="Z43" s="280"/>
      <c r="AB43" s="259"/>
      <c r="AC43" s="177"/>
      <c r="AD43" s="177"/>
      <c r="AE43" s="178"/>
      <c r="AG43" s="179"/>
      <c r="AH43" s="172"/>
      <c r="AI43" s="179"/>
      <c r="AJ43" s="172"/>
      <c r="AL43" s="179"/>
      <c r="AM43" s="172"/>
      <c r="AN43" s="179"/>
      <c r="AO43" s="172"/>
      <c r="AP43" s="22"/>
      <c r="AQ43" s="37" t="str">
        <f t="shared" si="55"/>
        <v/>
      </c>
      <c r="AR43" s="38" t="str" cm="1">
        <f t="array" ref="AR43">IF(AT16="", "", IF(AND(AT16&lt;=MIN(AZ16:BK16,AQ29:BK29),AU16&gt;=MAX(AZ16:BK16,AQ29:BK29)),"ACCEPT",IF(AND(AZ16:BK16,AQ29:BK29="OK"),"ACCEPT","REJECT")))</f>
        <v/>
      </c>
      <c r="AS43" s="38" t="str">
        <f t="shared" si="44"/>
        <v/>
      </c>
      <c r="AT43" s="38" t="str">
        <f t="shared" si="45"/>
        <v/>
      </c>
      <c r="AU43" s="38">
        <f t="shared" si="46"/>
        <v>0</v>
      </c>
      <c r="AV43" s="38">
        <f t="shared" si="47"/>
        <v>0</v>
      </c>
      <c r="AW43" s="38">
        <f>IF(COUNT(AZ16:BK16,AQ29:BK29)=0,0,_xlfn.STDEV.S(AZ16:BK16,AQ29:BK29))</f>
        <v>0</v>
      </c>
      <c r="AX43" s="57" t="str">
        <f t="shared" si="48"/>
        <v>-</v>
      </c>
      <c r="AY43" s="49" t="str">
        <f t="shared" si="56"/>
        <v/>
      </c>
      <c r="AZ43" s="38" t="str" cm="1">
        <f t="array" ref="AZ43">IF(AT22="", "", IF(AND(AT22&lt;=MIN(AZ22:BK22,AQ35:BK35),AU22&gt;=MAX(AZ22:BK22,AQ35:BK35)),"ACCEPT",IF(AND(AZ22:BK22,AQ35:BK35="OK"),"ACCEPT","REJECT")))</f>
        <v/>
      </c>
      <c r="BA43" s="38" t="str">
        <f t="shared" si="49"/>
        <v/>
      </c>
      <c r="BB43" s="38" t="str">
        <f t="shared" si="50"/>
        <v/>
      </c>
      <c r="BC43" s="38">
        <f t="shared" si="51"/>
        <v>0</v>
      </c>
      <c r="BD43" s="38">
        <f t="shared" si="52"/>
        <v>0</v>
      </c>
      <c r="BE43" s="38">
        <f t="shared" si="53"/>
        <v>0</v>
      </c>
      <c r="BF43" s="57" t="str">
        <f t="shared" si="54"/>
        <v>-</v>
      </c>
      <c r="BG43" s="170"/>
      <c r="BH43" s="172"/>
      <c r="BI43" s="179"/>
      <c r="BJ43" s="172"/>
      <c r="BK43" s="22"/>
      <c r="BL43" s="173"/>
      <c r="BM43" s="174"/>
      <c r="BN43" s="175"/>
      <c r="BO43" s="174"/>
      <c r="BP43" s="174"/>
      <c r="BQ43" s="175"/>
      <c r="BR43" s="174"/>
      <c r="BS43" s="174"/>
      <c r="BT43" s="174"/>
      <c r="BU43" s="174"/>
      <c r="BV43" s="174"/>
      <c r="BW43" s="174"/>
      <c r="BX43" s="175"/>
      <c r="BY43" s="122"/>
      <c r="BZ43" s="123"/>
      <c r="CA43" s="123"/>
      <c r="CB43" s="124"/>
      <c r="CC43" s="122"/>
      <c r="CD43" s="123"/>
      <c r="CE43" s="123"/>
      <c r="CF43" s="215"/>
      <c r="CG43" s="2">
        <f t="shared" si="41"/>
        <v>0</v>
      </c>
      <c r="CH43" s="2">
        <f t="shared" si="36"/>
        <v>0</v>
      </c>
      <c r="CI43" s="2">
        <f t="shared" si="37"/>
        <v>0</v>
      </c>
      <c r="CJ43" s="2">
        <f t="shared" si="37"/>
        <v>0</v>
      </c>
      <c r="CK43" s="2">
        <f t="shared" si="37"/>
        <v>0</v>
      </c>
      <c r="CL43" s="2" t="str">
        <f t="shared" si="37"/>
        <v/>
      </c>
      <c r="CM43" s="2" t="str">
        <f t="shared" si="37"/>
        <v/>
      </c>
      <c r="CN43" s="2">
        <f t="shared" si="37"/>
        <v>0</v>
      </c>
      <c r="CO43" s="2">
        <f t="shared" si="38"/>
        <v>0</v>
      </c>
      <c r="CP43" s="2">
        <f t="shared" si="38"/>
        <v>0</v>
      </c>
      <c r="CQ43" s="2">
        <f t="shared" si="38"/>
        <v>0</v>
      </c>
      <c r="CR43" s="2">
        <f t="shared" si="38"/>
        <v>0</v>
      </c>
      <c r="CS43" s="2">
        <f t="shared" si="38"/>
        <v>0</v>
      </c>
      <c r="CT43" s="2">
        <f t="shared" si="38"/>
        <v>0</v>
      </c>
      <c r="CU43" s="2">
        <f t="shared" si="38"/>
        <v>0</v>
      </c>
      <c r="CV43" s="2">
        <f t="shared" si="38"/>
        <v>0</v>
      </c>
      <c r="CW43" s="2">
        <f t="shared" si="38"/>
        <v>0</v>
      </c>
      <c r="CX43" s="2">
        <f t="shared" si="38"/>
        <v>0</v>
      </c>
      <c r="DF43" s="2">
        <f t="shared" si="42"/>
        <v>0</v>
      </c>
      <c r="DG43" s="2">
        <f t="shared" si="39"/>
        <v>0</v>
      </c>
      <c r="DH43" s="2">
        <f t="shared" si="39"/>
        <v>0</v>
      </c>
      <c r="DI43" s="2">
        <f t="shared" si="39"/>
        <v>0</v>
      </c>
      <c r="DJ43" s="2">
        <f t="shared" si="39"/>
        <v>0</v>
      </c>
      <c r="DK43" s="2">
        <f t="shared" si="39"/>
        <v>0</v>
      </c>
      <c r="DL43" s="2">
        <f t="shared" si="39"/>
        <v>0</v>
      </c>
      <c r="DM43" s="2">
        <f t="shared" si="39"/>
        <v>0</v>
      </c>
      <c r="DN43" s="2">
        <f t="shared" si="39"/>
        <v>0</v>
      </c>
      <c r="DO43" s="2">
        <f t="shared" si="39"/>
        <v>0</v>
      </c>
      <c r="DP43" s="2">
        <f t="shared" si="39"/>
        <v>0</v>
      </c>
      <c r="DQ43" s="2">
        <f t="shared" si="39"/>
        <v>0</v>
      </c>
      <c r="DR43" s="2">
        <f t="shared" si="43"/>
        <v>0</v>
      </c>
      <c r="DS43" s="2">
        <f t="shared" si="40"/>
        <v>0</v>
      </c>
      <c r="DT43" s="2">
        <f t="shared" si="40"/>
        <v>0</v>
      </c>
      <c r="DU43" s="2">
        <f t="shared" si="40"/>
        <v>0</v>
      </c>
      <c r="DV43" s="2">
        <f t="shared" si="40"/>
        <v>0</v>
      </c>
      <c r="DW43" s="2">
        <f t="shared" si="40"/>
        <v>0</v>
      </c>
      <c r="DX43" s="2">
        <f t="shared" si="40"/>
        <v>0</v>
      </c>
      <c r="DY43" s="2">
        <f t="shared" si="40"/>
        <v>0</v>
      </c>
      <c r="DZ43" s="2">
        <f t="shared" si="40"/>
        <v>0</v>
      </c>
      <c r="EA43" s="2">
        <f t="shared" si="40"/>
        <v>0</v>
      </c>
      <c r="EB43" s="2">
        <f t="shared" si="40"/>
        <v>0</v>
      </c>
      <c r="EC43" s="2">
        <f t="shared" si="40"/>
        <v>0</v>
      </c>
      <c r="ED43" s="2">
        <f t="shared" si="40"/>
        <v>0</v>
      </c>
      <c r="EE43" s="2">
        <f t="shared" si="40"/>
        <v>0</v>
      </c>
      <c r="EF43" s="2">
        <f t="shared" si="40"/>
        <v>0</v>
      </c>
      <c r="EG43" s="2">
        <f t="shared" si="40"/>
        <v>0</v>
      </c>
      <c r="EH43" s="2">
        <f t="shared" si="40"/>
        <v>0</v>
      </c>
      <c r="EI43" s="2">
        <f t="shared" si="40"/>
        <v>0</v>
      </c>
      <c r="EJ43" s="2">
        <f t="shared" si="40"/>
        <v>0</v>
      </c>
      <c r="EK43" s="2">
        <f t="shared" si="40"/>
        <v>0</v>
      </c>
      <c r="EL43" s="2">
        <f t="shared" si="40"/>
        <v>0</v>
      </c>
    </row>
    <row r="44" spans="1:142" ht="14.4" customHeight="1" x14ac:dyDescent="0.3">
      <c r="A44" s="329"/>
      <c r="B44" s="328"/>
      <c r="C44" s="328"/>
      <c r="D44" s="328"/>
      <c r="E44" s="328"/>
      <c r="F44" s="328"/>
      <c r="G44" s="328"/>
      <c r="H44" s="328"/>
      <c r="I44" s="328"/>
      <c r="J44" s="328"/>
      <c r="K44" s="328"/>
      <c r="L44" s="328"/>
      <c r="M44" s="328"/>
      <c r="N44" s="328"/>
      <c r="O44" s="328"/>
      <c r="P44" s="328"/>
      <c r="Q44" s="282"/>
      <c r="R44" s="73"/>
      <c r="S44" s="332"/>
      <c r="T44" s="333"/>
      <c r="U44" s="334"/>
      <c r="V44" s="33" t="s">
        <v>36</v>
      </c>
      <c r="W44" s="247"/>
      <c r="X44" s="248"/>
      <c r="Y44" s="281"/>
      <c r="Z44" s="282"/>
      <c r="AB44" s="273" t="s">
        <v>141</v>
      </c>
      <c r="AC44" s="48" t="s">
        <v>127</v>
      </c>
      <c r="AD44" s="276" t="s">
        <v>128</v>
      </c>
      <c r="AE44" s="276"/>
      <c r="AG44" s="180"/>
      <c r="AH44" s="175"/>
      <c r="AI44" s="180"/>
      <c r="AJ44" s="175"/>
      <c r="AL44" s="180"/>
      <c r="AM44" s="175"/>
      <c r="AN44" s="180"/>
      <c r="AO44" s="175"/>
      <c r="AP44" s="22"/>
      <c r="AQ44" s="37" t="str">
        <f t="shared" si="55"/>
        <v/>
      </c>
      <c r="AR44" s="38" t="str" cm="1">
        <f t="array" ref="AR44">IF(AT17="", "", IF(AND(AT17&lt;=MIN(AZ17:BK17,AQ30:BK30),AU17&gt;=MAX(AZ17:BK17,AQ30:BK30)),"ACCEPT",IF(AND(AZ17:BK17,AQ30:BK30="OK"),"ACCEPT","REJECT")))</f>
        <v/>
      </c>
      <c r="AS44" s="38" t="str">
        <f t="shared" si="44"/>
        <v/>
      </c>
      <c r="AT44" s="38" t="str">
        <f t="shared" si="45"/>
        <v/>
      </c>
      <c r="AU44" s="38">
        <f t="shared" si="46"/>
        <v>0</v>
      </c>
      <c r="AV44" s="38">
        <f t="shared" si="47"/>
        <v>0</v>
      </c>
      <c r="AW44" s="38">
        <f t="shared" ref="AW44" si="57">IF(COUNT(AZ17:BK17,AQ30:BK30)=0,0,_xlfn.STDEV.S(AZ17:BK17,AQ30:BK30))</f>
        <v>0</v>
      </c>
      <c r="AX44" s="57" t="str">
        <f t="shared" si="48"/>
        <v>-</v>
      </c>
      <c r="AY44" s="49" t="str">
        <f t="shared" si="56"/>
        <v/>
      </c>
      <c r="AZ44" s="38" t="str" cm="1">
        <f t="array" ref="AZ44">IF(AT23="", "", IF(AND(AT23&lt;=MIN(AZ23:BK23,AQ36:BK36),AU23&gt;=MAX(AZ23:BK23,AQ36:BK36)),"ACCEPT",IF(AND(AZ23:BK23,AQ36:BK36="OK"),"ACCEPT","REJECT")))</f>
        <v/>
      </c>
      <c r="BA44" s="38" t="str">
        <f t="shared" si="49"/>
        <v/>
      </c>
      <c r="BB44" s="38" t="str">
        <f t="shared" si="50"/>
        <v/>
      </c>
      <c r="BC44" s="38">
        <f t="shared" si="51"/>
        <v>0</v>
      </c>
      <c r="BD44" s="38">
        <f t="shared" si="52"/>
        <v>0</v>
      </c>
      <c r="BE44" s="38">
        <f t="shared" si="53"/>
        <v>0</v>
      </c>
      <c r="BF44" s="57" t="str">
        <f t="shared" si="54"/>
        <v>-</v>
      </c>
      <c r="BG44" s="173"/>
      <c r="BH44" s="175"/>
      <c r="BI44" s="180"/>
      <c r="BJ44" s="175"/>
      <c r="BK44" s="22"/>
      <c r="BL44" s="173"/>
      <c r="BM44" s="174"/>
      <c r="BN44" s="175"/>
      <c r="BO44" s="174"/>
      <c r="BP44" s="174"/>
      <c r="BQ44" s="175"/>
      <c r="BR44" s="174"/>
      <c r="BS44" s="174"/>
      <c r="BT44" s="174"/>
      <c r="BU44" s="174"/>
      <c r="BV44" s="174"/>
      <c r="BW44" s="174"/>
      <c r="BX44" s="175"/>
      <c r="BY44" s="122"/>
      <c r="BZ44" s="123"/>
      <c r="CA44" s="123"/>
      <c r="CB44" s="124"/>
      <c r="CC44" s="122"/>
      <c r="CD44" s="123"/>
      <c r="CE44" s="123"/>
      <c r="CF44" s="215"/>
      <c r="CG44" s="2">
        <f t="shared" si="41"/>
        <v>0</v>
      </c>
      <c r="CH44" s="2">
        <f t="shared" si="36"/>
        <v>0</v>
      </c>
      <c r="CI44" s="2">
        <f t="shared" si="37"/>
        <v>0</v>
      </c>
      <c r="CJ44" s="2">
        <f t="shared" si="37"/>
        <v>0</v>
      </c>
      <c r="CK44" s="2">
        <f t="shared" si="37"/>
        <v>0</v>
      </c>
      <c r="CL44" s="2" t="str">
        <f t="shared" si="37"/>
        <v/>
      </c>
      <c r="CM44" s="2" t="str">
        <f t="shared" si="37"/>
        <v/>
      </c>
      <c r="CN44" s="2">
        <f t="shared" si="37"/>
        <v>0</v>
      </c>
      <c r="CO44" s="2">
        <f t="shared" si="38"/>
        <v>0</v>
      </c>
      <c r="CP44" s="2">
        <f t="shared" si="38"/>
        <v>0</v>
      </c>
      <c r="CQ44" s="2">
        <f t="shared" si="38"/>
        <v>0</v>
      </c>
      <c r="CR44" s="2">
        <f t="shared" si="38"/>
        <v>0</v>
      </c>
      <c r="CS44" s="2">
        <f t="shared" si="38"/>
        <v>0</v>
      </c>
      <c r="CT44" s="2">
        <f t="shared" si="38"/>
        <v>0</v>
      </c>
      <c r="CU44" s="2">
        <f t="shared" si="38"/>
        <v>0</v>
      </c>
      <c r="CV44" s="2">
        <f t="shared" si="38"/>
        <v>0</v>
      </c>
      <c r="CW44" s="2">
        <f t="shared" si="38"/>
        <v>0</v>
      </c>
      <c r="CX44" s="2">
        <f t="shared" si="38"/>
        <v>0</v>
      </c>
      <c r="DF44" s="2">
        <f t="shared" si="42"/>
        <v>0</v>
      </c>
      <c r="DG44" s="2">
        <f t="shared" si="39"/>
        <v>0</v>
      </c>
      <c r="DH44" s="2">
        <f t="shared" si="39"/>
        <v>0</v>
      </c>
      <c r="DI44" s="2">
        <f t="shared" si="39"/>
        <v>0</v>
      </c>
      <c r="DJ44" s="2">
        <f t="shared" si="39"/>
        <v>0</v>
      </c>
      <c r="DK44" s="2">
        <f t="shared" si="39"/>
        <v>0</v>
      </c>
      <c r="DL44" s="2">
        <f t="shared" si="39"/>
        <v>0</v>
      </c>
      <c r="DM44" s="2">
        <f t="shared" si="39"/>
        <v>0</v>
      </c>
      <c r="DN44" s="2">
        <f t="shared" si="39"/>
        <v>0</v>
      </c>
      <c r="DO44" s="2">
        <f t="shared" si="39"/>
        <v>0</v>
      </c>
      <c r="DP44" s="2">
        <f t="shared" si="39"/>
        <v>0</v>
      </c>
      <c r="DQ44" s="2">
        <f t="shared" si="39"/>
        <v>0</v>
      </c>
      <c r="DR44" s="2">
        <f t="shared" si="43"/>
        <v>0</v>
      </c>
      <c r="DS44" s="2">
        <f t="shared" si="40"/>
        <v>0</v>
      </c>
      <c r="DT44" s="2">
        <f t="shared" si="40"/>
        <v>0</v>
      </c>
      <c r="DU44" s="2">
        <f t="shared" si="40"/>
        <v>0</v>
      </c>
      <c r="DV44" s="2">
        <f t="shared" si="40"/>
        <v>0</v>
      </c>
      <c r="DW44" s="2">
        <f t="shared" si="40"/>
        <v>0</v>
      </c>
      <c r="DX44" s="2">
        <f t="shared" si="40"/>
        <v>0</v>
      </c>
      <c r="DY44" s="2">
        <f t="shared" si="40"/>
        <v>0</v>
      </c>
      <c r="DZ44" s="2">
        <f t="shared" si="40"/>
        <v>0</v>
      </c>
      <c r="EA44" s="2">
        <f t="shared" si="40"/>
        <v>0</v>
      </c>
      <c r="EB44" s="2">
        <f t="shared" si="40"/>
        <v>0</v>
      </c>
      <c r="EC44" s="2">
        <f t="shared" si="40"/>
        <v>0</v>
      </c>
      <c r="ED44" s="2">
        <f t="shared" si="40"/>
        <v>0</v>
      </c>
      <c r="EE44" s="2">
        <f t="shared" si="40"/>
        <v>0</v>
      </c>
      <c r="EF44" s="2">
        <f t="shared" si="40"/>
        <v>0</v>
      </c>
      <c r="EG44" s="2">
        <f t="shared" si="40"/>
        <v>0</v>
      </c>
      <c r="EH44" s="2">
        <f t="shared" si="40"/>
        <v>0</v>
      </c>
      <c r="EI44" s="2">
        <f t="shared" si="40"/>
        <v>0</v>
      </c>
      <c r="EJ44" s="2">
        <f t="shared" si="40"/>
        <v>0</v>
      </c>
      <c r="EK44" s="2">
        <f t="shared" si="40"/>
        <v>0</v>
      </c>
      <c r="EL44" s="2">
        <f t="shared" si="40"/>
        <v>0</v>
      </c>
    </row>
    <row r="45" spans="1:142" ht="14.4" customHeight="1" x14ac:dyDescent="0.3">
      <c r="A45" s="329"/>
      <c r="B45" s="328"/>
      <c r="C45" s="328"/>
      <c r="D45" s="328"/>
      <c r="E45" s="328"/>
      <c r="F45" s="328"/>
      <c r="G45" s="328"/>
      <c r="H45" s="328"/>
      <c r="I45" s="328"/>
      <c r="J45" s="328"/>
      <c r="K45" s="328"/>
      <c r="L45" s="328"/>
      <c r="M45" s="328"/>
      <c r="N45" s="328"/>
      <c r="O45" s="328"/>
      <c r="P45" s="328"/>
      <c r="Q45" s="282"/>
      <c r="R45" s="73"/>
      <c r="S45" s="332"/>
      <c r="T45" s="333"/>
      <c r="U45" s="334"/>
      <c r="V45" s="33"/>
      <c r="Y45" s="283"/>
      <c r="Z45" s="284"/>
      <c r="AB45" s="274"/>
      <c r="AC45" s="48" t="s">
        <v>129</v>
      </c>
      <c r="AD45" s="276" t="s">
        <v>130</v>
      </c>
      <c r="AE45" s="276"/>
      <c r="AG45" s="181"/>
      <c r="AH45" s="178"/>
      <c r="AI45" s="181"/>
      <c r="AJ45" s="178"/>
      <c r="AL45" s="181"/>
      <c r="AM45" s="178"/>
      <c r="AN45" s="181"/>
      <c r="AO45" s="178"/>
      <c r="AP45" s="22"/>
      <c r="AQ45" s="37" t="str">
        <f t="shared" si="55"/>
        <v/>
      </c>
      <c r="AR45" s="38" t="str" cm="1">
        <f t="array" ref="AR45">IF(AT18="", "", IF(AND(AT18&lt;=MIN(AZ18:BK18,AQ31:BK31),AU18&gt;=MAX(AZ18:BK18,AQ31:BK31)),"ACCEPT",IF(AND(AZ18:BK18,AQ31:BK31="OK"),"ACCEPT","REJECT")))</f>
        <v/>
      </c>
      <c r="AS45" s="38" t="str">
        <f t="shared" si="44"/>
        <v/>
      </c>
      <c r="AT45" s="38" t="str">
        <f t="shared" si="45"/>
        <v/>
      </c>
      <c r="AU45" s="38">
        <f t="shared" si="46"/>
        <v>0</v>
      </c>
      <c r="AV45" s="38">
        <f t="shared" si="47"/>
        <v>0</v>
      </c>
      <c r="AW45" s="38">
        <f>IF(COUNT(AZ18:BK18,AQ31:BK31)=0,0,_xlfn.STDEV.S(AZ18:BK18,AQ31:BK31))</f>
        <v>0</v>
      </c>
      <c r="AX45" s="57" t="str">
        <f t="shared" si="48"/>
        <v>-</v>
      </c>
      <c r="AY45" s="49" t="str">
        <f t="shared" si="56"/>
        <v/>
      </c>
      <c r="AZ45" s="38" t="str" cm="1">
        <f t="array" ref="AZ45">IF(AT24="", "", IF(AND(AT24&lt;=MIN(AZ24:BK24,AQ37:BK37),AU24&gt;=MAX(AZ24:BK24,AQ37:BK37)),"ACCEPT",IF(AND(AZ24:BK24,AQ37:BK37="OK"),"ACCEPT","REJECT")))</f>
        <v/>
      </c>
      <c r="BA45" s="38" t="str">
        <f t="shared" si="49"/>
        <v/>
      </c>
      <c r="BB45" s="38" t="str">
        <f t="shared" si="50"/>
        <v/>
      </c>
      <c r="BC45" s="38">
        <f t="shared" si="51"/>
        <v>0</v>
      </c>
      <c r="BD45" s="38">
        <f t="shared" si="52"/>
        <v>0</v>
      </c>
      <c r="BE45" s="38">
        <f t="shared" si="53"/>
        <v>0</v>
      </c>
      <c r="BF45" s="57" t="str">
        <f t="shared" si="54"/>
        <v>-</v>
      </c>
      <c r="BG45" s="176"/>
      <c r="BH45" s="178"/>
      <c r="BI45" s="181"/>
      <c r="BJ45" s="178"/>
      <c r="BK45" s="22"/>
      <c r="BL45" s="173"/>
      <c r="BM45" s="174"/>
      <c r="BN45" s="175"/>
      <c r="BO45" s="174"/>
      <c r="BP45" s="174"/>
      <c r="BQ45" s="175"/>
      <c r="BR45" s="174"/>
      <c r="BS45" s="174"/>
      <c r="BT45" s="174"/>
      <c r="BU45" s="174"/>
      <c r="BV45" s="174"/>
      <c r="BW45" s="174"/>
      <c r="BX45" s="175"/>
      <c r="BY45" s="122"/>
      <c r="BZ45" s="123"/>
      <c r="CA45" s="123"/>
      <c r="CB45" s="124"/>
      <c r="CC45" s="125"/>
      <c r="CD45" s="126"/>
      <c r="CE45" s="126"/>
      <c r="CF45" s="216"/>
      <c r="CG45" s="2">
        <f t="shared" si="41"/>
        <v>0</v>
      </c>
      <c r="CH45" s="2">
        <f t="shared" si="36"/>
        <v>0</v>
      </c>
      <c r="CI45" s="2">
        <f t="shared" si="37"/>
        <v>0</v>
      </c>
      <c r="CJ45" s="2">
        <f t="shared" si="37"/>
        <v>0</v>
      </c>
      <c r="CK45" s="2">
        <f t="shared" si="37"/>
        <v>0</v>
      </c>
      <c r="CL45" s="2" t="str">
        <f t="shared" si="37"/>
        <v/>
      </c>
      <c r="CM45" s="2" t="str">
        <f t="shared" si="37"/>
        <v/>
      </c>
      <c r="CN45" s="2">
        <f t="shared" si="37"/>
        <v>0</v>
      </c>
      <c r="CO45" s="2">
        <f t="shared" si="38"/>
        <v>0</v>
      </c>
      <c r="CP45" s="2">
        <f t="shared" si="38"/>
        <v>0</v>
      </c>
      <c r="CQ45" s="2">
        <f t="shared" si="38"/>
        <v>0</v>
      </c>
      <c r="CR45" s="2">
        <f t="shared" si="38"/>
        <v>0</v>
      </c>
      <c r="CS45" s="2">
        <f t="shared" si="38"/>
        <v>0</v>
      </c>
      <c r="CT45" s="2">
        <f t="shared" si="38"/>
        <v>0</v>
      </c>
      <c r="CU45" s="2">
        <f t="shared" si="38"/>
        <v>0</v>
      </c>
      <c r="CV45" s="2">
        <f t="shared" si="38"/>
        <v>0</v>
      </c>
      <c r="CW45" s="2">
        <f t="shared" si="38"/>
        <v>0</v>
      </c>
      <c r="CX45" s="2">
        <f t="shared" si="38"/>
        <v>0</v>
      </c>
      <c r="DF45" s="2">
        <f t="shared" si="42"/>
        <v>0</v>
      </c>
      <c r="DG45" s="2">
        <f t="shared" si="39"/>
        <v>0</v>
      </c>
      <c r="DH45" s="2">
        <f t="shared" si="39"/>
        <v>0</v>
      </c>
      <c r="DI45" s="2">
        <f t="shared" si="39"/>
        <v>0</v>
      </c>
      <c r="DJ45" s="2">
        <f t="shared" si="39"/>
        <v>0</v>
      </c>
      <c r="DK45" s="2">
        <f t="shared" si="39"/>
        <v>0</v>
      </c>
      <c r="DL45" s="2">
        <f t="shared" si="39"/>
        <v>0</v>
      </c>
      <c r="DM45" s="2">
        <f t="shared" si="39"/>
        <v>0</v>
      </c>
      <c r="DN45" s="2">
        <f t="shared" si="39"/>
        <v>0</v>
      </c>
      <c r="DO45" s="2">
        <f t="shared" si="39"/>
        <v>0</v>
      </c>
      <c r="DP45" s="2">
        <f t="shared" si="39"/>
        <v>0</v>
      </c>
      <c r="DQ45" s="2">
        <f t="shared" si="39"/>
        <v>0</v>
      </c>
      <c r="DR45" s="2">
        <f t="shared" si="43"/>
        <v>0</v>
      </c>
      <c r="DS45" s="2">
        <f t="shared" si="40"/>
        <v>0</v>
      </c>
      <c r="DT45" s="2">
        <f t="shared" si="40"/>
        <v>0</v>
      </c>
      <c r="DU45" s="2">
        <f t="shared" si="40"/>
        <v>0</v>
      </c>
      <c r="DV45" s="2">
        <f t="shared" si="40"/>
        <v>0</v>
      </c>
      <c r="DW45" s="2">
        <f t="shared" si="40"/>
        <v>0</v>
      </c>
      <c r="DX45" s="2">
        <f t="shared" si="40"/>
        <v>0</v>
      </c>
      <c r="DY45" s="2">
        <f t="shared" si="40"/>
        <v>0</v>
      </c>
      <c r="DZ45" s="2">
        <f t="shared" si="40"/>
        <v>0</v>
      </c>
      <c r="EA45" s="2">
        <f t="shared" si="40"/>
        <v>0</v>
      </c>
      <c r="EB45" s="2">
        <f t="shared" si="40"/>
        <v>0</v>
      </c>
      <c r="EC45" s="2">
        <f t="shared" si="40"/>
        <v>0</v>
      </c>
      <c r="ED45" s="2">
        <f t="shared" si="40"/>
        <v>0</v>
      </c>
      <c r="EE45" s="2">
        <f t="shared" si="40"/>
        <v>0</v>
      </c>
      <c r="EF45" s="2">
        <f t="shared" si="40"/>
        <v>0</v>
      </c>
      <c r="EG45" s="2">
        <f t="shared" si="40"/>
        <v>0</v>
      </c>
      <c r="EH45" s="2">
        <f t="shared" si="40"/>
        <v>0</v>
      </c>
      <c r="EI45" s="2">
        <f t="shared" si="40"/>
        <v>0</v>
      </c>
      <c r="EJ45" s="2">
        <f t="shared" si="40"/>
        <v>0</v>
      </c>
      <c r="EK45" s="2">
        <f t="shared" si="40"/>
        <v>0</v>
      </c>
      <c r="EL45" s="2">
        <f t="shared" si="40"/>
        <v>0</v>
      </c>
    </row>
    <row r="46" spans="1:142" ht="14.4" customHeight="1" thickBot="1" x14ac:dyDescent="0.35">
      <c r="A46" s="329"/>
      <c r="B46" s="328"/>
      <c r="C46" s="328"/>
      <c r="D46" s="328"/>
      <c r="E46" s="328"/>
      <c r="F46" s="328"/>
      <c r="G46" s="328"/>
      <c r="H46" s="328"/>
      <c r="I46" s="328"/>
      <c r="J46" s="328"/>
      <c r="K46" s="328"/>
      <c r="L46" s="328"/>
      <c r="M46" s="328"/>
      <c r="N46" s="328"/>
      <c r="O46" s="328"/>
      <c r="P46" s="328"/>
      <c r="Q46" s="282"/>
      <c r="R46" s="73"/>
      <c r="S46" s="332"/>
      <c r="T46" s="333"/>
      <c r="U46" s="334"/>
      <c r="V46" s="55"/>
      <c r="W46" s="56"/>
      <c r="X46" s="56"/>
      <c r="Y46" s="75" t="s">
        <v>48</v>
      </c>
      <c r="Z46" s="62"/>
      <c r="AB46" s="275"/>
      <c r="AC46" s="48" t="s">
        <v>131</v>
      </c>
      <c r="AD46" s="276" t="s">
        <v>132</v>
      </c>
      <c r="AE46" s="276"/>
      <c r="AG46" s="83" t="s">
        <v>48</v>
      </c>
      <c r="AH46" s="35"/>
      <c r="AI46" s="83" t="s">
        <v>48</v>
      </c>
      <c r="AJ46" s="35"/>
      <c r="AL46" s="83" t="s">
        <v>48</v>
      </c>
      <c r="AM46" s="35"/>
      <c r="AN46" s="83" t="s">
        <v>48</v>
      </c>
      <c r="AO46" s="35"/>
      <c r="AP46" s="22"/>
      <c r="AQ46" s="37" t="str">
        <f t="shared" si="55"/>
        <v/>
      </c>
      <c r="AR46" s="38" t="str" cm="1">
        <f t="array" ref="AR46">IF(AT19="", "", IF(AND(AT19&lt;=MIN(AZ19:BK19,AQ32:BK32),AU19&gt;=MAX(AZ19:BK19,AQ32:BK32)),"ACCEPT",IF(AND(AZ19:BK19,AQ32:BK32="OK"),"ACCEPT","REJECT")))</f>
        <v/>
      </c>
      <c r="AS46" s="38" t="str">
        <f t="shared" si="44"/>
        <v/>
      </c>
      <c r="AT46" s="38" t="str">
        <f t="shared" si="45"/>
        <v/>
      </c>
      <c r="AU46" s="38">
        <f t="shared" si="46"/>
        <v>0</v>
      </c>
      <c r="AV46" s="38">
        <f t="shared" si="47"/>
        <v>0</v>
      </c>
      <c r="AW46" s="38">
        <f>IF(COUNT(AZ19:BK19,AQ32:BK32)=0,0,_xlfn.STDEV.S(AZ19:BK19,AQ32:BK32))</f>
        <v>0</v>
      </c>
      <c r="AX46" s="64" t="str">
        <f t="shared" si="48"/>
        <v>-</v>
      </c>
      <c r="AY46" s="49" t="str">
        <f t="shared" si="56"/>
        <v/>
      </c>
      <c r="AZ46" s="38" t="str" cm="1">
        <f t="array" ref="AZ46">IF(AT25="", "", IF(AND(AT25&lt;=MIN(AZ25:BK25,AQ38:BK38),AU25&gt;=MAX(AZ25:BK25,AQ38:BK38)),"ACCEPT",IF(AND(AZ25:BK25,AQ38:BK38="OK"),"ACCEPT","REJECT")))</f>
        <v/>
      </c>
      <c r="BA46" s="63" t="str">
        <f t="shared" si="49"/>
        <v/>
      </c>
      <c r="BB46" s="63" t="str">
        <f t="shared" si="50"/>
        <v/>
      </c>
      <c r="BC46" s="63">
        <f t="shared" si="51"/>
        <v>0</v>
      </c>
      <c r="BD46" s="63">
        <f t="shared" si="52"/>
        <v>0</v>
      </c>
      <c r="BE46" s="63">
        <f t="shared" si="53"/>
        <v>0</v>
      </c>
      <c r="BF46" s="64" t="str">
        <f t="shared" si="54"/>
        <v>-</v>
      </c>
      <c r="BG46" s="61" t="s">
        <v>48</v>
      </c>
      <c r="BH46" s="35"/>
      <c r="BI46" s="59" t="s">
        <v>48</v>
      </c>
      <c r="BJ46" s="35"/>
      <c r="BK46" s="22"/>
      <c r="BL46" s="173"/>
      <c r="BM46" s="174"/>
      <c r="BN46" s="175"/>
      <c r="BO46" s="174"/>
      <c r="BP46" s="174"/>
      <c r="BQ46" s="175"/>
      <c r="BR46" s="180"/>
      <c r="BS46" s="174"/>
      <c r="BT46" s="174"/>
      <c r="BU46" s="174"/>
      <c r="BV46" s="174"/>
      <c r="BW46" s="174"/>
      <c r="BX46" s="175"/>
      <c r="BY46" s="122"/>
      <c r="BZ46" s="123"/>
      <c r="CA46" s="123"/>
      <c r="CB46" s="124"/>
      <c r="CC46" s="150" t="s">
        <v>123</v>
      </c>
      <c r="CD46" s="222"/>
      <c r="CE46" s="222"/>
      <c r="CF46" s="223"/>
      <c r="CG46" s="2">
        <f t="shared" si="41"/>
        <v>0</v>
      </c>
      <c r="CH46" s="2">
        <f t="shared" si="36"/>
        <v>0</v>
      </c>
      <c r="CI46" s="2">
        <f t="shared" si="37"/>
        <v>0</v>
      </c>
      <c r="CJ46" s="2">
        <f t="shared" si="37"/>
        <v>0</v>
      </c>
      <c r="CK46" s="2">
        <f t="shared" si="37"/>
        <v>0</v>
      </c>
      <c r="CL46" s="2" t="str">
        <f t="shared" si="37"/>
        <v/>
      </c>
      <c r="CM46" s="2" t="str">
        <f t="shared" si="37"/>
        <v/>
      </c>
      <c r="CN46" s="2">
        <f t="shared" si="37"/>
        <v>0</v>
      </c>
      <c r="CO46" s="2">
        <f t="shared" si="38"/>
        <v>0</v>
      </c>
      <c r="CP46" s="2">
        <f t="shared" si="38"/>
        <v>0</v>
      </c>
      <c r="CQ46" s="2">
        <f t="shared" si="38"/>
        <v>0</v>
      </c>
      <c r="CR46" s="2">
        <f t="shared" si="38"/>
        <v>0</v>
      </c>
      <c r="CS46" s="2">
        <f t="shared" si="38"/>
        <v>0</v>
      </c>
      <c r="CT46" s="2">
        <f t="shared" si="38"/>
        <v>0</v>
      </c>
      <c r="CU46" s="2">
        <f t="shared" si="38"/>
        <v>0</v>
      </c>
      <c r="CV46" s="2">
        <f t="shared" si="38"/>
        <v>0</v>
      </c>
      <c r="CW46" s="2">
        <f t="shared" si="38"/>
        <v>0</v>
      </c>
      <c r="CX46" s="2">
        <f t="shared" si="38"/>
        <v>0</v>
      </c>
      <c r="DF46" s="2">
        <f t="shared" si="42"/>
        <v>0</v>
      </c>
      <c r="DG46" s="2">
        <f t="shared" si="39"/>
        <v>0</v>
      </c>
      <c r="DH46" s="2">
        <f t="shared" si="39"/>
        <v>0</v>
      </c>
      <c r="DI46" s="2">
        <f t="shared" si="39"/>
        <v>0</v>
      </c>
      <c r="DJ46" s="2">
        <f t="shared" si="39"/>
        <v>0</v>
      </c>
      <c r="DK46" s="2">
        <f t="shared" si="39"/>
        <v>0</v>
      </c>
      <c r="DL46" s="2">
        <f t="shared" si="39"/>
        <v>0</v>
      </c>
      <c r="DM46" s="2">
        <f t="shared" si="39"/>
        <v>0</v>
      </c>
      <c r="DN46" s="2">
        <f t="shared" si="39"/>
        <v>0</v>
      </c>
      <c r="DO46" s="2">
        <f t="shared" si="39"/>
        <v>0</v>
      </c>
      <c r="DP46" s="2">
        <f t="shared" si="39"/>
        <v>0</v>
      </c>
      <c r="DQ46" s="2">
        <f t="shared" si="39"/>
        <v>0</v>
      </c>
      <c r="DR46" s="2">
        <f t="shared" si="43"/>
        <v>0</v>
      </c>
      <c r="DS46" s="2">
        <f t="shared" si="40"/>
        <v>0</v>
      </c>
      <c r="DT46" s="2">
        <f t="shared" si="40"/>
        <v>0</v>
      </c>
      <c r="DU46" s="2">
        <f t="shared" si="40"/>
        <v>0</v>
      </c>
      <c r="DV46" s="2">
        <f t="shared" si="40"/>
        <v>0</v>
      </c>
      <c r="DW46" s="2">
        <f t="shared" si="40"/>
        <v>0</v>
      </c>
      <c r="DX46" s="2">
        <f t="shared" si="40"/>
        <v>0</v>
      </c>
      <c r="DY46" s="2">
        <f t="shared" si="40"/>
        <v>0</v>
      </c>
      <c r="DZ46" s="2">
        <f t="shared" si="40"/>
        <v>0</v>
      </c>
      <c r="EA46" s="2">
        <f t="shared" si="40"/>
        <v>0</v>
      </c>
      <c r="EB46" s="2">
        <f t="shared" si="40"/>
        <v>0</v>
      </c>
      <c r="EC46" s="2">
        <f t="shared" si="40"/>
        <v>0</v>
      </c>
      <c r="ED46" s="2">
        <f t="shared" si="40"/>
        <v>0</v>
      </c>
      <c r="EE46" s="2">
        <f t="shared" si="40"/>
        <v>0</v>
      </c>
      <c r="EF46" s="2">
        <f t="shared" si="40"/>
        <v>0</v>
      </c>
      <c r="EG46" s="2">
        <f t="shared" si="40"/>
        <v>0</v>
      </c>
      <c r="EH46" s="2">
        <f t="shared" si="40"/>
        <v>0</v>
      </c>
      <c r="EI46" s="2">
        <f t="shared" si="40"/>
        <v>0</v>
      </c>
      <c r="EJ46" s="2">
        <f t="shared" si="40"/>
        <v>0</v>
      </c>
      <c r="EK46" s="2">
        <f t="shared" si="40"/>
        <v>0</v>
      </c>
      <c r="EL46" s="2">
        <f t="shared" si="40"/>
        <v>0</v>
      </c>
    </row>
    <row r="47" spans="1:142" ht="14.4" customHeight="1" thickBot="1" x14ac:dyDescent="0.35">
      <c r="A47" s="330"/>
      <c r="B47" s="331"/>
      <c r="C47" s="331"/>
      <c r="D47" s="331"/>
      <c r="E47" s="331"/>
      <c r="F47" s="331"/>
      <c r="G47" s="331"/>
      <c r="H47" s="331"/>
      <c r="I47" s="331"/>
      <c r="J47" s="331"/>
      <c r="K47" s="331"/>
      <c r="L47" s="331"/>
      <c r="M47" s="331"/>
      <c r="N47" s="331"/>
      <c r="O47" s="331"/>
      <c r="P47" s="331"/>
      <c r="Q47" s="284"/>
      <c r="R47" s="73"/>
      <c r="S47" s="332"/>
      <c r="T47" s="333"/>
      <c r="U47" s="334"/>
      <c r="V47" s="55"/>
      <c r="W47" s="56"/>
      <c r="X47" s="56"/>
      <c r="Y47" s="56"/>
      <c r="Z47" s="56"/>
      <c r="AA47" s="56"/>
      <c r="AB47" s="56"/>
      <c r="AC47" s="56"/>
      <c r="AD47" s="56"/>
      <c r="AE47" s="56"/>
      <c r="AF47" s="56"/>
      <c r="AG47" s="56"/>
      <c r="AH47" s="56"/>
      <c r="AI47" s="56"/>
      <c r="AJ47" s="56"/>
      <c r="AK47" s="56"/>
      <c r="AL47" s="56"/>
      <c r="AM47" s="56"/>
      <c r="AN47" s="56"/>
      <c r="AO47" s="56"/>
      <c r="AP47" s="65"/>
      <c r="AQ47" s="56"/>
      <c r="AR47" s="66"/>
      <c r="AS47" s="56"/>
      <c r="AT47" s="56"/>
      <c r="AU47" s="56"/>
      <c r="AV47" s="56"/>
      <c r="AW47" s="56"/>
      <c r="AX47" s="56"/>
      <c r="AY47" s="56"/>
      <c r="AZ47" s="56"/>
      <c r="BA47" s="56"/>
      <c r="BB47" s="56"/>
      <c r="BC47" s="56"/>
      <c r="BD47" s="56"/>
      <c r="BE47" s="56"/>
      <c r="BF47" s="56"/>
      <c r="BG47" s="56"/>
      <c r="BH47" s="56"/>
      <c r="BI47" s="56"/>
      <c r="BJ47" s="56"/>
      <c r="BK47" s="65"/>
      <c r="BL47" s="173"/>
      <c r="BM47" s="174"/>
      <c r="BN47" s="175"/>
      <c r="BO47" s="174"/>
      <c r="BP47" s="174"/>
      <c r="BQ47" s="175"/>
      <c r="BR47" s="180"/>
      <c r="BS47" s="174"/>
      <c r="BT47" s="174"/>
      <c r="BU47" s="174"/>
      <c r="BV47" s="174"/>
      <c r="BW47" s="174"/>
      <c r="BX47" s="175"/>
      <c r="BY47" s="122"/>
      <c r="BZ47" s="123"/>
      <c r="CA47" s="123"/>
      <c r="CB47" s="124"/>
      <c r="CC47" s="119"/>
      <c r="CD47" s="120"/>
      <c r="CE47" s="120"/>
      <c r="CF47" s="214"/>
      <c r="CG47" s="2">
        <f>V159</f>
        <v>0</v>
      </c>
      <c r="CH47" s="2">
        <f t="shared" ref="CH47:CH58" si="58">W159</f>
        <v>0</v>
      </c>
      <c r="CI47" s="2">
        <f t="shared" ref="CI47:CN58" si="59">Y159</f>
        <v>0</v>
      </c>
      <c r="CJ47" s="2">
        <f t="shared" si="59"/>
        <v>0</v>
      </c>
      <c r="CK47" s="2">
        <f t="shared" si="59"/>
        <v>0</v>
      </c>
      <c r="CL47" s="2" t="str">
        <f t="shared" si="59"/>
        <v/>
      </c>
      <c r="CM47" s="2" t="str">
        <f t="shared" si="59"/>
        <v/>
      </c>
      <c r="CN47" s="2">
        <f t="shared" si="59"/>
        <v>0</v>
      </c>
      <c r="CO47" s="2">
        <f t="shared" ref="CO47:CX58" si="60">AF159</f>
        <v>0</v>
      </c>
      <c r="CP47" s="2">
        <f t="shared" si="60"/>
        <v>0</v>
      </c>
      <c r="CQ47" s="2">
        <f t="shared" si="60"/>
        <v>0</v>
      </c>
      <c r="CR47" s="2">
        <f t="shared" si="60"/>
        <v>0</v>
      </c>
      <c r="CS47" s="2">
        <f t="shared" si="60"/>
        <v>0</v>
      </c>
      <c r="CT47" s="2">
        <f t="shared" si="60"/>
        <v>0</v>
      </c>
      <c r="CU47" s="2">
        <f t="shared" si="60"/>
        <v>0</v>
      </c>
      <c r="CV47" s="2">
        <f t="shared" si="60"/>
        <v>0</v>
      </c>
      <c r="CW47" s="2">
        <f t="shared" si="60"/>
        <v>0</v>
      </c>
      <c r="CX47" s="2">
        <f t="shared" si="60"/>
        <v>0</v>
      </c>
      <c r="DF47" s="2">
        <f>AZ158</f>
        <v>0</v>
      </c>
      <c r="DG47" s="2">
        <f t="shared" ref="DG47:DQ58" si="61">BA158</f>
        <v>0</v>
      </c>
      <c r="DH47" s="2">
        <f t="shared" si="61"/>
        <v>0</v>
      </c>
      <c r="DI47" s="2">
        <f t="shared" si="61"/>
        <v>0</v>
      </c>
      <c r="DJ47" s="2">
        <f t="shared" si="61"/>
        <v>0</v>
      </c>
      <c r="DK47" s="2">
        <f t="shared" si="61"/>
        <v>0</v>
      </c>
      <c r="DL47" s="2">
        <f t="shared" si="61"/>
        <v>0</v>
      </c>
      <c r="DM47" s="2">
        <f t="shared" si="61"/>
        <v>0</v>
      </c>
      <c r="DN47" s="2">
        <f t="shared" si="61"/>
        <v>0</v>
      </c>
      <c r="DO47" s="2">
        <f t="shared" si="61"/>
        <v>0</v>
      </c>
      <c r="DP47" s="2">
        <f t="shared" si="61"/>
        <v>0</v>
      </c>
      <c r="DQ47" s="2">
        <f t="shared" si="61"/>
        <v>0</v>
      </c>
      <c r="DR47" s="2">
        <f>AQ171</f>
        <v>0</v>
      </c>
      <c r="DS47" s="2">
        <f t="shared" ref="DS47:EL58" si="62">AR171</f>
        <v>0</v>
      </c>
      <c r="DT47" s="2">
        <f t="shared" si="62"/>
        <v>0</v>
      </c>
      <c r="DU47" s="2">
        <f t="shared" si="62"/>
        <v>0</v>
      </c>
      <c r="DV47" s="2">
        <f t="shared" si="62"/>
        <v>0</v>
      </c>
      <c r="DW47" s="2">
        <f t="shared" si="62"/>
        <v>0</v>
      </c>
      <c r="DX47" s="2">
        <f t="shared" si="62"/>
        <v>0</v>
      </c>
      <c r="DY47" s="2">
        <f t="shared" si="62"/>
        <v>0</v>
      </c>
      <c r="DZ47" s="2">
        <f t="shared" si="62"/>
        <v>0</v>
      </c>
      <c r="EA47" s="2">
        <f t="shared" si="62"/>
        <v>0</v>
      </c>
      <c r="EB47" s="2">
        <f t="shared" si="62"/>
        <v>0</v>
      </c>
      <c r="EC47" s="2">
        <f t="shared" si="62"/>
        <v>0</v>
      </c>
      <c r="ED47" s="2">
        <f t="shared" si="62"/>
        <v>0</v>
      </c>
      <c r="EE47" s="2">
        <f t="shared" si="62"/>
        <v>0</v>
      </c>
      <c r="EF47" s="2">
        <f t="shared" si="62"/>
        <v>0</v>
      </c>
      <c r="EG47" s="2">
        <f t="shared" si="62"/>
        <v>0</v>
      </c>
      <c r="EH47" s="2">
        <f t="shared" si="62"/>
        <v>0</v>
      </c>
      <c r="EI47" s="2">
        <f t="shared" si="62"/>
        <v>0</v>
      </c>
      <c r="EJ47" s="2">
        <f t="shared" si="62"/>
        <v>0</v>
      </c>
      <c r="EK47" s="2">
        <f t="shared" si="62"/>
        <v>0</v>
      </c>
      <c r="EL47" s="2">
        <f t="shared" si="62"/>
        <v>0</v>
      </c>
    </row>
    <row r="48" spans="1:142" ht="14.4" customHeight="1" thickBot="1" x14ac:dyDescent="0.35">
      <c r="A48" s="67"/>
      <c r="B48" s="68"/>
      <c r="C48" s="68"/>
      <c r="D48" s="68"/>
      <c r="E48" s="68"/>
      <c r="F48" s="68"/>
      <c r="G48" s="68"/>
      <c r="H48" s="68"/>
      <c r="I48" s="68"/>
      <c r="J48" s="68"/>
      <c r="K48" s="68"/>
      <c r="L48" s="68"/>
      <c r="M48" s="68"/>
      <c r="N48" s="68"/>
      <c r="O48" s="234" t="s">
        <v>134</v>
      </c>
      <c r="P48" s="234"/>
      <c r="Q48" s="234"/>
      <c r="R48" s="234"/>
      <c r="S48" s="234" t="s">
        <v>135</v>
      </c>
      <c r="T48" s="234"/>
      <c r="U48" s="235"/>
      <c r="V48" s="67"/>
      <c r="W48" s="68"/>
      <c r="X48" s="68"/>
      <c r="Y48" s="68"/>
      <c r="Z48" s="68"/>
      <c r="AA48" s="68"/>
      <c r="AB48" s="68"/>
      <c r="AC48" s="68"/>
      <c r="AD48" s="68"/>
      <c r="AE48" s="68"/>
      <c r="AF48" s="68"/>
      <c r="AG48" s="233" t="s">
        <v>140</v>
      </c>
      <c r="AH48" s="233"/>
      <c r="AI48" s="233"/>
      <c r="AJ48" s="234" t="s">
        <v>139</v>
      </c>
      <c r="AK48" s="234"/>
      <c r="AL48" s="234"/>
      <c r="AM48" s="234"/>
      <c r="AN48" s="234" t="s">
        <v>138</v>
      </c>
      <c r="AO48" s="234"/>
      <c r="AP48" s="235"/>
      <c r="AQ48" s="68"/>
      <c r="AR48" s="68"/>
      <c r="AS48" s="68"/>
      <c r="AT48" s="68"/>
      <c r="AU48" s="68"/>
      <c r="AV48" s="68"/>
      <c r="AW48" s="68"/>
      <c r="AX48" s="68"/>
      <c r="AY48" s="68"/>
      <c r="AZ48" s="68"/>
      <c r="BA48" s="68"/>
      <c r="BB48" s="233" t="s">
        <v>140</v>
      </c>
      <c r="BC48" s="233"/>
      <c r="BD48" s="233"/>
      <c r="BE48" s="234" t="s">
        <v>139</v>
      </c>
      <c r="BF48" s="234"/>
      <c r="BG48" s="234"/>
      <c r="BH48" s="234"/>
      <c r="BI48" s="234" t="s">
        <v>142</v>
      </c>
      <c r="BJ48" s="234"/>
      <c r="BK48" s="235"/>
      <c r="BL48" s="70"/>
      <c r="BM48" s="71"/>
      <c r="BN48" s="71"/>
      <c r="BO48" s="71"/>
      <c r="BP48" s="71"/>
      <c r="BQ48" s="71"/>
      <c r="BR48" s="71"/>
      <c r="BS48" s="71"/>
      <c r="BT48" s="71"/>
      <c r="BU48" s="71"/>
      <c r="BV48" s="71"/>
      <c r="BW48" s="71"/>
      <c r="BX48" s="71"/>
      <c r="BY48" s="71"/>
      <c r="BZ48" s="71" t="s">
        <v>133</v>
      </c>
      <c r="CA48" s="71"/>
      <c r="CB48" s="71"/>
      <c r="CC48" s="71"/>
      <c r="CD48" s="71"/>
      <c r="CE48" s="71"/>
      <c r="CF48" s="72"/>
      <c r="CG48" s="2">
        <f t="shared" ref="CG48:CG58" si="63">V160</f>
        <v>0</v>
      </c>
      <c r="CH48" s="2">
        <f t="shared" si="58"/>
        <v>0</v>
      </c>
      <c r="CI48" s="2">
        <f t="shared" si="59"/>
        <v>0</v>
      </c>
      <c r="CJ48" s="2">
        <f t="shared" si="59"/>
        <v>0</v>
      </c>
      <c r="CK48" s="2">
        <f t="shared" si="59"/>
        <v>0</v>
      </c>
      <c r="CL48" s="2" t="str">
        <f t="shared" si="59"/>
        <v/>
      </c>
      <c r="CM48" s="2" t="str">
        <f t="shared" si="59"/>
        <v/>
      </c>
      <c r="CN48" s="2">
        <f t="shared" si="59"/>
        <v>0</v>
      </c>
      <c r="CO48" s="2">
        <f t="shared" si="60"/>
        <v>0</v>
      </c>
      <c r="CP48" s="2">
        <f t="shared" si="60"/>
        <v>0</v>
      </c>
      <c r="CQ48" s="2">
        <f t="shared" si="60"/>
        <v>0</v>
      </c>
      <c r="CR48" s="2">
        <f t="shared" si="60"/>
        <v>0</v>
      </c>
      <c r="CS48" s="2">
        <f t="shared" si="60"/>
        <v>0</v>
      </c>
      <c r="CT48" s="2">
        <f t="shared" si="60"/>
        <v>0</v>
      </c>
      <c r="CU48" s="2">
        <f t="shared" si="60"/>
        <v>0</v>
      </c>
      <c r="CV48" s="2">
        <f t="shared" si="60"/>
        <v>0</v>
      </c>
      <c r="CW48" s="2">
        <f t="shared" si="60"/>
        <v>0</v>
      </c>
      <c r="CX48" s="2">
        <f t="shared" si="60"/>
        <v>0</v>
      </c>
      <c r="DF48" s="2">
        <f t="shared" ref="DF48:DF58" si="64">AZ159</f>
        <v>0</v>
      </c>
      <c r="DG48" s="2">
        <f t="shared" si="61"/>
        <v>0</v>
      </c>
      <c r="DH48" s="2">
        <f t="shared" si="61"/>
        <v>0</v>
      </c>
      <c r="DI48" s="2">
        <f t="shared" si="61"/>
        <v>0</v>
      </c>
      <c r="DJ48" s="2">
        <f t="shared" si="61"/>
        <v>0</v>
      </c>
      <c r="DK48" s="2">
        <f t="shared" si="61"/>
        <v>0</v>
      </c>
      <c r="DL48" s="2">
        <f t="shared" si="61"/>
        <v>0</v>
      </c>
      <c r="DM48" s="2">
        <f t="shared" si="61"/>
        <v>0</v>
      </c>
      <c r="DN48" s="2">
        <f t="shared" si="61"/>
        <v>0</v>
      </c>
      <c r="DO48" s="2">
        <f t="shared" si="61"/>
        <v>0</v>
      </c>
      <c r="DP48" s="2">
        <f t="shared" si="61"/>
        <v>0</v>
      </c>
      <c r="DQ48" s="2">
        <f t="shared" si="61"/>
        <v>0</v>
      </c>
      <c r="DR48" s="2">
        <f t="shared" ref="DR48:DR58" si="65">AQ172</f>
        <v>0</v>
      </c>
      <c r="DS48" s="2">
        <f t="shared" si="62"/>
        <v>0</v>
      </c>
      <c r="DT48" s="2">
        <f t="shared" si="62"/>
        <v>0</v>
      </c>
      <c r="DU48" s="2">
        <f t="shared" si="62"/>
        <v>0</v>
      </c>
      <c r="DV48" s="2">
        <f t="shared" si="62"/>
        <v>0</v>
      </c>
      <c r="DW48" s="2">
        <f t="shared" si="62"/>
        <v>0</v>
      </c>
      <c r="DX48" s="2">
        <f t="shared" si="62"/>
        <v>0</v>
      </c>
      <c r="DY48" s="2">
        <f t="shared" si="62"/>
        <v>0</v>
      </c>
      <c r="DZ48" s="2">
        <f t="shared" si="62"/>
        <v>0</v>
      </c>
      <c r="EA48" s="2">
        <f t="shared" si="62"/>
        <v>0</v>
      </c>
      <c r="EB48" s="2">
        <f t="shared" si="62"/>
        <v>0</v>
      </c>
      <c r="EC48" s="2">
        <f t="shared" si="62"/>
        <v>0</v>
      </c>
      <c r="ED48" s="2">
        <f t="shared" si="62"/>
        <v>0</v>
      </c>
      <c r="EE48" s="2">
        <f t="shared" si="62"/>
        <v>0</v>
      </c>
      <c r="EF48" s="2">
        <f t="shared" si="62"/>
        <v>0</v>
      </c>
      <c r="EG48" s="2">
        <f t="shared" si="62"/>
        <v>0</v>
      </c>
      <c r="EH48" s="2">
        <f t="shared" si="62"/>
        <v>0</v>
      </c>
      <c r="EI48" s="2">
        <f t="shared" si="62"/>
        <v>0</v>
      </c>
      <c r="EJ48" s="2">
        <f t="shared" si="62"/>
        <v>0</v>
      </c>
      <c r="EK48" s="2">
        <f t="shared" si="62"/>
        <v>0</v>
      </c>
      <c r="EL48" s="2">
        <f t="shared" si="62"/>
        <v>0</v>
      </c>
    </row>
    <row r="49" spans="3:142" ht="14.4" customHeight="1" x14ac:dyDescent="0.3">
      <c r="V49" s="183" t="e" vm="1">
        <v>#VALUE!</v>
      </c>
      <c r="W49" s="184"/>
      <c r="X49" s="189" t="s">
        <v>1</v>
      </c>
      <c r="Y49" s="189"/>
      <c r="Z49" s="189"/>
      <c r="AA49" s="189"/>
      <c r="AB49" s="189"/>
      <c r="AC49" s="189"/>
      <c r="AD49" s="189"/>
      <c r="AE49" s="189"/>
      <c r="AF49" s="291" t="s">
        <v>2</v>
      </c>
      <c r="AG49" s="191"/>
      <c r="AH49" s="191"/>
      <c r="AI49" s="191"/>
      <c r="AJ49" s="191"/>
      <c r="AK49" s="191"/>
      <c r="AL49" s="191"/>
      <c r="AM49" s="191"/>
      <c r="AN49" s="191" t="e" vm="4">
        <v>#VALUE!</v>
      </c>
      <c r="AO49" s="191"/>
      <c r="AP49" s="192"/>
      <c r="AQ49" s="297" t="e" vm="1">
        <v>#VALUE!</v>
      </c>
      <c r="AR49" s="184"/>
      <c r="AS49" s="190" t="s">
        <v>1</v>
      </c>
      <c r="AT49" s="190"/>
      <c r="AU49" s="190"/>
      <c r="AV49" s="190"/>
      <c r="AW49" s="190"/>
      <c r="AX49" s="190"/>
      <c r="AY49" s="190"/>
      <c r="AZ49" s="190"/>
      <c r="BA49" s="190" t="s">
        <v>3</v>
      </c>
      <c r="BB49" s="190"/>
      <c r="BC49" s="190"/>
      <c r="BD49" s="190"/>
      <c r="BE49" s="190"/>
      <c r="BF49" s="190"/>
      <c r="BG49" s="190"/>
      <c r="BH49" s="190"/>
      <c r="BI49" s="191" t="e" vm="4">
        <v>#VALUE!</v>
      </c>
      <c r="BJ49" s="191"/>
      <c r="BK49" s="192"/>
      <c r="BL49" s="183" t="e" vm="1">
        <v>#VALUE!</v>
      </c>
      <c r="BM49" s="184"/>
      <c r="BN49" s="189" t="s">
        <v>1</v>
      </c>
      <c r="BO49" s="189"/>
      <c r="BP49" s="189"/>
      <c r="BQ49" s="189"/>
      <c r="BR49" s="189"/>
      <c r="BS49" s="189"/>
      <c r="BT49" s="189"/>
      <c r="BU49" s="189"/>
      <c r="BV49" s="189" t="s">
        <v>4</v>
      </c>
      <c r="BW49" s="189"/>
      <c r="BX49" s="189"/>
      <c r="BY49" s="189"/>
      <c r="BZ49" s="189"/>
      <c r="CA49" s="189"/>
      <c r="CB49" s="189"/>
      <c r="CC49" s="189"/>
      <c r="CD49" s="191" t="e" vm="3">
        <v>#VALUE!</v>
      </c>
      <c r="CE49" s="191"/>
      <c r="CF49" s="192"/>
      <c r="CG49" s="2">
        <f t="shared" si="63"/>
        <v>0</v>
      </c>
      <c r="CH49" s="2">
        <f t="shared" si="58"/>
        <v>0</v>
      </c>
      <c r="CI49" s="2">
        <f t="shared" si="59"/>
        <v>0</v>
      </c>
      <c r="CJ49" s="2">
        <f t="shared" si="59"/>
        <v>0</v>
      </c>
      <c r="CK49" s="2">
        <f t="shared" si="59"/>
        <v>0</v>
      </c>
      <c r="CL49" s="2" t="str">
        <f t="shared" si="59"/>
        <v/>
      </c>
      <c r="CM49" s="2" t="str">
        <f t="shared" si="59"/>
        <v/>
      </c>
      <c r="CN49" s="2">
        <f t="shared" si="59"/>
        <v>0</v>
      </c>
      <c r="CO49" s="2">
        <f t="shared" si="60"/>
        <v>0</v>
      </c>
      <c r="CP49" s="2">
        <f t="shared" si="60"/>
        <v>0</v>
      </c>
      <c r="CQ49" s="2">
        <f t="shared" si="60"/>
        <v>0</v>
      </c>
      <c r="CR49" s="2">
        <f t="shared" si="60"/>
        <v>0</v>
      </c>
      <c r="CS49" s="2">
        <f t="shared" si="60"/>
        <v>0</v>
      </c>
      <c r="CT49" s="2">
        <f t="shared" si="60"/>
        <v>0</v>
      </c>
      <c r="CU49" s="2">
        <f t="shared" si="60"/>
        <v>0</v>
      </c>
      <c r="CV49" s="2">
        <f t="shared" si="60"/>
        <v>0</v>
      </c>
      <c r="CW49" s="2">
        <f t="shared" si="60"/>
        <v>0</v>
      </c>
      <c r="CX49" s="2">
        <f t="shared" si="60"/>
        <v>0</v>
      </c>
      <c r="DF49" s="2">
        <f t="shared" si="64"/>
        <v>0</v>
      </c>
      <c r="DG49" s="2">
        <f t="shared" si="61"/>
        <v>0</v>
      </c>
      <c r="DH49" s="2">
        <f t="shared" si="61"/>
        <v>0</v>
      </c>
      <c r="DI49" s="2">
        <f t="shared" si="61"/>
        <v>0</v>
      </c>
      <c r="DJ49" s="2">
        <f t="shared" si="61"/>
        <v>0</v>
      </c>
      <c r="DK49" s="2">
        <f t="shared" si="61"/>
        <v>0</v>
      </c>
      <c r="DL49" s="2">
        <f t="shared" si="61"/>
        <v>0</v>
      </c>
      <c r="DM49" s="2">
        <f t="shared" si="61"/>
        <v>0</v>
      </c>
      <c r="DN49" s="2">
        <f t="shared" si="61"/>
        <v>0</v>
      </c>
      <c r="DO49" s="2">
        <f t="shared" si="61"/>
        <v>0</v>
      </c>
      <c r="DP49" s="2">
        <f t="shared" si="61"/>
        <v>0</v>
      </c>
      <c r="DQ49" s="2">
        <f t="shared" si="61"/>
        <v>0</v>
      </c>
      <c r="DR49" s="2">
        <f t="shared" si="65"/>
        <v>0</v>
      </c>
      <c r="DS49" s="2">
        <f t="shared" si="62"/>
        <v>0</v>
      </c>
      <c r="DT49" s="2">
        <f t="shared" si="62"/>
        <v>0</v>
      </c>
      <c r="DU49" s="2">
        <f t="shared" si="62"/>
        <v>0</v>
      </c>
      <c r="DV49" s="2">
        <f t="shared" si="62"/>
        <v>0</v>
      </c>
      <c r="DW49" s="2">
        <f t="shared" si="62"/>
        <v>0</v>
      </c>
      <c r="DX49" s="2">
        <f t="shared" si="62"/>
        <v>0</v>
      </c>
      <c r="DY49" s="2">
        <f t="shared" si="62"/>
        <v>0</v>
      </c>
      <c r="DZ49" s="2">
        <f t="shared" si="62"/>
        <v>0</v>
      </c>
      <c r="EA49" s="2">
        <f t="shared" si="62"/>
        <v>0</v>
      </c>
      <c r="EB49" s="2">
        <f t="shared" si="62"/>
        <v>0</v>
      </c>
      <c r="EC49" s="2">
        <f t="shared" si="62"/>
        <v>0</v>
      </c>
      <c r="ED49" s="2">
        <f t="shared" si="62"/>
        <v>0</v>
      </c>
      <c r="EE49" s="2">
        <f t="shared" si="62"/>
        <v>0</v>
      </c>
      <c r="EF49" s="2">
        <f t="shared" si="62"/>
        <v>0</v>
      </c>
      <c r="EG49" s="2">
        <f t="shared" si="62"/>
        <v>0</v>
      </c>
      <c r="EH49" s="2">
        <f t="shared" si="62"/>
        <v>0</v>
      </c>
      <c r="EI49" s="2">
        <f t="shared" si="62"/>
        <v>0</v>
      </c>
      <c r="EJ49" s="2">
        <f t="shared" si="62"/>
        <v>0</v>
      </c>
      <c r="EK49" s="2">
        <f t="shared" si="62"/>
        <v>0</v>
      </c>
      <c r="EL49" s="2">
        <f t="shared" si="62"/>
        <v>0</v>
      </c>
    </row>
    <row r="50" spans="3:142" ht="14.4" customHeight="1" x14ac:dyDescent="0.3">
      <c r="V50" s="185"/>
      <c r="W50" s="186"/>
      <c r="X50" s="190"/>
      <c r="Y50" s="190"/>
      <c r="Z50" s="190"/>
      <c r="AA50" s="190"/>
      <c r="AB50" s="190"/>
      <c r="AC50" s="190"/>
      <c r="AD50" s="190"/>
      <c r="AE50" s="190"/>
      <c r="AF50" s="293"/>
      <c r="AG50" s="193"/>
      <c r="AH50" s="193"/>
      <c r="AI50" s="193"/>
      <c r="AJ50" s="193"/>
      <c r="AK50" s="193"/>
      <c r="AL50" s="193"/>
      <c r="AM50" s="193"/>
      <c r="AN50" s="193"/>
      <c r="AO50" s="193"/>
      <c r="AP50" s="194"/>
      <c r="AQ50" s="298"/>
      <c r="AR50" s="186"/>
      <c r="AS50" s="190"/>
      <c r="AT50" s="190"/>
      <c r="AU50" s="190"/>
      <c r="AV50" s="190"/>
      <c r="AW50" s="190"/>
      <c r="AX50" s="190"/>
      <c r="AY50" s="190"/>
      <c r="AZ50" s="190"/>
      <c r="BA50" s="190"/>
      <c r="BB50" s="190"/>
      <c r="BC50" s="190"/>
      <c r="BD50" s="190"/>
      <c r="BE50" s="190"/>
      <c r="BF50" s="190"/>
      <c r="BG50" s="190"/>
      <c r="BH50" s="190"/>
      <c r="BI50" s="193"/>
      <c r="BJ50" s="193"/>
      <c r="BK50" s="194"/>
      <c r="BL50" s="185"/>
      <c r="BM50" s="186"/>
      <c r="BN50" s="190"/>
      <c r="BO50" s="190"/>
      <c r="BP50" s="190"/>
      <c r="BQ50" s="190"/>
      <c r="BR50" s="190"/>
      <c r="BS50" s="190"/>
      <c r="BT50" s="190"/>
      <c r="BU50" s="190"/>
      <c r="BV50" s="190"/>
      <c r="BW50" s="190"/>
      <c r="BX50" s="190"/>
      <c r="BY50" s="190"/>
      <c r="BZ50" s="190"/>
      <c r="CA50" s="190"/>
      <c r="CB50" s="190"/>
      <c r="CC50" s="190"/>
      <c r="CD50" s="193"/>
      <c r="CE50" s="193"/>
      <c r="CF50" s="194"/>
      <c r="CG50" s="2">
        <f t="shared" si="63"/>
        <v>0</v>
      </c>
      <c r="CH50" s="2">
        <f t="shared" si="58"/>
        <v>0</v>
      </c>
      <c r="CI50" s="2">
        <f t="shared" si="59"/>
        <v>0</v>
      </c>
      <c r="CJ50" s="2">
        <f t="shared" si="59"/>
        <v>0</v>
      </c>
      <c r="CK50" s="2">
        <f t="shared" si="59"/>
        <v>0</v>
      </c>
      <c r="CL50" s="2" t="str">
        <f t="shared" si="59"/>
        <v/>
      </c>
      <c r="CM50" s="2" t="str">
        <f t="shared" si="59"/>
        <v/>
      </c>
      <c r="CN50" s="2">
        <f t="shared" si="59"/>
        <v>0</v>
      </c>
      <c r="CO50" s="2">
        <f t="shared" si="60"/>
        <v>0</v>
      </c>
      <c r="CP50" s="2">
        <f t="shared" si="60"/>
        <v>0</v>
      </c>
      <c r="CQ50" s="2">
        <f t="shared" si="60"/>
        <v>0</v>
      </c>
      <c r="CR50" s="2">
        <f t="shared" si="60"/>
        <v>0</v>
      </c>
      <c r="CS50" s="2">
        <f t="shared" si="60"/>
        <v>0</v>
      </c>
      <c r="CT50" s="2">
        <f t="shared" si="60"/>
        <v>0</v>
      </c>
      <c r="CU50" s="2">
        <f t="shared" si="60"/>
        <v>0</v>
      </c>
      <c r="CV50" s="2">
        <f t="shared" si="60"/>
        <v>0</v>
      </c>
      <c r="CW50" s="2">
        <f t="shared" si="60"/>
        <v>0</v>
      </c>
      <c r="CX50" s="2">
        <f t="shared" si="60"/>
        <v>0</v>
      </c>
      <c r="DF50" s="2">
        <f t="shared" si="64"/>
        <v>0</v>
      </c>
      <c r="DG50" s="2">
        <f t="shared" si="61"/>
        <v>0</v>
      </c>
      <c r="DH50" s="2">
        <f t="shared" si="61"/>
        <v>0</v>
      </c>
      <c r="DI50" s="2">
        <f t="shared" si="61"/>
        <v>0</v>
      </c>
      <c r="DJ50" s="2">
        <f t="shared" si="61"/>
        <v>0</v>
      </c>
      <c r="DK50" s="2">
        <f t="shared" si="61"/>
        <v>0</v>
      </c>
      <c r="DL50" s="2">
        <f t="shared" si="61"/>
        <v>0</v>
      </c>
      <c r="DM50" s="2">
        <f t="shared" si="61"/>
        <v>0</v>
      </c>
      <c r="DN50" s="2">
        <f t="shared" si="61"/>
        <v>0</v>
      </c>
      <c r="DO50" s="2">
        <f t="shared" si="61"/>
        <v>0</v>
      </c>
      <c r="DP50" s="2">
        <f t="shared" si="61"/>
        <v>0</v>
      </c>
      <c r="DQ50" s="2">
        <f t="shared" si="61"/>
        <v>0</v>
      </c>
      <c r="DR50" s="2">
        <f t="shared" si="65"/>
        <v>0</v>
      </c>
      <c r="DS50" s="2">
        <f t="shared" si="62"/>
        <v>0</v>
      </c>
      <c r="DT50" s="2">
        <f t="shared" si="62"/>
        <v>0</v>
      </c>
      <c r="DU50" s="2">
        <f t="shared" si="62"/>
        <v>0</v>
      </c>
      <c r="DV50" s="2">
        <f t="shared" si="62"/>
        <v>0</v>
      </c>
      <c r="DW50" s="2">
        <f t="shared" si="62"/>
        <v>0</v>
      </c>
      <c r="DX50" s="2">
        <f t="shared" si="62"/>
        <v>0</v>
      </c>
      <c r="DY50" s="2">
        <f t="shared" si="62"/>
        <v>0</v>
      </c>
      <c r="DZ50" s="2">
        <f t="shared" si="62"/>
        <v>0</v>
      </c>
      <c r="EA50" s="2">
        <f t="shared" si="62"/>
        <v>0</v>
      </c>
      <c r="EB50" s="2">
        <f t="shared" si="62"/>
        <v>0</v>
      </c>
      <c r="EC50" s="2">
        <f t="shared" si="62"/>
        <v>0</v>
      </c>
      <c r="ED50" s="2">
        <f t="shared" si="62"/>
        <v>0</v>
      </c>
      <c r="EE50" s="2">
        <f t="shared" si="62"/>
        <v>0</v>
      </c>
      <c r="EF50" s="2">
        <f t="shared" si="62"/>
        <v>0</v>
      </c>
      <c r="EG50" s="2">
        <f t="shared" si="62"/>
        <v>0</v>
      </c>
      <c r="EH50" s="2">
        <f t="shared" si="62"/>
        <v>0</v>
      </c>
      <c r="EI50" s="2">
        <f t="shared" si="62"/>
        <v>0</v>
      </c>
      <c r="EJ50" s="2">
        <f t="shared" si="62"/>
        <v>0</v>
      </c>
      <c r="EK50" s="2">
        <f t="shared" si="62"/>
        <v>0</v>
      </c>
      <c r="EL50" s="2">
        <f t="shared" si="62"/>
        <v>0</v>
      </c>
    </row>
    <row r="51" spans="3:142" ht="14.4" customHeight="1" x14ac:dyDescent="0.3">
      <c r="V51" s="187"/>
      <c r="W51" s="188"/>
      <c r="X51" s="190"/>
      <c r="Y51" s="190"/>
      <c r="Z51" s="190"/>
      <c r="AA51" s="190"/>
      <c r="AB51" s="190"/>
      <c r="AC51" s="190"/>
      <c r="AD51" s="190"/>
      <c r="AE51" s="190"/>
      <c r="AF51" s="295"/>
      <c r="AG51" s="195"/>
      <c r="AH51" s="195"/>
      <c r="AI51" s="195"/>
      <c r="AJ51" s="195"/>
      <c r="AK51" s="195"/>
      <c r="AL51" s="195"/>
      <c r="AM51" s="195"/>
      <c r="AN51" s="193"/>
      <c r="AO51" s="193"/>
      <c r="AP51" s="194"/>
      <c r="AQ51" s="299"/>
      <c r="AR51" s="188"/>
      <c r="AS51" s="190"/>
      <c r="AT51" s="190"/>
      <c r="AU51" s="190"/>
      <c r="AV51" s="190"/>
      <c r="AW51" s="190"/>
      <c r="AX51" s="190"/>
      <c r="AY51" s="190"/>
      <c r="AZ51" s="190"/>
      <c r="BA51" s="190"/>
      <c r="BB51" s="190"/>
      <c r="BC51" s="190"/>
      <c r="BD51" s="190"/>
      <c r="BE51" s="190"/>
      <c r="BF51" s="190"/>
      <c r="BG51" s="190"/>
      <c r="BH51" s="190"/>
      <c r="BI51" s="195"/>
      <c r="BJ51" s="195"/>
      <c r="BK51" s="196"/>
      <c r="BL51" s="187"/>
      <c r="BM51" s="188"/>
      <c r="BN51" s="190"/>
      <c r="BO51" s="190"/>
      <c r="BP51" s="190"/>
      <c r="BQ51" s="190"/>
      <c r="BR51" s="190"/>
      <c r="BS51" s="190"/>
      <c r="BT51" s="190"/>
      <c r="BU51" s="190"/>
      <c r="BV51" s="190"/>
      <c r="BW51" s="190"/>
      <c r="BX51" s="190"/>
      <c r="BY51" s="190"/>
      <c r="BZ51" s="190"/>
      <c r="CA51" s="190"/>
      <c r="CB51" s="190"/>
      <c r="CC51" s="190"/>
      <c r="CD51" s="195"/>
      <c r="CE51" s="195"/>
      <c r="CF51" s="196"/>
      <c r="CG51" s="2">
        <f t="shared" si="63"/>
        <v>0</v>
      </c>
      <c r="CH51" s="2">
        <f t="shared" si="58"/>
        <v>0</v>
      </c>
      <c r="CI51" s="2">
        <f t="shared" si="59"/>
        <v>0</v>
      </c>
      <c r="CJ51" s="2">
        <f t="shared" si="59"/>
        <v>0</v>
      </c>
      <c r="CK51" s="2">
        <f t="shared" si="59"/>
        <v>0</v>
      </c>
      <c r="CL51" s="2" t="str">
        <f t="shared" si="59"/>
        <v/>
      </c>
      <c r="CM51" s="2" t="str">
        <f t="shared" si="59"/>
        <v/>
      </c>
      <c r="CN51" s="2">
        <f t="shared" si="59"/>
        <v>0</v>
      </c>
      <c r="CO51" s="2">
        <f t="shared" si="60"/>
        <v>0</v>
      </c>
      <c r="CP51" s="2">
        <f t="shared" si="60"/>
        <v>0</v>
      </c>
      <c r="CQ51" s="2">
        <f t="shared" si="60"/>
        <v>0</v>
      </c>
      <c r="CR51" s="2">
        <f t="shared" si="60"/>
        <v>0</v>
      </c>
      <c r="CS51" s="2">
        <f t="shared" si="60"/>
        <v>0</v>
      </c>
      <c r="CT51" s="2">
        <f t="shared" si="60"/>
        <v>0</v>
      </c>
      <c r="CU51" s="2">
        <f t="shared" si="60"/>
        <v>0</v>
      </c>
      <c r="CV51" s="2">
        <f t="shared" si="60"/>
        <v>0</v>
      </c>
      <c r="CW51" s="2">
        <f t="shared" si="60"/>
        <v>0</v>
      </c>
      <c r="CX51" s="2">
        <f t="shared" si="60"/>
        <v>0</v>
      </c>
      <c r="DF51" s="2">
        <f t="shared" si="64"/>
        <v>0</v>
      </c>
      <c r="DG51" s="2">
        <f t="shared" si="61"/>
        <v>0</v>
      </c>
      <c r="DH51" s="2">
        <f t="shared" si="61"/>
        <v>0</v>
      </c>
      <c r="DI51" s="2">
        <f t="shared" si="61"/>
        <v>0</v>
      </c>
      <c r="DJ51" s="2">
        <f t="shared" si="61"/>
        <v>0</v>
      </c>
      <c r="DK51" s="2">
        <f t="shared" si="61"/>
        <v>0</v>
      </c>
      <c r="DL51" s="2">
        <f t="shared" si="61"/>
        <v>0</v>
      </c>
      <c r="DM51" s="2">
        <f t="shared" si="61"/>
        <v>0</v>
      </c>
      <c r="DN51" s="2">
        <f t="shared" si="61"/>
        <v>0</v>
      </c>
      <c r="DO51" s="2">
        <f t="shared" si="61"/>
        <v>0</v>
      </c>
      <c r="DP51" s="2">
        <f t="shared" si="61"/>
        <v>0</v>
      </c>
      <c r="DQ51" s="2">
        <f t="shared" si="61"/>
        <v>0</v>
      </c>
      <c r="DR51" s="2">
        <f t="shared" si="65"/>
        <v>0</v>
      </c>
      <c r="DS51" s="2">
        <f t="shared" si="62"/>
        <v>0</v>
      </c>
      <c r="DT51" s="2">
        <f t="shared" si="62"/>
        <v>0</v>
      </c>
      <c r="DU51" s="2">
        <f t="shared" si="62"/>
        <v>0</v>
      </c>
      <c r="DV51" s="2">
        <f t="shared" si="62"/>
        <v>0</v>
      </c>
      <c r="DW51" s="2">
        <f t="shared" si="62"/>
        <v>0</v>
      </c>
      <c r="DX51" s="2">
        <f t="shared" si="62"/>
        <v>0</v>
      </c>
      <c r="DY51" s="2">
        <f t="shared" si="62"/>
        <v>0</v>
      </c>
      <c r="DZ51" s="2">
        <f t="shared" si="62"/>
        <v>0</v>
      </c>
      <c r="EA51" s="2">
        <f t="shared" si="62"/>
        <v>0</v>
      </c>
      <c r="EB51" s="2">
        <f t="shared" si="62"/>
        <v>0</v>
      </c>
      <c r="EC51" s="2">
        <f t="shared" si="62"/>
        <v>0</v>
      </c>
      <c r="ED51" s="2">
        <f t="shared" si="62"/>
        <v>0</v>
      </c>
      <c r="EE51" s="2">
        <f t="shared" si="62"/>
        <v>0</v>
      </c>
      <c r="EF51" s="2">
        <f t="shared" si="62"/>
        <v>0</v>
      </c>
      <c r="EG51" s="2">
        <f t="shared" si="62"/>
        <v>0</v>
      </c>
      <c r="EH51" s="2">
        <f t="shared" si="62"/>
        <v>0</v>
      </c>
      <c r="EI51" s="2">
        <f t="shared" si="62"/>
        <v>0</v>
      </c>
      <c r="EJ51" s="2">
        <f t="shared" si="62"/>
        <v>0</v>
      </c>
      <c r="EK51" s="2">
        <f t="shared" si="62"/>
        <v>0</v>
      </c>
      <c r="EL51" s="2">
        <f t="shared" si="62"/>
        <v>0</v>
      </c>
    </row>
    <row r="52" spans="3:142" ht="14.4" customHeight="1" x14ac:dyDescent="0.3">
      <c r="V52" s="107" t="s">
        <v>7</v>
      </c>
      <c r="W52" s="106"/>
      <c r="X52" s="182" t="str">
        <f>IF(ISBLANK($C$4),"",$C$4)</f>
        <v/>
      </c>
      <c r="Y52" s="182"/>
      <c r="Z52" s="182"/>
      <c r="AA52" s="182"/>
      <c r="AB52" s="182"/>
      <c r="AC52" s="105" t="s">
        <v>8</v>
      </c>
      <c r="AD52" s="112"/>
      <c r="AE52" s="106"/>
      <c r="AF52" s="105" t="s">
        <v>9</v>
      </c>
      <c r="AG52" s="112"/>
      <c r="AH52" s="106"/>
      <c r="AI52" s="105" t="s">
        <v>10</v>
      </c>
      <c r="AJ52" s="112"/>
      <c r="AK52" s="106"/>
      <c r="AL52" s="113" t="s">
        <v>11</v>
      </c>
      <c r="AM52" s="117"/>
      <c r="AN52" s="113" t="str">
        <f>IF(ISBLANK($S$4),"",$S$4)</f>
        <v/>
      </c>
      <c r="AO52" s="117"/>
      <c r="AP52" s="251"/>
      <c r="AQ52" s="112" t="s">
        <v>7</v>
      </c>
      <c r="AR52" s="106"/>
      <c r="AS52" s="182" t="str">
        <f>IF(ISBLANK($C$4),"",$C$4)</f>
        <v/>
      </c>
      <c r="AT52" s="182"/>
      <c r="AU52" s="182"/>
      <c r="AV52" s="182"/>
      <c r="AW52" s="182"/>
      <c r="AX52" s="108" t="s">
        <v>8</v>
      </c>
      <c r="AY52" s="109"/>
      <c r="AZ52" s="110"/>
      <c r="BA52" s="108" t="s">
        <v>9</v>
      </c>
      <c r="BB52" s="109"/>
      <c r="BC52" s="110"/>
      <c r="BD52" s="108" t="s">
        <v>10</v>
      </c>
      <c r="BE52" s="109"/>
      <c r="BF52" s="110"/>
      <c r="BG52" s="113" t="s">
        <v>11</v>
      </c>
      <c r="BH52" s="114"/>
      <c r="BI52" s="113" t="str">
        <f>IF(ISBLANK($S$4),"",$S$4)</f>
        <v/>
      </c>
      <c r="BJ52" s="117"/>
      <c r="BK52" s="114"/>
      <c r="BL52" s="112" t="s">
        <v>7</v>
      </c>
      <c r="BM52" s="106"/>
      <c r="BN52" s="182" t="str">
        <f>IF(ISBLANK($C$4),"",$C$4)</f>
        <v/>
      </c>
      <c r="BO52" s="182"/>
      <c r="BP52" s="182"/>
      <c r="BQ52" s="182"/>
      <c r="BR52" s="182"/>
      <c r="BS52" s="108" t="s">
        <v>8</v>
      </c>
      <c r="BT52" s="109"/>
      <c r="BU52" s="110"/>
      <c r="BV52" s="108" t="s">
        <v>9</v>
      </c>
      <c r="BW52" s="109"/>
      <c r="BX52" s="110"/>
      <c r="BY52" s="108" t="s">
        <v>10</v>
      </c>
      <c r="BZ52" s="109"/>
      <c r="CA52" s="110"/>
      <c r="CB52" s="113" t="s">
        <v>11</v>
      </c>
      <c r="CC52" s="114"/>
      <c r="CD52" s="113" t="str">
        <f>IF(ISBLANK($S$4),"",$S$4)</f>
        <v/>
      </c>
      <c r="CE52" s="117"/>
      <c r="CF52" s="114"/>
      <c r="CG52" s="2">
        <f t="shared" si="63"/>
        <v>0</v>
      </c>
      <c r="CH52" s="2">
        <f t="shared" si="58"/>
        <v>0</v>
      </c>
      <c r="CI52" s="2">
        <f t="shared" si="59"/>
        <v>0</v>
      </c>
      <c r="CJ52" s="2">
        <f t="shared" si="59"/>
        <v>0</v>
      </c>
      <c r="CK52" s="2">
        <f t="shared" si="59"/>
        <v>0</v>
      </c>
      <c r="CL52" s="2" t="str">
        <f t="shared" si="59"/>
        <v/>
      </c>
      <c r="CM52" s="2" t="str">
        <f t="shared" si="59"/>
        <v/>
      </c>
      <c r="CN52" s="2">
        <f t="shared" si="59"/>
        <v>0</v>
      </c>
      <c r="CO52" s="2">
        <f t="shared" si="60"/>
        <v>0</v>
      </c>
      <c r="CP52" s="2">
        <f t="shared" si="60"/>
        <v>0</v>
      </c>
      <c r="CQ52" s="2">
        <f t="shared" si="60"/>
        <v>0</v>
      </c>
      <c r="CR52" s="2">
        <f t="shared" si="60"/>
        <v>0</v>
      </c>
      <c r="CS52" s="2">
        <f t="shared" si="60"/>
        <v>0</v>
      </c>
      <c r="CT52" s="2">
        <f t="shared" si="60"/>
        <v>0</v>
      </c>
      <c r="CU52" s="2">
        <f t="shared" si="60"/>
        <v>0</v>
      </c>
      <c r="CV52" s="2">
        <f t="shared" si="60"/>
        <v>0</v>
      </c>
      <c r="CW52" s="2">
        <f t="shared" si="60"/>
        <v>0</v>
      </c>
      <c r="CX52" s="2">
        <f t="shared" si="60"/>
        <v>0</v>
      </c>
      <c r="DF52" s="2">
        <f t="shared" si="64"/>
        <v>0</v>
      </c>
      <c r="DG52" s="2">
        <f t="shared" si="61"/>
        <v>0</v>
      </c>
      <c r="DH52" s="2">
        <f t="shared" si="61"/>
        <v>0</v>
      </c>
      <c r="DI52" s="2">
        <f t="shared" si="61"/>
        <v>0</v>
      </c>
      <c r="DJ52" s="2">
        <f t="shared" si="61"/>
        <v>0</v>
      </c>
      <c r="DK52" s="2">
        <f t="shared" si="61"/>
        <v>0</v>
      </c>
      <c r="DL52" s="2">
        <f t="shared" si="61"/>
        <v>0</v>
      </c>
      <c r="DM52" s="2">
        <f t="shared" si="61"/>
        <v>0</v>
      </c>
      <c r="DN52" s="2">
        <f t="shared" si="61"/>
        <v>0</v>
      </c>
      <c r="DO52" s="2">
        <f t="shared" si="61"/>
        <v>0</v>
      </c>
      <c r="DP52" s="2">
        <f t="shared" si="61"/>
        <v>0</v>
      </c>
      <c r="DQ52" s="2">
        <f t="shared" si="61"/>
        <v>0</v>
      </c>
      <c r="DR52" s="2">
        <f t="shared" si="65"/>
        <v>0</v>
      </c>
      <c r="DS52" s="2">
        <f t="shared" si="62"/>
        <v>0</v>
      </c>
      <c r="DT52" s="2">
        <f t="shared" si="62"/>
        <v>0</v>
      </c>
      <c r="DU52" s="2">
        <f t="shared" si="62"/>
        <v>0</v>
      </c>
      <c r="DV52" s="2">
        <f t="shared" si="62"/>
        <v>0</v>
      </c>
      <c r="DW52" s="2">
        <f t="shared" si="62"/>
        <v>0</v>
      </c>
      <c r="DX52" s="2">
        <f t="shared" si="62"/>
        <v>0</v>
      </c>
      <c r="DY52" s="2">
        <f t="shared" si="62"/>
        <v>0</v>
      </c>
      <c r="DZ52" s="2">
        <f t="shared" si="62"/>
        <v>0</v>
      </c>
      <c r="EA52" s="2">
        <f t="shared" si="62"/>
        <v>0</v>
      </c>
      <c r="EB52" s="2">
        <f t="shared" si="62"/>
        <v>0</v>
      </c>
      <c r="EC52" s="2">
        <f t="shared" si="62"/>
        <v>0</v>
      </c>
      <c r="ED52" s="2">
        <f t="shared" si="62"/>
        <v>0</v>
      </c>
      <c r="EE52" s="2">
        <f t="shared" si="62"/>
        <v>0</v>
      </c>
      <c r="EF52" s="2">
        <f t="shared" si="62"/>
        <v>0</v>
      </c>
      <c r="EG52" s="2">
        <f t="shared" si="62"/>
        <v>0</v>
      </c>
      <c r="EH52" s="2">
        <f t="shared" si="62"/>
        <v>0</v>
      </c>
      <c r="EI52" s="2">
        <f t="shared" si="62"/>
        <v>0</v>
      </c>
      <c r="EJ52" s="2">
        <f t="shared" si="62"/>
        <v>0</v>
      </c>
      <c r="EK52" s="2">
        <f t="shared" si="62"/>
        <v>0</v>
      </c>
      <c r="EL52" s="2">
        <f t="shared" si="62"/>
        <v>0</v>
      </c>
    </row>
    <row r="53" spans="3:142" ht="14.4" customHeight="1" x14ac:dyDescent="0.3">
      <c r="V53" s="107" t="s">
        <v>12</v>
      </c>
      <c r="W53" s="106"/>
      <c r="X53" s="182" t="str">
        <f>IF(ISBLANK($C$5),"",$C$5)</f>
        <v/>
      </c>
      <c r="Y53" s="182"/>
      <c r="Z53" s="182"/>
      <c r="AA53" s="182"/>
      <c r="AB53" s="182"/>
      <c r="AC53" s="105" t="s">
        <v>13</v>
      </c>
      <c r="AD53" s="112"/>
      <c r="AE53" s="106"/>
      <c r="AF53" s="105" t="s">
        <v>14</v>
      </c>
      <c r="AG53" s="112"/>
      <c r="AH53" s="106"/>
      <c r="AI53" s="105" t="s">
        <v>15</v>
      </c>
      <c r="AJ53" s="112"/>
      <c r="AK53" s="106"/>
      <c r="AL53" s="115"/>
      <c r="AM53" s="118"/>
      <c r="AN53" s="115" t="str">
        <f>IF(ISBLANK($S$5),"",$S$5)</f>
        <v/>
      </c>
      <c r="AO53" s="118"/>
      <c r="AP53" s="252"/>
      <c r="AQ53" s="112" t="s">
        <v>12</v>
      </c>
      <c r="AR53" s="106"/>
      <c r="AS53" s="182" t="str">
        <f>IF(ISBLANK($C$5),"",$C$5)</f>
        <v/>
      </c>
      <c r="AT53" s="182"/>
      <c r="AU53" s="182"/>
      <c r="AV53" s="182"/>
      <c r="AW53" s="182"/>
      <c r="AX53" s="108" t="s">
        <v>13</v>
      </c>
      <c r="AY53" s="109"/>
      <c r="AZ53" s="110"/>
      <c r="BA53" s="108" t="s">
        <v>14</v>
      </c>
      <c r="BB53" s="109"/>
      <c r="BC53" s="110"/>
      <c r="BD53" s="108" t="s">
        <v>15</v>
      </c>
      <c r="BE53" s="109"/>
      <c r="BF53" s="110"/>
      <c r="BG53" s="115"/>
      <c r="BH53" s="116"/>
      <c r="BI53" s="115" t="str">
        <f>IF(ISBLANK($S$5),"",$S$5)</f>
        <v/>
      </c>
      <c r="BJ53" s="118"/>
      <c r="BK53" s="116"/>
      <c r="BL53" s="112" t="s">
        <v>12</v>
      </c>
      <c r="BM53" s="106"/>
      <c r="BN53" s="182" t="str">
        <f>IF(ISBLANK($C$5),"",$C$5)</f>
        <v/>
      </c>
      <c r="BO53" s="182"/>
      <c r="BP53" s="182"/>
      <c r="BQ53" s="182"/>
      <c r="BR53" s="182"/>
      <c r="BS53" s="108" t="s">
        <v>143</v>
      </c>
      <c r="BT53" s="109"/>
      <c r="BU53" s="110"/>
      <c r="BV53" s="108" t="s">
        <v>144</v>
      </c>
      <c r="BW53" s="109"/>
      <c r="BX53" s="110"/>
      <c r="BY53" s="108" t="s">
        <v>15</v>
      </c>
      <c r="BZ53" s="109"/>
      <c r="CA53" s="110"/>
      <c r="CB53" s="115"/>
      <c r="CC53" s="116"/>
      <c r="CD53" s="115" t="str">
        <f>IF(ISBLANK($S$5),"",$S$5)</f>
        <v/>
      </c>
      <c r="CE53" s="118"/>
      <c r="CF53" s="116"/>
      <c r="CG53" s="2">
        <f t="shared" si="63"/>
        <v>0</v>
      </c>
      <c r="CH53" s="2">
        <f t="shared" si="58"/>
        <v>0</v>
      </c>
      <c r="CI53" s="2">
        <f t="shared" si="59"/>
        <v>0</v>
      </c>
      <c r="CJ53" s="2">
        <f t="shared" si="59"/>
        <v>0</v>
      </c>
      <c r="CK53" s="2">
        <f t="shared" si="59"/>
        <v>0</v>
      </c>
      <c r="CL53" s="2" t="str">
        <f t="shared" si="59"/>
        <v/>
      </c>
      <c r="CM53" s="2" t="str">
        <f t="shared" si="59"/>
        <v/>
      </c>
      <c r="CN53" s="2">
        <f t="shared" si="59"/>
        <v>0</v>
      </c>
      <c r="CO53" s="2">
        <f t="shared" si="60"/>
        <v>0</v>
      </c>
      <c r="CP53" s="2">
        <f t="shared" si="60"/>
        <v>0</v>
      </c>
      <c r="CQ53" s="2">
        <f t="shared" si="60"/>
        <v>0</v>
      </c>
      <c r="CR53" s="2">
        <f t="shared" si="60"/>
        <v>0</v>
      </c>
      <c r="CS53" s="2">
        <f t="shared" si="60"/>
        <v>0</v>
      </c>
      <c r="CT53" s="2">
        <f t="shared" si="60"/>
        <v>0</v>
      </c>
      <c r="CU53" s="2">
        <f t="shared" si="60"/>
        <v>0</v>
      </c>
      <c r="CV53" s="2">
        <f t="shared" si="60"/>
        <v>0</v>
      </c>
      <c r="CW53" s="2">
        <f t="shared" si="60"/>
        <v>0</v>
      </c>
      <c r="CX53" s="2">
        <f t="shared" si="60"/>
        <v>0</v>
      </c>
      <c r="DF53" s="2">
        <f t="shared" si="64"/>
        <v>0</v>
      </c>
      <c r="DG53" s="2">
        <f t="shared" si="61"/>
        <v>0</v>
      </c>
      <c r="DH53" s="2">
        <f t="shared" si="61"/>
        <v>0</v>
      </c>
      <c r="DI53" s="2">
        <f t="shared" si="61"/>
        <v>0</v>
      </c>
      <c r="DJ53" s="2">
        <f t="shared" si="61"/>
        <v>0</v>
      </c>
      <c r="DK53" s="2">
        <f t="shared" si="61"/>
        <v>0</v>
      </c>
      <c r="DL53" s="2">
        <f t="shared" si="61"/>
        <v>0</v>
      </c>
      <c r="DM53" s="2">
        <f t="shared" si="61"/>
        <v>0</v>
      </c>
      <c r="DN53" s="2">
        <f t="shared" si="61"/>
        <v>0</v>
      </c>
      <c r="DO53" s="2">
        <f t="shared" si="61"/>
        <v>0</v>
      </c>
      <c r="DP53" s="2">
        <f t="shared" si="61"/>
        <v>0</v>
      </c>
      <c r="DQ53" s="2">
        <f t="shared" si="61"/>
        <v>0</v>
      </c>
      <c r="DR53" s="2">
        <f t="shared" si="65"/>
        <v>0</v>
      </c>
      <c r="DS53" s="2">
        <f t="shared" si="62"/>
        <v>0</v>
      </c>
      <c r="DT53" s="2">
        <f t="shared" si="62"/>
        <v>0</v>
      </c>
      <c r="DU53" s="2">
        <f t="shared" si="62"/>
        <v>0</v>
      </c>
      <c r="DV53" s="2">
        <f t="shared" si="62"/>
        <v>0</v>
      </c>
      <c r="DW53" s="2">
        <f t="shared" si="62"/>
        <v>0</v>
      </c>
      <c r="DX53" s="2">
        <f t="shared" si="62"/>
        <v>0</v>
      </c>
      <c r="DY53" s="2">
        <f t="shared" si="62"/>
        <v>0</v>
      </c>
      <c r="DZ53" s="2">
        <f t="shared" si="62"/>
        <v>0</v>
      </c>
      <c r="EA53" s="2">
        <f t="shared" si="62"/>
        <v>0</v>
      </c>
      <c r="EB53" s="2">
        <f t="shared" si="62"/>
        <v>0</v>
      </c>
      <c r="EC53" s="2">
        <f t="shared" si="62"/>
        <v>0</v>
      </c>
      <c r="ED53" s="2">
        <f t="shared" si="62"/>
        <v>0</v>
      </c>
      <c r="EE53" s="2">
        <f t="shared" si="62"/>
        <v>0</v>
      </c>
      <c r="EF53" s="2">
        <f t="shared" si="62"/>
        <v>0</v>
      </c>
      <c r="EG53" s="2">
        <f t="shared" si="62"/>
        <v>0</v>
      </c>
      <c r="EH53" s="2">
        <f t="shared" si="62"/>
        <v>0</v>
      </c>
      <c r="EI53" s="2">
        <f t="shared" si="62"/>
        <v>0</v>
      </c>
      <c r="EJ53" s="2">
        <f t="shared" si="62"/>
        <v>0</v>
      </c>
      <c r="EK53" s="2">
        <f t="shared" si="62"/>
        <v>0</v>
      </c>
      <c r="EL53" s="2">
        <f t="shared" si="62"/>
        <v>0</v>
      </c>
    </row>
    <row r="54" spans="3:142" ht="14.4" customHeight="1" x14ac:dyDescent="0.3">
      <c r="V54" s="107" t="s">
        <v>42</v>
      </c>
      <c r="W54" s="106"/>
      <c r="X54" s="182" t="str">
        <f>IF(ISBLANK($C$6),"",$C$6)</f>
        <v/>
      </c>
      <c r="Y54" s="182"/>
      <c r="Z54" s="182"/>
      <c r="AA54" s="182"/>
      <c r="AB54" s="182"/>
      <c r="AC54" s="253"/>
      <c r="AD54" s="254"/>
      <c r="AE54" s="255"/>
      <c r="AF54" s="253"/>
      <c r="AG54" s="254"/>
      <c r="AH54" s="255"/>
      <c r="AI54" s="253"/>
      <c r="AJ54" s="254"/>
      <c r="AK54" s="255"/>
      <c r="AL54" s="105" t="s">
        <v>43</v>
      </c>
      <c r="AM54" s="106"/>
      <c r="AN54" s="115" t="str">
        <f>IF(ISBLANK($S$6),"",$S$6)</f>
        <v/>
      </c>
      <c r="AO54" s="118"/>
      <c r="AP54" s="252"/>
      <c r="AQ54" s="112" t="s">
        <v>42</v>
      </c>
      <c r="AR54" s="106"/>
      <c r="AS54" s="182" t="str">
        <f>IF(ISBLANK($C$6),"",$C$6)</f>
        <v/>
      </c>
      <c r="AT54" s="182"/>
      <c r="AU54" s="182"/>
      <c r="AV54" s="182"/>
      <c r="AW54" s="182"/>
      <c r="AX54" s="253"/>
      <c r="AY54" s="254"/>
      <c r="AZ54" s="255"/>
      <c r="BA54" s="253"/>
      <c r="BB54" s="254"/>
      <c r="BC54" s="255"/>
      <c r="BD54" s="253"/>
      <c r="BE54" s="254"/>
      <c r="BF54" s="255"/>
      <c r="BG54" s="105" t="s">
        <v>43</v>
      </c>
      <c r="BH54" s="106"/>
      <c r="BI54" s="115" t="str">
        <f>IF(ISBLANK($S$6),"",$S$6)</f>
        <v/>
      </c>
      <c r="BJ54" s="118"/>
      <c r="BK54" s="252"/>
      <c r="BL54" s="107" t="s">
        <v>42</v>
      </c>
      <c r="BM54" s="106"/>
      <c r="BN54" s="182" t="str">
        <f>IF(ISBLANK($C$6),"",$C$6)</f>
        <v/>
      </c>
      <c r="BO54" s="182"/>
      <c r="BP54" s="182"/>
      <c r="BQ54" s="182"/>
      <c r="BR54" s="182"/>
      <c r="BS54" s="141"/>
      <c r="BT54" s="142"/>
      <c r="BU54" s="143"/>
      <c r="BV54" s="141"/>
      <c r="BW54" s="142"/>
      <c r="BX54" s="143"/>
      <c r="BY54" s="141"/>
      <c r="BZ54" s="142"/>
      <c r="CA54" s="143"/>
      <c r="CB54" s="105" t="s">
        <v>43</v>
      </c>
      <c r="CC54" s="106"/>
      <c r="CD54" s="115" t="str">
        <f>IF(ISBLANK($S$6),"",$S$6)</f>
        <v/>
      </c>
      <c r="CE54" s="118"/>
      <c r="CF54" s="252"/>
      <c r="CG54" s="2">
        <f t="shared" si="63"/>
        <v>0</v>
      </c>
      <c r="CH54" s="2">
        <f t="shared" si="58"/>
        <v>0</v>
      </c>
      <c r="CI54" s="2">
        <f t="shared" si="59"/>
        <v>0</v>
      </c>
      <c r="CJ54" s="2">
        <f t="shared" si="59"/>
        <v>0</v>
      </c>
      <c r="CK54" s="2">
        <f t="shared" si="59"/>
        <v>0</v>
      </c>
      <c r="CL54" s="2" t="str">
        <f t="shared" si="59"/>
        <v/>
      </c>
      <c r="CM54" s="2" t="str">
        <f t="shared" si="59"/>
        <v/>
      </c>
      <c r="CN54" s="2">
        <f t="shared" si="59"/>
        <v>0</v>
      </c>
      <c r="CO54" s="2">
        <f t="shared" si="60"/>
        <v>0</v>
      </c>
      <c r="CP54" s="2">
        <f t="shared" si="60"/>
        <v>0</v>
      </c>
      <c r="CQ54" s="2">
        <f t="shared" si="60"/>
        <v>0</v>
      </c>
      <c r="CR54" s="2">
        <f t="shared" si="60"/>
        <v>0</v>
      </c>
      <c r="CS54" s="2">
        <f t="shared" si="60"/>
        <v>0</v>
      </c>
      <c r="CT54" s="2">
        <f t="shared" si="60"/>
        <v>0</v>
      </c>
      <c r="CU54" s="2">
        <f t="shared" si="60"/>
        <v>0</v>
      </c>
      <c r="CV54" s="2">
        <f t="shared" si="60"/>
        <v>0</v>
      </c>
      <c r="CW54" s="2">
        <f t="shared" si="60"/>
        <v>0</v>
      </c>
      <c r="CX54" s="2">
        <f t="shared" si="60"/>
        <v>0</v>
      </c>
      <c r="DF54" s="2">
        <f t="shared" si="64"/>
        <v>0</v>
      </c>
      <c r="DG54" s="2">
        <f t="shared" si="61"/>
        <v>0</v>
      </c>
      <c r="DH54" s="2">
        <f t="shared" si="61"/>
        <v>0</v>
      </c>
      <c r="DI54" s="2">
        <f t="shared" si="61"/>
        <v>0</v>
      </c>
      <c r="DJ54" s="2">
        <f t="shared" si="61"/>
        <v>0</v>
      </c>
      <c r="DK54" s="2">
        <f t="shared" si="61"/>
        <v>0</v>
      </c>
      <c r="DL54" s="2">
        <f t="shared" si="61"/>
        <v>0</v>
      </c>
      <c r="DM54" s="2">
        <f t="shared" si="61"/>
        <v>0</v>
      </c>
      <c r="DN54" s="2">
        <f t="shared" si="61"/>
        <v>0</v>
      </c>
      <c r="DO54" s="2">
        <f t="shared" si="61"/>
        <v>0</v>
      </c>
      <c r="DP54" s="2">
        <f t="shared" si="61"/>
        <v>0</v>
      </c>
      <c r="DQ54" s="2">
        <f t="shared" si="61"/>
        <v>0</v>
      </c>
      <c r="DR54" s="2">
        <f t="shared" si="65"/>
        <v>0</v>
      </c>
      <c r="DS54" s="2">
        <f t="shared" si="62"/>
        <v>0</v>
      </c>
      <c r="DT54" s="2">
        <f t="shared" si="62"/>
        <v>0</v>
      </c>
      <c r="DU54" s="2">
        <f t="shared" si="62"/>
        <v>0</v>
      </c>
      <c r="DV54" s="2">
        <f t="shared" si="62"/>
        <v>0</v>
      </c>
      <c r="DW54" s="2">
        <f t="shared" si="62"/>
        <v>0</v>
      </c>
      <c r="DX54" s="2">
        <f t="shared" si="62"/>
        <v>0</v>
      </c>
      <c r="DY54" s="2">
        <f t="shared" si="62"/>
        <v>0</v>
      </c>
      <c r="DZ54" s="2">
        <f t="shared" si="62"/>
        <v>0</v>
      </c>
      <c r="EA54" s="2">
        <f t="shared" si="62"/>
        <v>0</v>
      </c>
      <c r="EB54" s="2">
        <f t="shared" si="62"/>
        <v>0</v>
      </c>
      <c r="EC54" s="2">
        <f t="shared" si="62"/>
        <v>0</v>
      </c>
      <c r="ED54" s="2">
        <f t="shared" si="62"/>
        <v>0</v>
      </c>
      <c r="EE54" s="2">
        <f t="shared" si="62"/>
        <v>0</v>
      </c>
      <c r="EF54" s="2">
        <f t="shared" si="62"/>
        <v>0</v>
      </c>
      <c r="EG54" s="2">
        <f t="shared" si="62"/>
        <v>0</v>
      </c>
      <c r="EH54" s="2">
        <f t="shared" si="62"/>
        <v>0</v>
      </c>
      <c r="EI54" s="2">
        <f t="shared" si="62"/>
        <v>0</v>
      </c>
      <c r="EJ54" s="2">
        <f t="shared" si="62"/>
        <v>0</v>
      </c>
      <c r="EK54" s="2">
        <f t="shared" si="62"/>
        <v>0</v>
      </c>
      <c r="EL54" s="2">
        <f t="shared" si="62"/>
        <v>0</v>
      </c>
    </row>
    <row r="55" spans="3:142" ht="14.4" customHeight="1" x14ac:dyDescent="0.3">
      <c r="C55" s="20"/>
      <c r="D55" s="20"/>
      <c r="V55" s="107" t="s">
        <v>16</v>
      </c>
      <c r="W55" s="106"/>
      <c r="X55" s="182" t="str">
        <f>IF(ISBLANK($C$7),"",$C$7)</f>
        <v/>
      </c>
      <c r="Y55" s="182"/>
      <c r="Z55" s="182"/>
      <c r="AA55" s="182"/>
      <c r="AB55" s="182"/>
      <c r="AC55" s="256"/>
      <c r="AD55" s="257"/>
      <c r="AE55" s="258"/>
      <c r="AF55" s="256"/>
      <c r="AG55" s="257"/>
      <c r="AH55" s="258"/>
      <c r="AI55" s="256"/>
      <c r="AJ55" s="257"/>
      <c r="AK55" s="258"/>
      <c r="AL55" s="105" t="s">
        <v>44</v>
      </c>
      <c r="AM55" s="106"/>
      <c r="AN55" s="313" t="str">
        <f>IF(AJ57&lt;&gt;"", AJ57+7, "")</f>
        <v/>
      </c>
      <c r="AO55" s="314"/>
      <c r="AP55" s="315"/>
      <c r="AQ55" s="112" t="s">
        <v>16</v>
      </c>
      <c r="AR55" s="106"/>
      <c r="AS55" s="182" t="str">
        <f>IF(ISBLANK($C$7),"",$C$7)</f>
        <v/>
      </c>
      <c r="AT55" s="182"/>
      <c r="AU55" s="182"/>
      <c r="AV55" s="182"/>
      <c r="AW55" s="182"/>
      <c r="AX55" s="256"/>
      <c r="AY55" s="257"/>
      <c r="AZ55" s="258"/>
      <c r="BA55" s="256"/>
      <c r="BB55" s="257"/>
      <c r="BC55" s="258"/>
      <c r="BD55" s="256"/>
      <c r="BE55" s="257"/>
      <c r="BF55" s="258"/>
      <c r="BG55" s="105" t="s">
        <v>44</v>
      </c>
      <c r="BH55" s="106"/>
      <c r="BI55" s="313" t="str">
        <f>IF(BE57&lt;&gt;"", BE57+7, "")</f>
        <v/>
      </c>
      <c r="BJ55" s="314"/>
      <c r="BK55" s="315"/>
      <c r="BL55" s="107" t="s">
        <v>16</v>
      </c>
      <c r="BM55" s="106"/>
      <c r="BN55" s="182" t="str">
        <f>IF(ISBLANK($C$7),"",$C$7)</f>
        <v/>
      </c>
      <c r="BO55" s="182"/>
      <c r="BP55" s="182"/>
      <c r="BQ55" s="182"/>
      <c r="BR55" s="182"/>
      <c r="BS55" s="144"/>
      <c r="BT55" s="145"/>
      <c r="BU55" s="146"/>
      <c r="BV55" s="144"/>
      <c r="BW55" s="145"/>
      <c r="BX55" s="146"/>
      <c r="BY55" s="144"/>
      <c r="BZ55" s="145"/>
      <c r="CA55" s="146"/>
      <c r="CB55" s="105" t="s">
        <v>44</v>
      </c>
      <c r="CC55" s="106"/>
      <c r="CD55" s="105" t="str">
        <f>IF(ISBLANK($S$7),"",$S$7)</f>
        <v/>
      </c>
      <c r="CE55" s="112"/>
      <c r="CF55" s="311"/>
      <c r="CG55" s="2">
        <f t="shared" si="63"/>
        <v>0</v>
      </c>
      <c r="CH55" s="2">
        <f t="shared" si="58"/>
        <v>0</v>
      </c>
      <c r="CI55" s="2">
        <f t="shared" si="59"/>
        <v>0</v>
      </c>
      <c r="CJ55" s="2">
        <f t="shared" si="59"/>
        <v>0</v>
      </c>
      <c r="CK55" s="2">
        <f t="shared" si="59"/>
        <v>0</v>
      </c>
      <c r="CL55" s="2" t="str">
        <f t="shared" si="59"/>
        <v/>
      </c>
      <c r="CM55" s="2" t="str">
        <f t="shared" si="59"/>
        <v/>
      </c>
      <c r="CN55" s="2">
        <f t="shared" si="59"/>
        <v>0</v>
      </c>
      <c r="CO55" s="2">
        <f t="shared" si="60"/>
        <v>0</v>
      </c>
      <c r="CP55" s="2">
        <f t="shared" si="60"/>
        <v>0</v>
      </c>
      <c r="CQ55" s="2">
        <f t="shared" si="60"/>
        <v>0</v>
      </c>
      <c r="CR55" s="2">
        <f t="shared" si="60"/>
        <v>0</v>
      </c>
      <c r="CS55" s="2">
        <f t="shared" si="60"/>
        <v>0</v>
      </c>
      <c r="CT55" s="2">
        <f t="shared" si="60"/>
        <v>0</v>
      </c>
      <c r="CU55" s="2">
        <f t="shared" si="60"/>
        <v>0</v>
      </c>
      <c r="CV55" s="2">
        <f t="shared" si="60"/>
        <v>0</v>
      </c>
      <c r="CW55" s="2">
        <f t="shared" si="60"/>
        <v>0</v>
      </c>
      <c r="CX55" s="2">
        <f t="shared" si="60"/>
        <v>0</v>
      </c>
      <c r="DF55" s="2">
        <f t="shared" si="64"/>
        <v>0</v>
      </c>
      <c r="DG55" s="2">
        <f t="shared" si="61"/>
        <v>0</v>
      </c>
      <c r="DH55" s="2">
        <f t="shared" si="61"/>
        <v>0</v>
      </c>
      <c r="DI55" s="2">
        <f t="shared" si="61"/>
        <v>0</v>
      </c>
      <c r="DJ55" s="2">
        <f t="shared" si="61"/>
        <v>0</v>
      </c>
      <c r="DK55" s="2">
        <f t="shared" si="61"/>
        <v>0</v>
      </c>
      <c r="DL55" s="2">
        <f t="shared" si="61"/>
        <v>0</v>
      </c>
      <c r="DM55" s="2">
        <f t="shared" si="61"/>
        <v>0</v>
      </c>
      <c r="DN55" s="2">
        <f t="shared" si="61"/>
        <v>0</v>
      </c>
      <c r="DO55" s="2">
        <f t="shared" si="61"/>
        <v>0</v>
      </c>
      <c r="DP55" s="2">
        <f t="shared" si="61"/>
        <v>0</v>
      </c>
      <c r="DQ55" s="2">
        <f t="shared" si="61"/>
        <v>0</v>
      </c>
      <c r="DR55" s="2">
        <f t="shared" si="65"/>
        <v>0</v>
      </c>
      <c r="DS55" s="2">
        <f t="shared" si="62"/>
        <v>0</v>
      </c>
      <c r="DT55" s="2">
        <f t="shared" si="62"/>
        <v>0</v>
      </c>
      <c r="DU55" s="2">
        <f t="shared" si="62"/>
        <v>0</v>
      </c>
      <c r="DV55" s="2">
        <f t="shared" si="62"/>
        <v>0</v>
      </c>
      <c r="DW55" s="2">
        <f t="shared" si="62"/>
        <v>0</v>
      </c>
      <c r="DX55" s="2">
        <f t="shared" si="62"/>
        <v>0</v>
      </c>
      <c r="DY55" s="2">
        <f t="shared" si="62"/>
        <v>0</v>
      </c>
      <c r="DZ55" s="2">
        <f t="shared" si="62"/>
        <v>0</v>
      </c>
      <c r="EA55" s="2">
        <f t="shared" si="62"/>
        <v>0</v>
      </c>
      <c r="EB55" s="2">
        <f t="shared" si="62"/>
        <v>0</v>
      </c>
      <c r="EC55" s="2">
        <f t="shared" si="62"/>
        <v>0</v>
      </c>
      <c r="ED55" s="2">
        <f t="shared" si="62"/>
        <v>0</v>
      </c>
      <c r="EE55" s="2">
        <f t="shared" si="62"/>
        <v>0</v>
      </c>
      <c r="EF55" s="2">
        <f t="shared" si="62"/>
        <v>0</v>
      </c>
      <c r="EG55" s="2">
        <f t="shared" si="62"/>
        <v>0</v>
      </c>
      <c r="EH55" s="2">
        <f t="shared" si="62"/>
        <v>0</v>
      </c>
      <c r="EI55" s="2">
        <f t="shared" si="62"/>
        <v>0</v>
      </c>
      <c r="EJ55" s="2">
        <f t="shared" si="62"/>
        <v>0</v>
      </c>
      <c r="EK55" s="2">
        <f t="shared" si="62"/>
        <v>0</v>
      </c>
      <c r="EL55" s="2">
        <f t="shared" si="62"/>
        <v>0</v>
      </c>
    </row>
    <row r="56" spans="3:142" ht="14.4" customHeight="1" x14ac:dyDescent="0.3">
      <c r="C56" s="20"/>
      <c r="D56" s="20"/>
      <c r="V56" s="107" t="s">
        <v>17</v>
      </c>
      <c r="W56" s="106"/>
      <c r="X56" s="182" t="str">
        <f>IF(ISBLANK($C$8),"",$C$8)</f>
        <v/>
      </c>
      <c r="Y56" s="182"/>
      <c r="Z56" s="182"/>
      <c r="AA56" s="182"/>
      <c r="AB56" s="182"/>
      <c r="AC56" s="259"/>
      <c r="AD56" s="257"/>
      <c r="AE56" s="260"/>
      <c r="AF56" s="259"/>
      <c r="AG56" s="261"/>
      <c r="AH56" s="260"/>
      <c r="AI56" s="259"/>
      <c r="AJ56" s="261"/>
      <c r="AK56" s="260"/>
      <c r="AL56" s="105" t="s">
        <v>46</v>
      </c>
      <c r="AM56" s="106"/>
      <c r="AN56" s="14">
        <v>2</v>
      </c>
      <c r="AO56" s="14" t="s">
        <v>47</v>
      </c>
      <c r="AP56" s="82">
        <f>COUNTA(V15,V63,V111,V159,V207,V255,V303,V351,V399,V447)</f>
        <v>0</v>
      </c>
      <c r="AQ56" s="112" t="s">
        <v>17</v>
      </c>
      <c r="AR56" s="106"/>
      <c r="AS56" s="182" t="str">
        <f>IF(ISBLANK($C$8),"",$C$8)</f>
        <v/>
      </c>
      <c r="AT56" s="182"/>
      <c r="AU56" s="182"/>
      <c r="AV56" s="182"/>
      <c r="AW56" s="182"/>
      <c r="AX56" s="259"/>
      <c r="AY56" s="257"/>
      <c r="AZ56" s="260"/>
      <c r="BA56" s="259"/>
      <c r="BB56" s="261"/>
      <c r="BC56" s="260"/>
      <c r="BD56" s="259"/>
      <c r="BE56" s="261"/>
      <c r="BF56" s="260"/>
      <c r="BG56" s="105" t="s">
        <v>46</v>
      </c>
      <c r="BH56" s="106"/>
      <c r="BI56" s="78">
        <v>2</v>
      </c>
      <c r="BJ56" s="78" t="s">
        <v>47</v>
      </c>
      <c r="BK56" s="82">
        <f>IF(ISBLANK(AP8),"",AP8)</f>
        <v>0</v>
      </c>
      <c r="BL56" s="107" t="s">
        <v>17</v>
      </c>
      <c r="BM56" s="106"/>
      <c r="BN56" s="182" t="str">
        <f>IF(ISBLANK($C$8),"",$C$8)</f>
        <v/>
      </c>
      <c r="BO56" s="182"/>
      <c r="BP56" s="182"/>
      <c r="BQ56" s="182"/>
      <c r="BR56" s="182"/>
      <c r="BS56" s="147"/>
      <c r="BT56" s="148"/>
      <c r="BU56" s="149"/>
      <c r="BV56" s="147"/>
      <c r="BW56" s="148"/>
      <c r="BX56" s="149"/>
      <c r="BY56" s="147"/>
      <c r="BZ56" s="148"/>
      <c r="CA56" s="149"/>
      <c r="CB56" s="18" t="s">
        <v>46</v>
      </c>
      <c r="CC56" s="11"/>
      <c r="CD56" s="14">
        <v>2</v>
      </c>
      <c r="CE56" s="14" t="s">
        <v>47</v>
      </c>
      <c r="CF56" s="19">
        <f>COUNT(BN61,BN109,BN157,BN205,BN253,BN301,BN349,BN397,BN445,BN493)</f>
        <v>0</v>
      </c>
      <c r="CG56" s="2">
        <f t="shared" si="63"/>
        <v>0</v>
      </c>
      <c r="CH56" s="2">
        <f t="shared" si="58"/>
        <v>0</v>
      </c>
      <c r="CI56" s="2">
        <f t="shared" si="59"/>
        <v>0</v>
      </c>
      <c r="CJ56" s="2">
        <f t="shared" si="59"/>
        <v>0</v>
      </c>
      <c r="CK56" s="2">
        <f t="shared" si="59"/>
        <v>0</v>
      </c>
      <c r="CL56" s="2" t="str">
        <f t="shared" si="59"/>
        <v/>
      </c>
      <c r="CM56" s="2" t="str">
        <f t="shared" si="59"/>
        <v/>
      </c>
      <c r="CN56" s="2">
        <f t="shared" si="59"/>
        <v>0</v>
      </c>
      <c r="CO56" s="2">
        <f t="shared" si="60"/>
        <v>0</v>
      </c>
      <c r="CP56" s="2">
        <f t="shared" si="60"/>
        <v>0</v>
      </c>
      <c r="CQ56" s="2">
        <f t="shared" si="60"/>
        <v>0</v>
      </c>
      <c r="CR56" s="2">
        <f t="shared" si="60"/>
        <v>0</v>
      </c>
      <c r="CS56" s="2">
        <f t="shared" si="60"/>
        <v>0</v>
      </c>
      <c r="CT56" s="2">
        <f t="shared" si="60"/>
        <v>0</v>
      </c>
      <c r="CU56" s="2">
        <f t="shared" si="60"/>
        <v>0</v>
      </c>
      <c r="CV56" s="2">
        <f t="shared" si="60"/>
        <v>0</v>
      </c>
      <c r="CW56" s="2">
        <f t="shared" si="60"/>
        <v>0</v>
      </c>
      <c r="CX56" s="2">
        <f t="shared" si="60"/>
        <v>0</v>
      </c>
      <c r="DF56" s="2">
        <f t="shared" si="64"/>
        <v>0</v>
      </c>
      <c r="DG56" s="2">
        <f t="shared" si="61"/>
        <v>0</v>
      </c>
      <c r="DH56" s="2">
        <f t="shared" si="61"/>
        <v>0</v>
      </c>
      <c r="DI56" s="2">
        <f t="shared" si="61"/>
        <v>0</v>
      </c>
      <c r="DJ56" s="2">
        <f t="shared" si="61"/>
        <v>0</v>
      </c>
      <c r="DK56" s="2">
        <f t="shared" si="61"/>
        <v>0</v>
      </c>
      <c r="DL56" s="2">
        <f t="shared" si="61"/>
        <v>0</v>
      </c>
      <c r="DM56" s="2">
        <f t="shared" si="61"/>
        <v>0</v>
      </c>
      <c r="DN56" s="2">
        <f t="shared" si="61"/>
        <v>0</v>
      </c>
      <c r="DO56" s="2">
        <f t="shared" si="61"/>
        <v>0</v>
      </c>
      <c r="DP56" s="2">
        <f t="shared" si="61"/>
        <v>0</v>
      </c>
      <c r="DQ56" s="2">
        <f t="shared" si="61"/>
        <v>0</v>
      </c>
      <c r="DR56" s="2">
        <f t="shared" si="65"/>
        <v>0</v>
      </c>
      <c r="DS56" s="2">
        <f t="shared" si="62"/>
        <v>0</v>
      </c>
      <c r="DT56" s="2">
        <f t="shared" si="62"/>
        <v>0</v>
      </c>
      <c r="DU56" s="2">
        <f t="shared" si="62"/>
        <v>0</v>
      </c>
      <c r="DV56" s="2">
        <f t="shared" si="62"/>
        <v>0</v>
      </c>
      <c r="DW56" s="2">
        <f t="shared" si="62"/>
        <v>0</v>
      </c>
      <c r="DX56" s="2">
        <f t="shared" si="62"/>
        <v>0</v>
      </c>
      <c r="DY56" s="2">
        <f t="shared" si="62"/>
        <v>0</v>
      </c>
      <c r="DZ56" s="2">
        <f t="shared" si="62"/>
        <v>0</v>
      </c>
      <c r="EA56" s="2">
        <f t="shared" si="62"/>
        <v>0</v>
      </c>
      <c r="EB56" s="2">
        <f t="shared" si="62"/>
        <v>0</v>
      </c>
      <c r="EC56" s="2">
        <f t="shared" si="62"/>
        <v>0</v>
      </c>
      <c r="ED56" s="2">
        <f t="shared" si="62"/>
        <v>0</v>
      </c>
      <c r="EE56" s="2">
        <f t="shared" si="62"/>
        <v>0</v>
      </c>
      <c r="EF56" s="2">
        <f t="shared" si="62"/>
        <v>0</v>
      </c>
      <c r="EG56" s="2">
        <f t="shared" si="62"/>
        <v>0</v>
      </c>
      <c r="EH56" s="2">
        <f t="shared" si="62"/>
        <v>0</v>
      </c>
      <c r="EI56" s="2">
        <f t="shared" si="62"/>
        <v>0</v>
      </c>
      <c r="EJ56" s="2">
        <f t="shared" si="62"/>
        <v>0</v>
      </c>
      <c r="EK56" s="2">
        <f t="shared" si="62"/>
        <v>0</v>
      </c>
      <c r="EL56" s="2">
        <f t="shared" si="62"/>
        <v>0</v>
      </c>
    </row>
    <row r="57" spans="3:142" ht="14.4" customHeight="1" x14ac:dyDescent="0.3">
      <c r="C57" s="20"/>
      <c r="D57" s="20"/>
      <c r="V57" s="107" t="s">
        <v>18</v>
      </c>
      <c r="W57" s="106"/>
      <c r="X57" s="108" t="e">
        <f>IF(ISBLANK($S$10),"",$S$10)</f>
        <v>#N/A</v>
      </c>
      <c r="Y57" s="109"/>
      <c r="Z57" s="110"/>
      <c r="AA57" s="20"/>
      <c r="AB57" s="74"/>
      <c r="AC57" s="103" t="s">
        <v>48</v>
      </c>
      <c r="AD57" s="244"/>
      <c r="AE57" s="236"/>
      <c r="AF57" s="103" t="s">
        <v>48</v>
      </c>
      <c r="AG57" s="236"/>
      <c r="AH57" s="236"/>
      <c r="AI57" s="103" t="s">
        <v>48</v>
      </c>
      <c r="AJ57" s="237"/>
      <c r="AK57" s="238"/>
      <c r="AL57" s="85"/>
      <c r="AM57" s="85"/>
      <c r="AN57" s="85"/>
      <c r="AO57" s="85"/>
      <c r="AP57" s="22"/>
      <c r="AQ57" s="112" t="s">
        <v>18</v>
      </c>
      <c r="AR57" s="106"/>
      <c r="AS57" s="108" t="e">
        <f>IF(ISBLANK($S$10),"",$S$10)</f>
        <v>#N/A</v>
      </c>
      <c r="AT57" s="109"/>
      <c r="AU57" s="110"/>
      <c r="AV57" s="20"/>
      <c r="AW57" s="4"/>
      <c r="AX57" s="104" t="s">
        <v>48</v>
      </c>
      <c r="AY57" s="244"/>
      <c r="AZ57" s="236"/>
      <c r="BA57" s="104" t="s">
        <v>48</v>
      </c>
      <c r="BB57" s="236"/>
      <c r="BC57" s="236"/>
      <c r="BD57" s="104" t="s">
        <v>48</v>
      </c>
      <c r="BE57" s="237"/>
      <c r="BF57" s="238"/>
      <c r="BJ57" s="20"/>
      <c r="BK57" s="23"/>
      <c r="BL57" s="107" t="s">
        <v>18</v>
      </c>
      <c r="BM57" s="106"/>
      <c r="BN57" s="108" t="e">
        <f>IF(ISBLANK($S$10),"",$S$10)</f>
        <v>#N/A</v>
      </c>
      <c r="BO57" s="109"/>
      <c r="BP57" s="110"/>
      <c r="BQ57" s="20"/>
      <c r="BR57" s="4"/>
      <c r="BS57" s="78" t="s">
        <v>48</v>
      </c>
      <c r="BT57" s="197" t="str">
        <f>IF(ISBLANK($I$9),"",$I$9)</f>
        <v/>
      </c>
      <c r="BU57" s="198"/>
      <c r="BV57" s="78" t="s">
        <v>48</v>
      </c>
      <c r="BW57" s="197" t="str">
        <f>IF(ISBLANK($L$9),"",$L$9)</f>
        <v/>
      </c>
      <c r="BX57" s="198"/>
      <c r="BY57" s="78" t="s">
        <v>48</v>
      </c>
      <c r="BZ57" s="197" t="str">
        <f>IF(ISBLANK($O$9),"",$O$9)</f>
        <v/>
      </c>
      <c r="CA57" s="198"/>
      <c r="CB57" s="24"/>
      <c r="CC57" s="24"/>
      <c r="CD57" s="24"/>
      <c r="CE57" s="20"/>
      <c r="CF57" s="23"/>
      <c r="CG57" s="2">
        <f t="shared" si="63"/>
        <v>0</v>
      </c>
      <c r="CH57" s="2">
        <f t="shared" si="58"/>
        <v>0</v>
      </c>
      <c r="CI57" s="2">
        <f t="shared" si="59"/>
        <v>0</v>
      </c>
      <c r="CJ57" s="2">
        <f t="shared" si="59"/>
        <v>0</v>
      </c>
      <c r="CK57" s="2">
        <f t="shared" si="59"/>
        <v>0</v>
      </c>
      <c r="CL57" s="2" t="str">
        <f t="shared" si="59"/>
        <v/>
      </c>
      <c r="CM57" s="2" t="str">
        <f t="shared" si="59"/>
        <v/>
      </c>
      <c r="CN57" s="2">
        <f t="shared" si="59"/>
        <v>0</v>
      </c>
      <c r="CO57" s="2">
        <f t="shared" si="60"/>
        <v>0</v>
      </c>
      <c r="CP57" s="2">
        <f t="shared" si="60"/>
        <v>0</v>
      </c>
      <c r="CQ57" s="2">
        <f t="shared" si="60"/>
        <v>0</v>
      </c>
      <c r="CR57" s="2">
        <f t="shared" si="60"/>
        <v>0</v>
      </c>
      <c r="CS57" s="2">
        <f t="shared" si="60"/>
        <v>0</v>
      </c>
      <c r="CT57" s="2">
        <f t="shared" si="60"/>
        <v>0</v>
      </c>
      <c r="CU57" s="2">
        <f t="shared" si="60"/>
        <v>0</v>
      </c>
      <c r="CV57" s="2">
        <f t="shared" si="60"/>
        <v>0</v>
      </c>
      <c r="CW57" s="2">
        <f t="shared" si="60"/>
        <v>0</v>
      </c>
      <c r="CX57" s="2">
        <f t="shared" si="60"/>
        <v>0</v>
      </c>
      <c r="DF57" s="2">
        <f t="shared" si="64"/>
        <v>0</v>
      </c>
      <c r="DG57" s="2">
        <f t="shared" si="61"/>
        <v>0</v>
      </c>
      <c r="DH57" s="2">
        <f t="shared" si="61"/>
        <v>0</v>
      </c>
      <c r="DI57" s="2">
        <f t="shared" si="61"/>
        <v>0</v>
      </c>
      <c r="DJ57" s="2">
        <f t="shared" si="61"/>
        <v>0</v>
      </c>
      <c r="DK57" s="2">
        <f t="shared" si="61"/>
        <v>0</v>
      </c>
      <c r="DL57" s="2">
        <f t="shared" si="61"/>
        <v>0</v>
      </c>
      <c r="DM57" s="2">
        <f t="shared" si="61"/>
        <v>0</v>
      </c>
      <c r="DN57" s="2">
        <f t="shared" si="61"/>
        <v>0</v>
      </c>
      <c r="DO57" s="2">
        <f t="shared" si="61"/>
        <v>0</v>
      </c>
      <c r="DP57" s="2">
        <f t="shared" si="61"/>
        <v>0</v>
      </c>
      <c r="DQ57" s="2">
        <f t="shared" si="61"/>
        <v>0</v>
      </c>
      <c r="DR57" s="2">
        <f t="shared" si="65"/>
        <v>0</v>
      </c>
      <c r="DS57" s="2">
        <f t="shared" si="62"/>
        <v>0</v>
      </c>
      <c r="DT57" s="2">
        <f t="shared" si="62"/>
        <v>0</v>
      </c>
      <c r="DU57" s="2">
        <f t="shared" si="62"/>
        <v>0</v>
      </c>
      <c r="DV57" s="2">
        <f t="shared" si="62"/>
        <v>0</v>
      </c>
      <c r="DW57" s="2">
        <f t="shared" si="62"/>
        <v>0</v>
      </c>
      <c r="DX57" s="2">
        <f t="shared" si="62"/>
        <v>0</v>
      </c>
      <c r="DY57" s="2">
        <f t="shared" si="62"/>
        <v>0</v>
      </c>
      <c r="DZ57" s="2">
        <f t="shared" si="62"/>
        <v>0</v>
      </c>
      <c r="EA57" s="2">
        <f t="shared" si="62"/>
        <v>0</v>
      </c>
      <c r="EB57" s="2">
        <f t="shared" si="62"/>
        <v>0</v>
      </c>
      <c r="EC57" s="2">
        <f t="shared" si="62"/>
        <v>0</v>
      </c>
      <c r="ED57" s="2">
        <f t="shared" si="62"/>
        <v>0</v>
      </c>
      <c r="EE57" s="2">
        <f t="shared" si="62"/>
        <v>0</v>
      </c>
      <c r="EF57" s="2">
        <f t="shared" si="62"/>
        <v>0</v>
      </c>
      <c r="EG57" s="2">
        <f t="shared" si="62"/>
        <v>0</v>
      </c>
      <c r="EH57" s="2">
        <f t="shared" si="62"/>
        <v>0</v>
      </c>
      <c r="EI57" s="2">
        <f t="shared" si="62"/>
        <v>0</v>
      </c>
      <c r="EJ57" s="2">
        <f t="shared" si="62"/>
        <v>0</v>
      </c>
      <c r="EK57" s="2">
        <f t="shared" si="62"/>
        <v>0</v>
      </c>
      <c r="EL57" s="2">
        <f t="shared" si="62"/>
        <v>0</v>
      </c>
    </row>
    <row r="58" spans="3:142" ht="14.4" customHeight="1" x14ac:dyDescent="0.3">
      <c r="V58" s="107" t="s">
        <v>19</v>
      </c>
      <c r="W58" s="106"/>
      <c r="X58" s="14" t="str">
        <f>IF(ISBLANK($S$11),"",$S$11)</f>
        <v/>
      </c>
      <c r="Y58" s="14" t="s">
        <v>47</v>
      </c>
      <c r="Z58" s="14">
        <f>IF(ISBLANK($U$11),"",$U$11)</f>
        <v>0</v>
      </c>
      <c r="AB58" s="269" t="s">
        <v>58</v>
      </c>
      <c r="AC58" s="87" t="s">
        <v>59</v>
      </c>
      <c r="AD58" s="270"/>
      <c r="AE58" s="271"/>
      <c r="AF58" s="84" t="s">
        <v>60</v>
      </c>
      <c r="AG58" s="88"/>
      <c r="AH58" s="85"/>
      <c r="AI58" s="335" t="s">
        <v>61</v>
      </c>
      <c r="AJ58" s="78" t="s">
        <v>62</v>
      </c>
      <c r="AK58" s="81"/>
      <c r="AL58" s="85"/>
      <c r="AM58" s="85"/>
      <c r="AN58" s="85"/>
      <c r="AO58" s="85"/>
      <c r="AP58" s="22"/>
      <c r="AQ58" s="112" t="s">
        <v>19</v>
      </c>
      <c r="AR58" s="106"/>
      <c r="AS58" s="14" t="str">
        <f>IF(ISBLANK($S$11),"",$S$11)</f>
        <v/>
      </c>
      <c r="AT58" s="14" t="s">
        <v>47</v>
      </c>
      <c r="AU58" s="14">
        <f>IF(ISBLANK($U$11),"",$U$11)</f>
        <v>0</v>
      </c>
      <c r="AW58" s="20"/>
      <c r="AX58" s="30"/>
      <c r="AY58" s="30"/>
      <c r="BC58" s="30"/>
      <c r="BD58" s="335" t="s">
        <v>61</v>
      </c>
      <c r="BE58" s="29" t="s">
        <v>62</v>
      </c>
      <c r="BF58" s="29" t="str">
        <f>IF(ISBLANK($BF$10),"",$BF$10)</f>
        <v/>
      </c>
      <c r="BG58" s="266" t="s">
        <v>63</v>
      </c>
      <c r="BH58" s="266"/>
      <c r="BI58" s="14" t="str">
        <f>IF(ISBLANK($BI$10),"",BI10)</f>
        <v/>
      </c>
      <c r="BJ58" s="20"/>
      <c r="BK58" s="23"/>
      <c r="BL58" s="111" t="s">
        <v>19</v>
      </c>
      <c r="BM58" s="110"/>
      <c r="BN58" s="14" t="str">
        <f>IF(ISBLANK($S$11),"",$S$11)</f>
        <v/>
      </c>
      <c r="BO58" s="14" t="s">
        <v>47</v>
      </c>
      <c r="BP58" s="14">
        <f>IF(ISBLANK($U$11),"",$U$11)</f>
        <v>0</v>
      </c>
      <c r="BR58" s="20"/>
      <c r="BS58" s="30"/>
      <c r="BT58" s="30"/>
      <c r="BU58" s="30"/>
      <c r="BV58" s="30"/>
      <c r="BW58" s="30"/>
      <c r="BX58" s="30"/>
      <c r="BY58" s="30"/>
      <c r="BZ58" s="30"/>
      <c r="CA58" s="30"/>
      <c r="CB58" s="30"/>
      <c r="CC58" s="30"/>
      <c r="CD58" s="30"/>
      <c r="CE58" s="20"/>
      <c r="CF58" s="23"/>
      <c r="CG58" s="2">
        <f t="shared" si="63"/>
        <v>0</v>
      </c>
      <c r="CH58" s="2">
        <f t="shared" si="58"/>
        <v>0</v>
      </c>
      <c r="CI58" s="2">
        <f t="shared" si="59"/>
        <v>0</v>
      </c>
      <c r="CJ58" s="2">
        <f t="shared" si="59"/>
        <v>0</v>
      </c>
      <c r="CK58" s="2">
        <f t="shared" si="59"/>
        <v>0</v>
      </c>
      <c r="CL58" s="2" t="str">
        <f t="shared" si="59"/>
        <v/>
      </c>
      <c r="CM58" s="2" t="str">
        <f t="shared" si="59"/>
        <v/>
      </c>
      <c r="CN58" s="2">
        <f t="shared" si="59"/>
        <v>0</v>
      </c>
      <c r="CO58" s="2">
        <f t="shared" si="60"/>
        <v>0</v>
      </c>
      <c r="CP58" s="2">
        <f t="shared" si="60"/>
        <v>0</v>
      </c>
      <c r="CQ58" s="2">
        <f t="shared" si="60"/>
        <v>0</v>
      </c>
      <c r="CR58" s="2">
        <f t="shared" si="60"/>
        <v>0</v>
      </c>
      <c r="CS58" s="2">
        <f t="shared" si="60"/>
        <v>0</v>
      </c>
      <c r="CT58" s="2">
        <f t="shared" si="60"/>
        <v>0</v>
      </c>
      <c r="CU58" s="2">
        <f t="shared" si="60"/>
        <v>0</v>
      </c>
      <c r="CV58" s="2">
        <f t="shared" si="60"/>
        <v>0</v>
      </c>
      <c r="CW58" s="2">
        <f t="shared" si="60"/>
        <v>0</v>
      </c>
      <c r="CX58" s="2">
        <f t="shared" si="60"/>
        <v>0</v>
      </c>
      <c r="DF58" s="2">
        <f t="shared" si="64"/>
        <v>0</v>
      </c>
      <c r="DG58" s="2">
        <f t="shared" si="61"/>
        <v>0</v>
      </c>
      <c r="DH58" s="2">
        <f t="shared" si="61"/>
        <v>0</v>
      </c>
      <c r="DI58" s="2">
        <f t="shared" si="61"/>
        <v>0</v>
      </c>
      <c r="DJ58" s="2">
        <f t="shared" si="61"/>
        <v>0</v>
      </c>
      <c r="DK58" s="2">
        <f t="shared" si="61"/>
        <v>0</v>
      </c>
      <c r="DL58" s="2">
        <f t="shared" si="61"/>
        <v>0</v>
      </c>
      <c r="DM58" s="2">
        <f t="shared" si="61"/>
        <v>0</v>
      </c>
      <c r="DN58" s="2">
        <f t="shared" si="61"/>
        <v>0</v>
      </c>
      <c r="DO58" s="2">
        <f t="shared" si="61"/>
        <v>0</v>
      </c>
      <c r="DP58" s="2">
        <f t="shared" si="61"/>
        <v>0</v>
      </c>
      <c r="DQ58" s="2">
        <f t="shared" si="61"/>
        <v>0</v>
      </c>
      <c r="DR58" s="2">
        <f t="shared" si="65"/>
        <v>0</v>
      </c>
      <c r="DS58" s="2">
        <f t="shared" si="62"/>
        <v>0</v>
      </c>
      <c r="DT58" s="2">
        <f t="shared" si="62"/>
        <v>0</v>
      </c>
      <c r="DU58" s="2">
        <f t="shared" si="62"/>
        <v>0</v>
      </c>
      <c r="DV58" s="2">
        <f t="shared" si="62"/>
        <v>0</v>
      </c>
      <c r="DW58" s="2">
        <f t="shared" si="62"/>
        <v>0</v>
      </c>
      <c r="DX58" s="2">
        <f t="shared" si="62"/>
        <v>0</v>
      </c>
      <c r="DY58" s="2">
        <f t="shared" si="62"/>
        <v>0</v>
      </c>
      <c r="DZ58" s="2">
        <f t="shared" si="62"/>
        <v>0</v>
      </c>
      <c r="EA58" s="2">
        <f t="shared" si="62"/>
        <v>0</v>
      </c>
      <c r="EB58" s="2">
        <f t="shared" si="62"/>
        <v>0</v>
      </c>
      <c r="EC58" s="2">
        <f t="shared" si="62"/>
        <v>0</v>
      </c>
      <c r="ED58" s="2">
        <f t="shared" si="62"/>
        <v>0</v>
      </c>
      <c r="EE58" s="2">
        <f t="shared" si="62"/>
        <v>0</v>
      </c>
      <c r="EF58" s="2">
        <f t="shared" si="62"/>
        <v>0</v>
      </c>
      <c r="EG58" s="2">
        <f t="shared" si="62"/>
        <v>0</v>
      </c>
      <c r="EH58" s="2">
        <f t="shared" si="62"/>
        <v>0</v>
      </c>
      <c r="EI58" s="2">
        <f t="shared" si="62"/>
        <v>0</v>
      </c>
      <c r="EJ58" s="2">
        <f t="shared" si="62"/>
        <v>0</v>
      </c>
      <c r="EK58" s="2">
        <f t="shared" si="62"/>
        <v>0</v>
      </c>
      <c r="EL58" s="2">
        <f t="shared" si="62"/>
        <v>0</v>
      </c>
    </row>
    <row r="59" spans="3:142" ht="14.4" customHeight="1" x14ac:dyDescent="0.3">
      <c r="V59" s="33"/>
      <c r="AB59" s="269"/>
      <c r="AC59" s="87" t="s">
        <v>80</v>
      </c>
      <c r="AD59" s="245"/>
      <c r="AE59" s="246"/>
      <c r="AF59" s="90" t="s">
        <v>81</v>
      </c>
      <c r="AG59" s="88"/>
      <c r="AH59" s="85"/>
      <c r="AI59" s="335"/>
      <c r="AJ59" s="78" t="s">
        <v>82</v>
      </c>
      <c r="AK59" s="88"/>
      <c r="AL59" s="267" t="s">
        <v>83</v>
      </c>
      <c r="AM59" s="268"/>
      <c r="AN59" s="81"/>
      <c r="AO59" s="85"/>
      <c r="AP59" s="22"/>
      <c r="AQ59" s="20"/>
      <c r="AR59" s="20"/>
      <c r="AS59" s="20"/>
      <c r="AT59" s="20"/>
      <c r="AU59" s="20"/>
      <c r="AV59" s="20"/>
      <c r="AW59" s="20"/>
      <c r="AX59" s="20"/>
      <c r="AY59" s="20"/>
      <c r="BC59" s="20"/>
      <c r="BD59" s="335"/>
      <c r="BE59" s="29" t="s">
        <v>82</v>
      </c>
      <c r="BF59" s="29" t="str">
        <f>IF(ISBLANK($BF$11),"",$BF$11)</f>
        <v/>
      </c>
      <c r="BG59" s="20"/>
      <c r="BH59" s="20"/>
      <c r="BI59" s="20"/>
      <c r="BJ59" s="20"/>
      <c r="BK59" s="23"/>
      <c r="BL59" s="33"/>
      <c r="CF59" s="22"/>
      <c r="CG59" s="2">
        <f>V207</f>
        <v>0</v>
      </c>
      <c r="CH59" s="2">
        <f t="shared" ref="CH59:CH70" si="66">W207</f>
        <v>0</v>
      </c>
      <c r="CI59" s="2">
        <f t="shared" ref="CI59:CN70" si="67">Y207</f>
        <v>0</v>
      </c>
      <c r="CJ59" s="2">
        <f t="shared" si="67"/>
        <v>0</v>
      </c>
      <c r="CK59" s="2">
        <f t="shared" si="67"/>
        <v>0</v>
      </c>
      <c r="CL59" s="2" t="str">
        <f t="shared" si="67"/>
        <v/>
      </c>
      <c r="CM59" s="2" t="str">
        <f t="shared" si="67"/>
        <v/>
      </c>
      <c r="CN59" s="2">
        <f t="shared" si="67"/>
        <v>0</v>
      </c>
      <c r="CO59" s="2">
        <f t="shared" ref="CO59:CX70" si="68">AF207</f>
        <v>0</v>
      </c>
      <c r="CP59" s="2">
        <f t="shared" si="68"/>
        <v>0</v>
      </c>
      <c r="CQ59" s="2">
        <f t="shared" si="68"/>
        <v>0</v>
      </c>
      <c r="CR59" s="2">
        <f t="shared" si="68"/>
        <v>0</v>
      </c>
      <c r="CS59" s="2">
        <f t="shared" si="68"/>
        <v>0</v>
      </c>
      <c r="CT59" s="2">
        <f t="shared" si="68"/>
        <v>0</v>
      </c>
      <c r="CU59" s="2">
        <f t="shared" si="68"/>
        <v>0</v>
      </c>
      <c r="CV59" s="2">
        <f t="shared" si="68"/>
        <v>0</v>
      </c>
      <c r="CW59" s="2">
        <f t="shared" si="68"/>
        <v>0</v>
      </c>
      <c r="CX59" s="2">
        <f t="shared" si="68"/>
        <v>0</v>
      </c>
      <c r="DF59" s="2">
        <f>AZ206</f>
        <v>0</v>
      </c>
      <c r="DG59" s="2">
        <f t="shared" ref="DG59:DQ70" si="69">BA206</f>
        <v>0</v>
      </c>
      <c r="DH59" s="2">
        <f t="shared" si="69"/>
        <v>0</v>
      </c>
      <c r="DI59" s="2">
        <f t="shared" si="69"/>
        <v>0</v>
      </c>
      <c r="DJ59" s="2">
        <f t="shared" si="69"/>
        <v>0</v>
      </c>
      <c r="DK59" s="2">
        <f t="shared" si="69"/>
        <v>0</v>
      </c>
      <c r="DL59" s="2">
        <f t="shared" si="69"/>
        <v>0</v>
      </c>
      <c r="DM59" s="2">
        <f t="shared" si="69"/>
        <v>0</v>
      </c>
      <c r="DN59" s="2">
        <f t="shared" si="69"/>
        <v>0</v>
      </c>
      <c r="DO59" s="2">
        <f t="shared" si="69"/>
        <v>0</v>
      </c>
      <c r="DP59" s="2">
        <f t="shared" si="69"/>
        <v>0</v>
      </c>
      <c r="DQ59" s="2">
        <f t="shared" si="69"/>
        <v>0</v>
      </c>
      <c r="DR59" s="2">
        <f>AQ219</f>
        <v>0</v>
      </c>
      <c r="DS59" s="2">
        <f t="shared" ref="DS59:EL70" si="70">AR219</f>
        <v>0</v>
      </c>
      <c r="DT59" s="2">
        <f t="shared" si="70"/>
        <v>0</v>
      </c>
      <c r="DU59" s="2">
        <f t="shared" si="70"/>
        <v>0</v>
      </c>
      <c r="DV59" s="2">
        <f t="shared" si="70"/>
        <v>0</v>
      </c>
      <c r="DW59" s="2">
        <f t="shared" si="70"/>
        <v>0</v>
      </c>
      <c r="DX59" s="2">
        <f t="shared" si="70"/>
        <v>0</v>
      </c>
      <c r="DY59" s="2">
        <f t="shared" si="70"/>
        <v>0</v>
      </c>
      <c r="DZ59" s="2">
        <f t="shared" si="70"/>
        <v>0</v>
      </c>
      <c r="EA59" s="2">
        <f t="shared" si="70"/>
        <v>0</v>
      </c>
      <c r="EB59" s="2">
        <f t="shared" si="70"/>
        <v>0</v>
      </c>
      <c r="EC59" s="2">
        <f t="shared" si="70"/>
        <v>0</v>
      </c>
      <c r="ED59" s="2">
        <f t="shared" si="70"/>
        <v>0</v>
      </c>
      <c r="EE59" s="2">
        <f t="shared" si="70"/>
        <v>0</v>
      </c>
      <c r="EF59" s="2">
        <f t="shared" si="70"/>
        <v>0</v>
      </c>
      <c r="EG59" s="2">
        <f t="shared" si="70"/>
        <v>0</v>
      </c>
      <c r="EH59" s="2">
        <f t="shared" si="70"/>
        <v>0</v>
      </c>
      <c r="EI59" s="2">
        <f t="shared" si="70"/>
        <v>0</v>
      </c>
      <c r="EJ59" s="2">
        <f t="shared" si="70"/>
        <v>0</v>
      </c>
      <c r="EK59" s="2">
        <f t="shared" si="70"/>
        <v>0</v>
      </c>
      <c r="EL59" s="2">
        <f t="shared" si="70"/>
        <v>0</v>
      </c>
    </row>
    <row r="60" spans="3:142" ht="14.4" customHeight="1" x14ac:dyDescent="0.3">
      <c r="V60" s="33"/>
      <c r="AP60" s="22"/>
      <c r="AQ60" s="338" t="s">
        <v>49</v>
      </c>
      <c r="AR60" s="342" t="s">
        <v>85</v>
      </c>
      <c r="AS60" s="342"/>
      <c r="AT60" s="14" t="s">
        <v>51</v>
      </c>
      <c r="AU60" s="14" t="s">
        <v>86</v>
      </c>
      <c r="AV60" s="10"/>
      <c r="AW60" s="14" t="s">
        <v>87</v>
      </c>
      <c r="AX60" s="272" t="s">
        <v>54</v>
      </c>
      <c r="AY60" s="272"/>
      <c r="AZ60" s="20"/>
      <c r="BA60" s="20"/>
      <c r="BB60" s="20"/>
      <c r="BC60" s="20"/>
      <c r="BD60" s="20"/>
      <c r="BE60" s="20"/>
      <c r="BF60" s="20"/>
      <c r="BG60" s="20"/>
      <c r="BH60" s="20"/>
      <c r="BI60" s="20"/>
      <c r="BJ60" s="20"/>
      <c r="BK60" s="23"/>
      <c r="BL60" s="128" t="s">
        <v>88</v>
      </c>
      <c r="BM60" s="129"/>
      <c r="BN60" s="130"/>
      <c r="BO60" s="131" t="s">
        <v>89</v>
      </c>
      <c r="BP60" s="132"/>
      <c r="BQ60" s="133"/>
      <c r="BR60" s="131" t="s">
        <v>90</v>
      </c>
      <c r="BS60" s="132"/>
      <c r="BT60" s="132"/>
      <c r="BU60" s="132"/>
      <c r="BV60" s="132"/>
      <c r="BW60" s="132"/>
      <c r="BX60" s="133"/>
      <c r="BY60" s="131" t="s">
        <v>91</v>
      </c>
      <c r="BZ60" s="132"/>
      <c r="CA60" s="132"/>
      <c r="CB60" s="133"/>
      <c r="CC60" s="131" t="s">
        <v>92</v>
      </c>
      <c r="CD60" s="132"/>
      <c r="CE60" s="132"/>
      <c r="CF60" s="156"/>
      <c r="CG60" s="2">
        <f t="shared" ref="CG60:CG69" si="71">V208</f>
        <v>0</v>
      </c>
      <c r="CH60" s="2">
        <f t="shared" si="66"/>
        <v>0</v>
      </c>
      <c r="CI60" s="2">
        <f t="shared" si="67"/>
        <v>0</v>
      </c>
      <c r="CJ60" s="2">
        <f t="shared" si="67"/>
        <v>0</v>
      </c>
      <c r="CK60" s="2">
        <f t="shared" si="67"/>
        <v>0</v>
      </c>
      <c r="CL60" s="2" t="str">
        <f t="shared" si="67"/>
        <v/>
      </c>
      <c r="CM60" s="2" t="str">
        <f t="shared" si="67"/>
        <v/>
      </c>
      <c r="CN60" s="2">
        <f t="shared" si="67"/>
        <v>0</v>
      </c>
      <c r="CO60" s="2">
        <f t="shared" si="68"/>
        <v>0</v>
      </c>
      <c r="CP60" s="2">
        <f t="shared" si="68"/>
        <v>0</v>
      </c>
      <c r="CQ60" s="2">
        <f t="shared" si="68"/>
        <v>0</v>
      </c>
      <c r="CR60" s="2">
        <f t="shared" si="68"/>
        <v>0</v>
      </c>
      <c r="CS60" s="2">
        <f t="shared" si="68"/>
        <v>0</v>
      </c>
      <c r="CT60" s="2">
        <f t="shared" si="68"/>
        <v>0</v>
      </c>
      <c r="CU60" s="2">
        <f t="shared" si="68"/>
        <v>0</v>
      </c>
      <c r="CV60" s="2">
        <f t="shared" si="68"/>
        <v>0</v>
      </c>
      <c r="CW60" s="2">
        <f t="shared" si="68"/>
        <v>0</v>
      </c>
      <c r="CX60" s="2">
        <f t="shared" si="68"/>
        <v>0</v>
      </c>
      <c r="DF60" s="2">
        <f t="shared" ref="DF60:DF70" si="72">AZ207</f>
        <v>0</v>
      </c>
      <c r="DG60" s="2">
        <f t="shared" si="69"/>
        <v>0</v>
      </c>
      <c r="DH60" s="2">
        <f t="shared" si="69"/>
        <v>0</v>
      </c>
      <c r="DI60" s="2">
        <f t="shared" si="69"/>
        <v>0</v>
      </c>
      <c r="DJ60" s="2">
        <f t="shared" si="69"/>
        <v>0</v>
      </c>
      <c r="DK60" s="2">
        <f t="shared" si="69"/>
        <v>0</v>
      </c>
      <c r="DL60" s="2">
        <f t="shared" si="69"/>
        <v>0</v>
      </c>
      <c r="DM60" s="2">
        <f t="shared" si="69"/>
        <v>0</v>
      </c>
      <c r="DN60" s="2">
        <f t="shared" si="69"/>
        <v>0</v>
      </c>
      <c r="DO60" s="2">
        <f t="shared" si="69"/>
        <v>0</v>
      </c>
      <c r="DP60" s="2">
        <f t="shared" si="69"/>
        <v>0</v>
      </c>
      <c r="DQ60" s="2">
        <f t="shared" si="69"/>
        <v>0</v>
      </c>
      <c r="DR60" s="2">
        <f t="shared" ref="DR60:DR70" si="73">AQ220</f>
        <v>0</v>
      </c>
      <c r="DS60" s="2">
        <f t="shared" si="70"/>
        <v>0</v>
      </c>
      <c r="DT60" s="2">
        <f t="shared" si="70"/>
        <v>0</v>
      </c>
      <c r="DU60" s="2">
        <f t="shared" si="70"/>
        <v>0</v>
      </c>
      <c r="DV60" s="2">
        <f t="shared" si="70"/>
        <v>0</v>
      </c>
      <c r="DW60" s="2">
        <f t="shared" si="70"/>
        <v>0</v>
      </c>
      <c r="DX60" s="2">
        <f t="shared" si="70"/>
        <v>0</v>
      </c>
      <c r="DY60" s="2">
        <f t="shared" si="70"/>
        <v>0</v>
      </c>
      <c r="DZ60" s="2">
        <f t="shared" si="70"/>
        <v>0</v>
      </c>
      <c r="EA60" s="2">
        <f t="shared" si="70"/>
        <v>0</v>
      </c>
      <c r="EB60" s="2">
        <f t="shared" si="70"/>
        <v>0</v>
      </c>
      <c r="EC60" s="2">
        <f t="shared" si="70"/>
        <v>0</v>
      </c>
      <c r="ED60" s="2">
        <f t="shared" si="70"/>
        <v>0</v>
      </c>
      <c r="EE60" s="2">
        <f t="shared" si="70"/>
        <v>0</v>
      </c>
      <c r="EF60" s="2">
        <f t="shared" si="70"/>
        <v>0</v>
      </c>
      <c r="EG60" s="2">
        <f t="shared" si="70"/>
        <v>0</v>
      </c>
      <c r="EH60" s="2">
        <f t="shared" si="70"/>
        <v>0</v>
      </c>
      <c r="EI60" s="2">
        <f t="shared" si="70"/>
        <v>0</v>
      </c>
      <c r="EJ60" s="2">
        <f t="shared" si="70"/>
        <v>0</v>
      </c>
      <c r="EK60" s="2">
        <f t="shared" si="70"/>
        <v>0</v>
      </c>
      <c r="EL60" s="2">
        <f t="shared" si="70"/>
        <v>0</v>
      </c>
    </row>
    <row r="61" spans="3:142" ht="14.4" customHeight="1" x14ac:dyDescent="0.3">
      <c r="V61" s="262" t="s">
        <v>49</v>
      </c>
      <c r="W61" s="264" t="s">
        <v>94</v>
      </c>
      <c r="X61" s="264"/>
      <c r="Y61" s="31" t="s">
        <v>51</v>
      </c>
      <c r="Z61" s="14" t="s">
        <v>52</v>
      </c>
      <c r="AA61" s="14" t="s">
        <v>53</v>
      </c>
      <c r="AB61" s="108" t="s">
        <v>54</v>
      </c>
      <c r="AC61" s="110"/>
      <c r="AD61" s="363" t="s">
        <v>145</v>
      </c>
      <c r="AE61" s="364"/>
      <c r="AF61" s="108" t="s">
        <v>56</v>
      </c>
      <c r="AG61" s="109"/>
      <c r="AH61" s="109"/>
      <c r="AI61" s="109"/>
      <c r="AJ61" s="110"/>
      <c r="AK61" s="108" t="s">
        <v>57</v>
      </c>
      <c r="AL61" s="109"/>
      <c r="AM61" s="109"/>
      <c r="AN61" s="109"/>
      <c r="AO61" s="110"/>
      <c r="AP61" s="22"/>
      <c r="AQ61" s="339"/>
      <c r="AR61" s="342"/>
      <c r="AS61" s="342"/>
      <c r="AT61" s="14" t="s">
        <v>64</v>
      </c>
      <c r="AU61" s="14" t="s">
        <v>65</v>
      </c>
      <c r="AV61" s="14" t="s">
        <v>95</v>
      </c>
      <c r="AW61" s="14" t="s">
        <v>66</v>
      </c>
      <c r="AX61" s="14" t="s">
        <v>67</v>
      </c>
      <c r="AY61" s="14" t="s">
        <v>68</v>
      </c>
      <c r="AZ61" s="239" t="s">
        <v>69</v>
      </c>
      <c r="BA61" s="239"/>
      <c r="BB61" s="239"/>
      <c r="BC61" s="239" t="s">
        <v>70</v>
      </c>
      <c r="BD61" s="239"/>
      <c r="BE61" s="239"/>
      <c r="BF61" s="239" t="s">
        <v>71</v>
      </c>
      <c r="BG61" s="239"/>
      <c r="BH61" s="239"/>
      <c r="BI61" s="239" t="s">
        <v>72</v>
      </c>
      <c r="BJ61" s="239"/>
      <c r="BK61" s="240"/>
      <c r="BL61" s="158" t="s">
        <v>96</v>
      </c>
      <c r="BM61" s="159"/>
      <c r="BN61" s="35"/>
      <c r="BO61" s="134"/>
      <c r="BP61" s="135"/>
      <c r="BQ61" s="136"/>
      <c r="BR61" s="134"/>
      <c r="BS61" s="135"/>
      <c r="BT61" s="135"/>
      <c r="BU61" s="135"/>
      <c r="BV61" s="135"/>
      <c r="BW61" s="135"/>
      <c r="BX61" s="136"/>
      <c r="BY61" s="134"/>
      <c r="BZ61" s="135"/>
      <c r="CA61" s="135"/>
      <c r="CB61" s="136"/>
      <c r="CC61" s="134"/>
      <c r="CD61" s="135"/>
      <c r="CE61" s="135"/>
      <c r="CF61" s="157"/>
      <c r="CG61" s="2">
        <f t="shared" si="71"/>
        <v>0</v>
      </c>
      <c r="CH61" s="2">
        <f t="shared" si="66"/>
        <v>0</v>
      </c>
      <c r="CI61" s="2">
        <f t="shared" si="67"/>
        <v>0</v>
      </c>
      <c r="CJ61" s="2">
        <f t="shared" si="67"/>
        <v>0</v>
      </c>
      <c r="CK61" s="2">
        <f t="shared" si="67"/>
        <v>0</v>
      </c>
      <c r="CL61" s="2" t="str">
        <f t="shared" si="67"/>
        <v/>
      </c>
      <c r="CM61" s="2" t="str">
        <f t="shared" si="67"/>
        <v/>
      </c>
      <c r="CN61" s="2">
        <f t="shared" si="67"/>
        <v>0</v>
      </c>
      <c r="CO61" s="2">
        <f t="shared" si="68"/>
        <v>0</v>
      </c>
      <c r="CP61" s="2">
        <f t="shared" si="68"/>
        <v>0</v>
      </c>
      <c r="CQ61" s="2">
        <f t="shared" si="68"/>
        <v>0</v>
      </c>
      <c r="CR61" s="2">
        <f t="shared" si="68"/>
        <v>0</v>
      </c>
      <c r="CS61" s="2">
        <f t="shared" si="68"/>
        <v>0</v>
      </c>
      <c r="CT61" s="2">
        <f t="shared" si="68"/>
        <v>0</v>
      </c>
      <c r="CU61" s="2">
        <f t="shared" si="68"/>
        <v>0</v>
      </c>
      <c r="CV61" s="2">
        <f t="shared" si="68"/>
        <v>0</v>
      </c>
      <c r="CW61" s="2">
        <f t="shared" si="68"/>
        <v>0</v>
      </c>
      <c r="CX61" s="2">
        <f t="shared" si="68"/>
        <v>0</v>
      </c>
      <c r="DF61" s="2">
        <f t="shared" si="72"/>
        <v>0</v>
      </c>
      <c r="DG61" s="2">
        <f t="shared" si="69"/>
        <v>0</v>
      </c>
      <c r="DH61" s="2">
        <f t="shared" si="69"/>
        <v>0</v>
      </c>
      <c r="DI61" s="2">
        <f t="shared" si="69"/>
        <v>0</v>
      </c>
      <c r="DJ61" s="2">
        <f t="shared" si="69"/>
        <v>0</v>
      </c>
      <c r="DK61" s="2">
        <f t="shared" si="69"/>
        <v>0</v>
      </c>
      <c r="DL61" s="2">
        <f t="shared" si="69"/>
        <v>0</v>
      </c>
      <c r="DM61" s="2">
        <f t="shared" si="69"/>
        <v>0</v>
      </c>
      <c r="DN61" s="2">
        <f t="shared" si="69"/>
        <v>0</v>
      </c>
      <c r="DO61" s="2">
        <f t="shared" si="69"/>
        <v>0</v>
      </c>
      <c r="DP61" s="2">
        <f t="shared" si="69"/>
        <v>0</v>
      </c>
      <c r="DQ61" s="2">
        <f t="shared" si="69"/>
        <v>0</v>
      </c>
      <c r="DR61" s="2">
        <f t="shared" si="73"/>
        <v>0</v>
      </c>
      <c r="DS61" s="2">
        <f t="shared" si="70"/>
        <v>0</v>
      </c>
      <c r="DT61" s="2">
        <f t="shared" si="70"/>
        <v>0</v>
      </c>
      <c r="DU61" s="2">
        <f t="shared" si="70"/>
        <v>0</v>
      </c>
      <c r="DV61" s="2">
        <f t="shared" si="70"/>
        <v>0</v>
      </c>
      <c r="DW61" s="2">
        <f t="shared" si="70"/>
        <v>0</v>
      </c>
      <c r="DX61" s="2">
        <f t="shared" si="70"/>
        <v>0</v>
      </c>
      <c r="DY61" s="2">
        <f t="shared" si="70"/>
        <v>0</v>
      </c>
      <c r="DZ61" s="2">
        <f t="shared" si="70"/>
        <v>0</v>
      </c>
      <c r="EA61" s="2">
        <f t="shared" si="70"/>
        <v>0</v>
      </c>
      <c r="EB61" s="2">
        <f t="shared" si="70"/>
        <v>0</v>
      </c>
      <c r="EC61" s="2">
        <f t="shared" si="70"/>
        <v>0</v>
      </c>
      <c r="ED61" s="2">
        <f t="shared" si="70"/>
        <v>0</v>
      </c>
      <c r="EE61" s="2">
        <f t="shared" si="70"/>
        <v>0</v>
      </c>
      <c r="EF61" s="2">
        <f t="shared" si="70"/>
        <v>0</v>
      </c>
      <c r="EG61" s="2">
        <f t="shared" si="70"/>
        <v>0</v>
      </c>
      <c r="EH61" s="2">
        <f t="shared" si="70"/>
        <v>0</v>
      </c>
      <c r="EI61" s="2">
        <f t="shared" si="70"/>
        <v>0</v>
      </c>
      <c r="EJ61" s="2">
        <f t="shared" si="70"/>
        <v>0</v>
      </c>
      <c r="EK61" s="2">
        <f t="shared" si="70"/>
        <v>0</v>
      </c>
      <c r="EL61" s="2">
        <f t="shared" si="70"/>
        <v>0</v>
      </c>
    </row>
    <row r="62" spans="3:142" ht="14.4" customHeight="1" x14ac:dyDescent="0.3">
      <c r="V62" s="263"/>
      <c r="W62" s="264"/>
      <c r="X62" s="264"/>
      <c r="Y62" s="31" t="s">
        <v>64</v>
      </c>
      <c r="Z62" s="14" t="s">
        <v>65</v>
      </c>
      <c r="AA62" s="14" t="s">
        <v>66</v>
      </c>
      <c r="AB62" s="14" t="s">
        <v>67</v>
      </c>
      <c r="AC62" s="14" t="s">
        <v>68</v>
      </c>
      <c r="AD62" s="365"/>
      <c r="AE62" s="366"/>
      <c r="AF62" s="14">
        <v>1</v>
      </c>
      <c r="AG62" s="14">
        <v>2</v>
      </c>
      <c r="AH62" s="14">
        <v>3</v>
      </c>
      <c r="AI62" s="14">
        <v>4</v>
      </c>
      <c r="AJ62" s="14">
        <v>5</v>
      </c>
      <c r="AK62" s="14">
        <v>1</v>
      </c>
      <c r="AL62" s="14">
        <v>2</v>
      </c>
      <c r="AM62" s="14">
        <v>3</v>
      </c>
      <c r="AN62" s="14">
        <v>4</v>
      </c>
      <c r="AO62" s="14">
        <v>5</v>
      </c>
      <c r="AP62" s="22"/>
      <c r="AQ62" s="100" t="str">
        <f>IF(ISBLANK(V63),"",V63)</f>
        <v/>
      </c>
      <c r="AR62" s="287" t="str">
        <f>IF(OR(AW62="QC",ISTEXT(Y63)), W63, "")</f>
        <v/>
      </c>
      <c r="AS62" s="288"/>
      <c r="AT62" s="37" t="str">
        <f>IF(OR(AW62="QC",ISTEXT(Y63)), Y63, "")</f>
        <v/>
      </c>
      <c r="AU62" s="37" t="str">
        <f>IF(OR(AW62="QC",ISTEXT(Y63)), Z63, "")</f>
        <v/>
      </c>
      <c r="AV62" s="37" t="str">
        <f>IF(ISBLANK(Z77),"",Z77)</f>
        <v/>
      </c>
      <c r="AW62" s="38" t="str">
        <f>IF(ISBLANK(AA63),"",AA63)</f>
        <v/>
      </c>
      <c r="AX62" s="38" t="str">
        <f>IF(OR(AW62="QC",ISTEXT(Y63)), AB63, "")</f>
        <v/>
      </c>
      <c r="AY62" s="38" t="str">
        <f>IF(OR(AW62="QC",ISTEXT(Y63)), AC63, "")</f>
        <v/>
      </c>
      <c r="AZ62" s="39"/>
      <c r="BA62" s="39"/>
      <c r="BB62" s="39"/>
      <c r="BC62" s="39"/>
      <c r="BD62" s="39"/>
      <c r="BE62" s="39"/>
      <c r="BF62" s="39"/>
      <c r="BG62" s="39"/>
      <c r="BH62" s="39"/>
      <c r="BI62" s="39"/>
      <c r="BJ62" s="39"/>
      <c r="BK62" s="40"/>
      <c r="BL62" s="158" t="s">
        <v>97</v>
      </c>
      <c r="BM62" s="159"/>
      <c r="BN62" s="41" t="s">
        <v>98</v>
      </c>
      <c r="BO62" s="204" t="s">
        <v>99</v>
      </c>
      <c r="BP62" s="205"/>
      <c r="BQ62" s="206"/>
      <c r="BR62" s="207" t="s">
        <v>100</v>
      </c>
      <c r="BS62" s="208"/>
      <c r="BT62" s="208"/>
      <c r="BU62" s="209"/>
      <c r="BV62" s="217"/>
      <c r="BW62" s="218"/>
      <c r="BX62" s="219"/>
      <c r="BY62" s="119"/>
      <c r="BZ62" s="120"/>
      <c r="CA62" s="120"/>
      <c r="CB62" s="121"/>
      <c r="CC62" s="119"/>
      <c r="CD62" s="120"/>
      <c r="CE62" s="120"/>
      <c r="CF62" s="214"/>
      <c r="CG62" s="2">
        <f t="shared" si="71"/>
        <v>0</v>
      </c>
      <c r="CH62" s="2">
        <f t="shared" si="66"/>
        <v>0</v>
      </c>
      <c r="CI62" s="2">
        <f t="shared" si="67"/>
        <v>0</v>
      </c>
      <c r="CJ62" s="2">
        <f t="shared" si="67"/>
        <v>0</v>
      </c>
      <c r="CK62" s="2">
        <f t="shared" si="67"/>
        <v>0</v>
      </c>
      <c r="CL62" s="2" t="str">
        <f t="shared" si="67"/>
        <v/>
      </c>
      <c r="CM62" s="2" t="str">
        <f t="shared" si="67"/>
        <v/>
      </c>
      <c r="CN62" s="2">
        <f t="shared" si="67"/>
        <v>0</v>
      </c>
      <c r="CO62" s="2">
        <f t="shared" si="68"/>
        <v>0</v>
      </c>
      <c r="CP62" s="2">
        <f t="shared" si="68"/>
        <v>0</v>
      </c>
      <c r="CQ62" s="2">
        <f t="shared" si="68"/>
        <v>0</v>
      </c>
      <c r="CR62" s="2">
        <f t="shared" si="68"/>
        <v>0</v>
      </c>
      <c r="CS62" s="2">
        <f t="shared" si="68"/>
        <v>0</v>
      </c>
      <c r="CT62" s="2">
        <f t="shared" si="68"/>
        <v>0</v>
      </c>
      <c r="CU62" s="2">
        <f t="shared" si="68"/>
        <v>0</v>
      </c>
      <c r="CV62" s="2">
        <f t="shared" si="68"/>
        <v>0</v>
      </c>
      <c r="CW62" s="2">
        <f t="shared" si="68"/>
        <v>0</v>
      </c>
      <c r="CX62" s="2">
        <f t="shared" si="68"/>
        <v>0</v>
      </c>
      <c r="DF62" s="2">
        <f t="shared" si="72"/>
        <v>0</v>
      </c>
      <c r="DG62" s="2">
        <f t="shared" si="69"/>
        <v>0</v>
      </c>
      <c r="DH62" s="2">
        <f t="shared" si="69"/>
        <v>0</v>
      </c>
      <c r="DI62" s="2">
        <f t="shared" si="69"/>
        <v>0</v>
      </c>
      <c r="DJ62" s="2">
        <f t="shared" si="69"/>
        <v>0</v>
      </c>
      <c r="DK62" s="2">
        <f t="shared" si="69"/>
        <v>0</v>
      </c>
      <c r="DL62" s="2">
        <f t="shared" si="69"/>
        <v>0</v>
      </c>
      <c r="DM62" s="2">
        <f t="shared" si="69"/>
        <v>0</v>
      </c>
      <c r="DN62" s="2">
        <f t="shared" si="69"/>
        <v>0</v>
      </c>
      <c r="DO62" s="2">
        <f t="shared" si="69"/>
        <v>0</v>
      </c>
      <c r="DP62" s="2">
        <f t="shared" si="69"/>
        <v>0</v>
      </c>
      <c r="DQ62" s="2">
        <f t="shared" si="69"/>
        <v>0</v>
      </c>
      <c r="DR62" s="2">
        <f t="shared" si="73"/>
        <v>0</v>
      </c>
      <c r="DS62" s="2">
        <f t="shared" si="70"/>
        <v>0</v>
      </c>
      <c r="DT62" s="2">
        <f t="shared" si="70"/>
        <v>0</v>
      </c>
      <c r="DU62" s="2">
        <f t="shared" si="70"/>
        <v>0</v>
      </c>
      <c r="DV62" s="2">
        <f t="shared" si="70"/>
        <v>0</v>
      </c>
      <c r="DW62" s="2">
        <f t="shared" si="70"/>
        <v>0</v>
      </c>
      <c r="DX62" s="2">
        <f t="shared" si="70"/>
        <v>0</v>
      </c>
      <c r="DY62" s="2">
        <f t="shared" si="70"/>
        <v>0</v>
      </c>
      <c r="DZ62" s="2">
        <f t="shared" si="70"/>
        <v>0</v>
      </c>
      <c r="EA62" s="2">
        <f t="shared" si="70"/>
        <v>0</v>
      </c>
      <c r="EB62" s="2">
        <f t="shared" si="70"/>
        <v>0</v>
      </c>
      <c r="EC62" s="2">
        <f t="shared" si="70"/>
        <v>0</v>
      </c>
      <c r="ED62" s="2">
        <f t="shared" si="70"/>
        <v>0</v>
      </c>
      <c r="EE62" s="2">
        <f t="shared" si="70"/>
        <v>0</v>
      </c>
      <c r="EF62" s="2">
        <f t="shared" si="70"/>
        <v>0</v>
      </c>
      <c r="EG62" s="2">
        <f t="shared" si="70"/>
        <v>0</v>
      </c>
      <c r="EH62" s="2">
        <f t="shared" si="70"/>
        <v>0</v>
      </c>
      <c r="EI62" s="2">
        <f t="shared" si="70"/>
        <v>0</v>
      </c>
      <c r="EJ62" s="2">
        <f t="shared" si="70"/>
        <v>0</v>
      </c>
      <c r="EK62" s="2">
        <f t="shared" si="70"/>
        <v>0</v>
      </c>
      <c r="EL62" s="2">
        <f t="shared" si="70"/>
        <v>0</v>
      </c>
    </row>
    <row r="63" spans="3:142" ht="14.4" customHeight="1" x14ac:dyDescent="0.3">
      <c r="V63" s="36"/>
      <c r="W63" s="249"/>
      <c r="X63" s="250"/>
      <c r="Y63" s="37"/>
      <c r="Z63" s="38"/>
      <c r="AA63" s="38"/>
      <c r="AB63" s="38" t="str">
        <f t="shared" ref="AB63:AB74" si="74">IF(ISNUMBER(Y63),(Y63+Z63)/2-3*(Z63 - (Y63+Z63)/2) / (3 * AA77),"")</f>
        <v/>
      </c>
      <c r="AC63" s="38" t="str">
        <f t="shared" ref="AC63:AC74" si="75">IF(ISNUMBER(Z63),(Y63+Z63)/2+3*(Z63 - (Y63+Z63)/2) / (3 * AA77),"")</f>
        <v/>
      </c>
      <c r="AD63" s="247"/>
      <c r="AE63" s="248"/>
      <c r="AF63" s="39"/>
      <c r="AG63" s="39"/>
      <c r="AH63" s="39"/>
      <c r="AI63" s="39"/>
      <c r="AJ63" s="39"/>
      <c r="AK63" s="39"/>
      <c r="AL63" s="39"/>
      <c r="AM63" s="39"/>
      <c r="AN63" s="39"/>
      <c r="AO63" s="39"/>
      <c r="AP63" s="22"/>
      <c r="AQ63" s="100" t="str">
        <f t="shared" ref="AQ63:AQ73" si="76">IF(ISBLANK(V64),"",V64)</f>
        <v/>
      </c>
      <c r="AR63" s="287" t="str">
        <f t="shared" ref="AR63:AR73" si="77">IF(OR(AW63="QC",ISTEXT(Y64)), W64, "")</f>
        <v/>
      </c>
      <c r="AS63" s="288"/>
      <c r="AT63" s="37" t="str">
        <f t="shared" ref="AT63:AT73" si="78">IF(OR(AW63="QC",ISTEXT(Y64)), Y64, "")</f>
        <v/>
      </c>
      <c r="AU63" s="37" t="str">
        <f t="shared" ref="AU63:AU73" si="79">IF(OR(AW63="QC",ISTEXT(Y64)), Z64, "")</f>
        <v/>
      </c>
      <c r="AV63" s="37" t="str">
        <f t="shared" ref="AV63:AV73" si="80">IF(ISBLANK(Z78),"",Z78)</f>
        <v/>
      </c>
      <c r="AW63" s="38" t="str">
        <f t="shared" ref="AW63:AW73" si="81">IF(ISBLANK(AA64),"",AA64)</f>
        <v/>
      </c>
      <c r="AX63" s="38" t="str">
        <f t="shared" ref="AX63:AX73" si="82">IF(OR(AW63="QC",ISTEXT(Y64)), AB64, "")</f>
        <v/>
      </c>
      <c r="AY63" s="38" t="str">
        <f t="shared" ref="AY63:AY73" si="83">IF(OR(AW63="QC",ISTEXT(Y64)), AC64, "")</f>
        <v/>
      </c>
      <c r="AZ63" s="39"/>
      <c r="BA63" s="39"/>
      <c r="BB63" s="39"/>
      <c r="BC63" s="39"/>
      <c r="BD63" s="39"/>
      <c r="BE63" s="39"/>
      <c r="BF63" s="39"/>
      <c r="BG63" s="39"/>
      <c r="BH63" s="39"/>
      <c r="BI63" s="39"/>
      <c r="BJ63" s="39"/>
      <c r="BK63" s="40"/>
      <c r="BL63" s="158" t="s">
        <v>102</v>
      </c>
      <c r="BM63" s="159"/>
      <c r="BN63" s="42" t="s">
        <v>103</v>
      </c>
      <c r="BO63" s="119"/>
      <c r="BP63" s="120"/>
      <c r="BQ63" s="121"/>
      <c r="BR63" s="137" t="s">
        <v>104</v>
      </c>
      <c r="BS63" s="138"/>
      <c r="BT63" s="164"/>
      <c r="BU63" s="165"/>
      <c r="BV63" s="165"/>
      <c r="BW63" s="165"/>
      <c r="BX63" s="166"/>
      <c r="BY63" s="122"/>
      <c r="BZ63" s="123"/>
      <c r="CA63" s="123"/>
      <c r="CB63" s="124"/>
      <c r="CC63" s="122"/>
      <c r="CD63" s="123"/>
      <c r="CE63" s="123"/>
      <c r="CF63" s="215"/>
      <c r="CG63" s="2">
        <f t="shared" si="71"/>
        <v>0</v>
      </c>
      <c r="CH63" s="2">
        <f t="shared" si="66"/>
        <v>0</v>
      </c>
      <c r="CI63" s="2">
        <f t="shared" si="67"/>
        <v>0</v>
      </c>
      <c r="CJ63" s="2">
        <f t="shared" si="67"/>
        <v>0</v>
      </c>
      <c r="CK63" s="2">
        <f t="shared" si="67"/>
        <v>0</v>
      </c>
      <c r="CL63" s="2" t="str">
        <f t="shared" si="67"/>
        <v/>
      </c>
      <c r="CM63" s="2" t="str">
        <f t="shared" si="67"/>
        <v/>
      </c>
      <c r="CN63" s="2">
        <f t="shared" si="67"/>
        <v>0</v>
      </c>
      <c r="CO63" s="2">
        <f t="shared" si="68"/>
        <v>0</v>
      </c>
      <c r="CP63" s="2">
        <f t="shared" si="68"/>
        <v>0</v>
      </c>
      <c r="CQ63" s="2">
        <f t="shared" si="68"/>
        <v>0</v>
      </c>
      <c r="CR63" s="2">
        <f t="shared" si="68"/>
        <v>0</v>
      </c>
      <c r="CS63" s="2">
        <f t="shared" si="68"/>
        <v>0</v>
      </c>
      <c r="CT63" s="2">
        <f t="shared" si="68"/>
        <v>0</v>
      </c>
      <c r="CU63" s="2">
        <f t="shared" si="68"/>
        <v>0</v>
      </c>
      <c r="CV63" s="2">
        <f t="shared" si="68"/>
        <v>0</v>
      </c>
      <c r="CW63" s="2">
        <f t="shared" si="68"/>
        <v>0</v>
      </c>
      <c r="CX63" s="2">
        <f t="shared" si="68"/>
        <v>0</v>
      </c>
      <c r="DF63" s="2">
        <f t="shared" si="72"/>
        <v>0</v>
      </c>
      <c r="DG63" s="2">
        <f t="shared" si="69"/>
        <v>0</v>
      </c>
      <c r="DH63" s="2">
        <f t="shared" si="69"/>
        <v>0</v>
      </c>
      <c r="DI63" s="2">
        <f t="shared" si="69"/>
        <v>0</v>
      </c>
      <c r="DJ63" s="2">
        <f t="shared" si="69"/>
        <v>0</v>
      </c>
      <c r="DK63" s="2">
        <f t="shared" si="69"/>
        <v>0</v>
      </c>
      <c r="DL63" s="2">
        <f t="shared" si="69"/>
        <v>0</v>
      </c>
      <c r="DM63" s="2">
        <f t="shared" si="69"/>
        <v>0</v>
      </c>
      <c r="DN63" s="2">
        <f t="shared" si="69"/>
        <v>0</v>
      </c>
      <c r="DO63" s="2">
        <f t="shared" si="69"/>
        <v>0</v>
      </c>
      <c r="DP63" s="2">
        <f t="shared" si="69"/>
        <v>0</v>
      </c>
      <c r="DQ63" s="2">
        <f t="shared" si="69"/>
        <v>0</v>
      </c>
      <c r="DR63" s="2">
        <f t="shared" si="73"/>
        <v>0</v>
      </c>
      <c r="DS63" s="2">
        <f t="shared" si="70"/>
        <v>0</v>
      </c>
      <c r="DT63" s="2">
        <f t="shared" si="70"/>
        <v>0</v>
      </c>
      <c r="DU63" s="2">
        <f t="shared" si="70"/>
        <v>0</v>
      </c>
      <c r="DV63" s="2">
        <f t="shared" si="70"/>
        <v>0</v>
      </c>
      <c r="DW63" s="2">
        <f t="shared" si="70"/>
        <v>0</v>
      </c>
      <c r="DX63" s="2">
        <f t="shared" si="70"/>
        <v>0</v>
      </c>
      <c r="DY63" s="2">
        <f t="shared" si="70"/>
        <v>0</v>
      </c>
      <c r="DZ63" s="2">
        <f t="shared" si="70"/>
        <v>0</v>
      </c>
      <c r="EA63" s="2">
        <f t="shared" si="70"/>
        <v>0</v>
      </c>
      <c r="EB63" s="2">
        <f t="shared" si="70"/>
        <v>0</v>
      </c>
      <c r="EC63" s="2">
        <f t="shared" si="70"/>
        <v>0</v>
      </c>
      <c r="ED63" s="2">
        <f t="shared" si="70"/>
        <v>0</v>
      </c>
      <c r="EE63" s="2">
        <f t="shared" si="70"/>
        <v>0</v>
      </c>
      <c r="EF63" s="2">
        <f t="shared" si="70"/>
        <v>0</v>
      </c>
      <c r="EG63" s="2">
        <f t="shared" si="70"/>
        <v>0</v>
      </c>
      <c r="EH63" s="2">
        <f t="shared" si="70"/>
        <v>0</v>
      </c>
      <c r="EI63" s="2">
        <f t="shared" si="70"/>
        <v>0</v>
      </c>
      <c r="EJ63" s="2">
        <f t="shared" si="70"/>
        <v>0</v>
      </c>
      <c r="EK63" s="2">
        <f t="shared" si="70"/>
        <v>0</v>
      </c>
      <c r="EL63" s="2">
        <f t="shared" si="70"/>
        <v>0</v>
      </c>
    </row>
    <row r="64" spans="3:142" ht="14.4" customHeight="1" x14ac:dyDescent="0.3">
      <c r="V64" s="36"/>
      <c r="W64" s="249"/>
      <c r="X64" s="250"/>
      <c r="Y64" s="37"/>
      <c r="Z64" s="38"/>
      <c r="AA64" s="38"/>
      <c r="AB64" s="38" t="str">
        <f t="shared" si="74"/>
        <v/>
      </c>
      <c r="AC64" s="38" t="str">
        <f t="shared" si="75"/>
        <v/>
      </c>
      <c r="AD64" s="247"/>
      <c r="AE64" s="248"/>
      <c r="AF64" s="39"/>
      <c r="AG64" s="39"/>
      <c r="AH64" s="39"/>
      <c r="AI64" s="39"/>
      <c r="AJ64" s="39"/>
      <c r="AK64" s="39"/>
      <c r="AL64" s="39"/>
      <c r="AM64" s="39"/>
      <c r="AN64" s="39"/>
      <c r="AO64" s="39"/>
      <c r="AP64" s="22"/>
      <c r="AQ64" s="100" t="str">
        <f t="shared" si="76"/>
        <v/>
      </c>
      <c r="AR64" s="287" t="str">
        <f t="shared" si="77"/>
        <v/>
      </c>
      <c r="AS64" s="288"/>
      <c r="AT64" s="37" t="str">
        <f t="shared" si="78"/>
        <v/>
      </c>
      <c r="AU64" s="37" t="str">
        <f t="shared" si="79"/>
        <v/>
      </c>
      <c r="AV64" s="37" t="str">
        <f t="shared" si="80"/>
        <v/>
      </c>
      <c r="AW64" s="38" t="str">
        <f t="shared" si="81"/>
        <v/>
      </c>
      <c r="AX64" s="38" t="str">
        <f t="shared" si="82"/>
        <v/>
      </c>
      <c r="AY64" s="38" t="str">
        <f t="shared" si="83"/>
        <v/>
      </c>
      <c r="AZ64" s="39"/>
      <c r="BA64" s="39"/>
      <c r="BB64" s="39"/>
      <c r="BC64" s="39"/>
      <c r="BD64" s="39"/>
      <c r="BE64" s="39"/>
      <c r="BF64" s="39"/>
      <c r="BG64" s="39"/>
      <c r="BH64" s="39"/>
      <c r="BI64" s="39"/>
      <c r="BJ64" s="39"/>
      <c r="BK64" s="40"/>
      <c r="BL64" s="210" t="s">
        <v>105</v>
      </c>
      <c r="BM64" s="211"/>
      <c r="BN64" s="28" t="s">
        <v>101</v>
      </c>
      <c r="BO64" s="125"/>
      <c r="BP64" s="126"/>
      <c r="BQ64" s="127"/>
      <c r="BR64" s="139"/>
      <c r="BS64" s="140"/>
      <c r="BT64" s="167"/>
      <c r="BU64" s="168"/>
      <c r="BV64" s="168"/>
      <c r="BW64" s="168"/>
      <c r="BX64" s="169"/>
      <c r="BY64" s="122"/>
      <c r="BZ64" s="123"/>
      <c r="CA64" s="123"/>
      <c r="CB64" s="124"/>
      <c r="CC64" s="122"/>
      <c r="CD64" s="123"/>
      <c r="CE64" s="123"/>
      <c r="CF64" s="215"/>
      <c r="CG64" s="2">
        <f t="shared" si="71"/>
        <v>0</v>
      </c>
      <c r="CH64" s="2">
        <f t="shared" si="66"/>
        <v>0</v>
      </c>
      <c r="CI64" s="2">
        <f t="shared" si="67"/>
        <v>0</v>
      </c>
      <c r="CJ64" s="2">
        <f t="shared" si="67"/>
        <v>0</v>
      </c>
      <c r="CK64" s="2">
        <f t="shared" si="67"/>
        <v>0</v>
      </c>
      <c r="CL64" s="2" t="str">
        <f t="shared" si="67"/>
        <v/>
      </c>
      <c r="CM64" s="2" t="str">
        <f t="shared" si="67"/>
        <v/>
      </c>
      <c r="CN64" s="2">
        <f t="shared" si="67"/>
        <v>0</v>
      </c>
      <c r="CO64" s="2">
        <f t="shared" si="68"/>
        <v>0</v>
      </c>
      <c r="CP64" s="2">
        <f t="shared" si="68"/>
        <v>0</v>
      </c>
      <c r="CQ64" s="2">
        <f t="shared" si="68"/>
        <v>0</v>
      </c>
      <c r="CR64" s="2">
        <f t="shared" si="68"/>
        <v>0</v>
      </c>
      <c r="CS64" s="2">
        <f t="shared" si="68"/>
        <v>0</v>
      </c>
      <c r="CT64" s="2">
        <f t="shared" si="68"/>
        <v>0</v>
      </c>
      <c r="CU64" s="2">
        <f t="shared" si="68"/>
        <v>0</v>
      </c>
      <c r="CV64" s="2">
        <f t="shared" si="68"/>
        <v>0</v>
      </c>
      <c r="CW64" s="2">
        <f t="shared" si="68"/>
        <v>0</v>
      </c>
      <c r="CX64" s="2">
        <f t="shared" si="68"/>
        <v>0</v>
      </c>
      <c r="DF64" s="2">
        <f t="shared" si="72"/>
        <v>0</v>
      </c>
      <c r="DG64" s="2">
        <f t="shared" si="69"/>
        <v>0</v>
      </c>
      <c r="DH64" s="2">
        <f t="shared" si="69"/>
        <v>0</v>
      </c>
      <c r="DI64" s="2">
        <f t="shared" si="69"/>
        <v>0</v>
      </c>
      <c r="DJ64" s="2">
        <f t="shared" si="69"/>
        <v>0</v>
      </c>
      <c r="DK64" s="2">
        <f t="shared" si="69"/>
        <v>0</v>
      </c>
      <c r="DL64" s="2">
        <f t="shared" si="69"/>
        <v>0</v>
      </c>
      <c r="DM64" s="2">
        <f t="shared" si="69"/>
        <v>0</v>
      </c>
      <c r="DN64" s="2">
        <f t="shared" si="69"/>
        <v>0</v>
      </c>
      <c r="DO64" s="2">
        <f t="shared" si="69"/>
        <v>0</v>
      </c>
      <c r="DP64" s="2">
        <f t="shared" si="69"/>
        <v>0</v>
      </c>
      <c r="DQ64" s="2">
        <f t="shared" si="69"/>
        <v>0</v>
      </c>
      <c r="DR64" s="2">
        <f t="shared" si="73"/>
        <v>0</v>
      </c>
      <c r="DS64" s="2">
        <f t="shared" si="70"/>
        <v>0</v>
      </c>
      <c r="DT64" s="2">
        <f t="shared" si="70"/>
        <v>0</v>
      </c>
      <c r="DU64" s="2">
        <f t="shared" si="70"/>
        <v>0</v>
      </c>
      <c r="DV64" s="2">
        <f t="shared" si="70"/>
        <v>0</v>
      </c>
      <c r="DW64" s="2">
        <f t="shared" si="70"/>
        <v>0</v>
      </c>
      <c r="DX64" s="2">
        <f t="shared" si="70"/>
        <v>0</v>
      </c>
      <c r="DY64" s="2">
        <f t="shared" si="70"/>
        <v>0</v>
      </c>
      <c r="DZ64" s="2">
        <f t="shared" si="70"/>
        <v>0</v>
      </c>
      <c r="EA64" s="2">
        <f t="shared" si="70"/>
        <v>0</v>
      </c>
      <c r="EB64" s="2">
        <f t="shared" si="70"/>
        <v>0</v>
      </c>
      <c r="EC64" s="2">
        <f t="shared" si="70"/>
        <v>0</v>
      </c>
      <c r="ED64" s="2">
        <f t="shared" si="70"/>
        <v>0</v>
      </c>
      <c r="EE64" s="2">
        <f t="shared" si="70"/>
        <v>0</v>
      </c>
      <c r="EF64" s="2">
        <f t="shared" si="70"/>
        <v>0</v>
      </c>
      <c r="EG64" s="2">
        <f t="shared" si="70"/>
        <v>0</v>
      </c>
      <c r="EH64" s="2">
        <f t="shared" si="70"/>
        <v>0</v>
      </c>
      <c r="EI64" s="2">
        <f t="shared" si="70"/>
        <v>0</v>
      </c>
      <c r="EJ64" s="2">
        <f t="shared" si="70"/>
        <v>0</v>
      </c>
      <c r="EK64" s="2">
        <f t="shared" si="70"/>
        <v>0</v>
      </c>
      <c r="EL64" s="2">
        <f t="shared" si="70"/>
        <v>0</v>
      </c>
    </row>
    <row r="65" spans="22:142" ht="14.4" customHeight="1" x14ac:dyDescent="0.3">
      <c r="V65" s="36"/>
      <c r="W65" s="249"/>
      <c r="X65" s="250"/>
      <c r="Y65" s="37"/>
      <c r="Z65" s="38"/>
      <c r="AA65" s="38"/>
      <c r="AB65" s="38" t="str">
        <f t="shared" si="74"/>
        <v/>
      </c>
      <c r="AC65" s="38" t="str">
        <f t="shared" si="75"/>
        <v/>
      </c>
      <c r="AD65" s="247"/>
      <c r="AE65" s="248"/>
      <c r="AF65" s="39"/>
      <c r="AG65" s="39"/>
      <c r="AH65" s="39"/>
      <c r="AI65" s="39"/>
      <c r="AJ65" s="39"/>
      <c r="AK65" s="39"/>
      <c r="AL65" s="39"/>
      <c r="AM65" s="39"/>
      <c r="AN65" s="39"/>
      <c r="AO65" s="39"/>
      <c r="AP65" s="22"/>
      <c r="AQ65" s="100" t="str">
        <f t="shared" si="76"/>
        <v/>
      </c>
      <c r="AR65" s="287" t="str">
        <f t="shared" si="77"/>
        <v/>
      </c>
      <c r="AS65" s="288"/>
      <c r="AT65" s="37" t="str">
        <f t="shared" si="78"/>
        <v/>
      </c>
      <c r="AU65" s="37" t="str">
        <f t="shared" si="79"/>
        <v/>
      </c>
      <c r="AV65" s="37" t="str">
        <f t="shared" si="80"/>
        <v/>
      </c>
      <c r="AW65" s="38" t="str">
        <f t="shared" si="81"/>
        <v/>
      </c>
      <c r="AX65" s="38" t="str">
        <f t="shared" si="82"/>
        <v/>
      </c>
      <c r="AY65" s="38" t="str">
        <f t="shared" si="83"/>
        <v/>
      </c>
      <c r="AZ65" s="39"/>
      <c r="BA65" s="39"/>
      <c r="BB65" s="39"/>
      <c r="BC65" s="39"/>
      <c r="BD65" s="39"/>
      <c r="BE65" s="39"/>
      <c r="BF65" s="39"/>
      <c r="BG65" s="39"/>
      <c r="BH65" s="39"/>
      <c r="BI65" s="39"/>
      <c r="BJ65" s="39"/>
      <c r="BK65" s="40"/>
      <c r="BL65" s="212" t="s">
        <v>106</v>
      </c>
      <c r="BM65" s="205"/>
      <c r="BN65" s="206"/>
      <c r="BO65" s="213" t="s">
        <v>107</v>
      </c>
      <c r="BP65" s="159"/>
      <c r="BQ65" s="43"/>
      <c r="BR65" s="220" t="s">
        <v>108</v>
      </c>
      <c r="BS65" s="44" t="s">
        <v>109</v>
      </c>
      <c r="BT65" s="45"/>
      <c r="BU65" s="220" t="s">
        <v>110</v>
      </c>
      <c r="BV65" s="119"/>
      <c r="BW65" s="120"/>
      <c r="BX65" s="121"/>
      <c r="BY65" s="122"/>
      <c r="BZ65" s="123"/>
      <c r="CA65" s="123"/>
      <c r="CB65" s="124"/>
      <c r="CC65" s="122"/>
      <c r="CD65" s="123"/>
      <c r="CE65" s="123"/>
      <c r="CF65" s="215"/>
      <c r="CG65" s="2">
        <f t="shared" si="71"/>
        <v>0</v>
      </c>
      <c r="CH65" s="2">
        <f t="shared" si="66"/>
        <v>0</v>
      </c>
      <c r="CI65" s="2">
        <f t="shared" si="67"/>
        <v>0</v>
      </c>
      <c r="CJ65" s="2">
        <f t="shared" si="67"/>
        <v>0</v>
      </c>
      <c r="CK65" s="2">
        <f t="shared" si="67"/>
        <v>0</v>
      </c>
      <c r="CL65" s="2" t="str">
        <f t="shared" si="67"/>
        <v/>
      </c>
      <c r="CM65" s="2" t="str">
        <f t="shared" si="67"/>
        <v/>
      </c>
      <c r="CN65" s="2">
        <f t="shared" si="67"/>
        <v>0</v>
      </c>
      <c r="CO65" s="2">
        <f t="shared" si="68"/>
        <v>0</v>
      </c>
      <c r="CP65" s="2">
        <f t="shared" si="68"/>
        <v>0</v>
      </c>
      <c r="CQ65" s="2">
        <f t="shared" si="68"/>
        <v>0</v>
      </c>
      <c r="CR65" s="2">
        <f t="shared" si="68"/>
        <v>0</v>
      </c>
      <c r="CS65" s="2">
        <f t="shared" si="68"/>
        <v>0</v>
      </c>
      <c r="CT65" s="2">
        <f t="shared" si="68"/>
        <v>0</v>
      </c>
      <c r="CU65" s="2">
        <f t="shared" si="68"/>
        <v>0</v>
      </c>
      <c r="CV65" s="2">
        <f t="shared" si="68"/>
        <v>0</v>
      </c>
      <c r="CW65" s="2">
        <f t="shared" si="68"/>
        <v>0</v>
      </c>
      <c r="CX65" s="2">
        <f t="shared" si="68"/>
        <v>0</v>
      </c>
      <c r="DF65" s="2">
        <f t="shared" si="72"/>
        <v>0</v>
      </c>
      <c r="DG65" s="2">
        <f t="shared" si="69"/>
        <v>0</v>
      </c>
      <c r="DH65" s="2">
        <f t="shared" si="69"/>
        <v>0</v>
      </c>
      <c r="DI65" s="2">
        <f t="shared" si="69"/>
        <v>0</v>
      </c>
      <c r="DJ65" s="2">
        <f t="shared" si="69"/>
        <v>0</v>
      </c>
      <c r="DK65" s="2">
        <f t="shared" si="69"/>
        <v>0</v>
      </c>
      <c r="DL65" s="2">
        <f t="shared" si="69"/>
        <v>0</v>
      </c>
      <c r="DM65" s="2">
        <f t="shared" si="69"/>
        <v>0</v>
      </c>
      <c r="DN65" s="2">
        <f t="shared" si="69"/>
        <v>0</v>
      </c>
      <c r="DO65" s="2">
        <f t="shared" si="69"/>
        <v>0</v>
      </c>
      <c r="DP65" s="2">
        <f t="shared" si="69"/>
        <v>0</v>
      </c>
      <c r="DQ65" s="2">
        <f t="shared" si="69"/>
        <v>0</v>
      </c>
      <c r="DR65" s="2">
        <f t="shared" si="73"/>
        <v>0</v>
      </c>
      <c r="DS65" s="2">
        <f t="shared" si="70"/>
        <v>0</v>
      </c>
      <c r="DT65" s="2">
        <f t="shared" si="70"/>
        <v>0</v>
      </c>
      <c r="DU65" s="2">
        <f t="shared" si="70"/>
        <v>0</v>
      </c>
      <c r="DV65" s="2">
        <f t="shared" si="70"/>
        <v>0</v>
      </c>
      <c r="DW65" s="2">
        <f t="shared" si="70"/>
        <v>0</v>
      </c>
      <c r="DX65" s="2">
        <f t="shared" si="70"/>
        <v>0</v>
      </c>
      <c r="DY65" s="2">
        <f t="shared" si="70"/>
        <v>0</v>
      </c>
      <c r="DZ65" s="2">
        <f t="shared" si="70"/>
        <v>0</v>
      </c>
      <c r="EA65" s="2">
        <f t="shared" si="70"/>
        <v>0</v>
      </c>
      <c r="EB65" s="2">
        <f t="shared" si="70"/>
        <v>0</v>
      </c>
      <c r="EC65" s="2">
        <f t="shared" si="70"/>
        <v>0</v>
      </c>
      <c r="ED65" s="2">
        <f t="shared" si="70"/>
        <v>0</v>
      </c>
      <c r="EE65" s="2">
        <f t="shared" si="70"/>
        <v>0</v>
      </c>
      <c r="EF65" s="2">
        <f t="shared" si="70"/>
        <v>0</v>
      </c>
      <c r="EG65" s="2">
        <f t="shared" si="70"/>
        <v>0</v>
      </c>
      <c r="EH65" s="2">
        <f t="shared" si="70"/>
        <v>0</v>
      </c>
      <c r="EI65" s="2">
        <f t="shared" si="70"/>
        <v>0</v>
      </c>
      <c r="EJ65" s="2">
        <f t="shared" si="70"/>
        <v>0</v>
      </c>
      <c r="EK65" s="2">
        <f t="shared" si="70"/>
        <v>0</v>
      </c>
      <c r="EL65" s="2">
        <f t="shared" si="70"/>
        <v>0</v>
      </c>
    </row>
    <row r="66" spans="22:142" ht="14.4" customHeight="1" x14ac:dyDescent="0.3">
      <c r="V66" s="36"/>
      <c r="W66" s="249"/>
      <c r="X66" s="250"/>
      <c r="Y66" s="37"/>
      <c r="Z66" s="38"/>
      <c r="AA66" s="38"/>
      <c r="AB66" s="38" t="str">
        <f t="shared" si="74"/>
        <v/>
      </c>
      <c r="AC66" s="38" t="str">
        <f t="shared" si="75"/>
        <v/>
      </c>
      <c r="AD66" s="247"/>
      <c r="AE66" s="248"/>
      <c r="AF66" s="39"/>
      <c r="AG66" s="39"/>
      <c r="AH66" s="39"/>
      <c r="AI66" s="39"/>
      <c r="AJ66" s="39"/>
      <c r="AK66" s="39"/>
      <c r="AL66" s="39"/>
      <c r="AM66" s="39"/>
      <c r="AN66" s="39"/>
      <c r="AO66" s="39"/>
      <c r="AP66" s="22"/>
      <c r="AQ66" s="100" t="str">
        <f t="shared" si="76"/>
        <v/>
      </c>
      <c r="AR66" s="287" t="str">
        <f t="shared" si="77"/>
        <v/>
      </c>
      <c r="AS66" s="288"/>
      <c r="AT66" s="37" t="str">
        <f t="shared" si="78"/>
        <v/>
      </c>
      <c r="AU66" s="37" t="str">
        <f t="shared" si="79"/>
        <v/>
      </c>
      <c r="AV66" s="37" t="str">
        <f t="shared" si="80"/>
        <v/>
      </c>
      <c r="AW66" s="38" t="str">
        <f t="shared" si="81"/>
        <v/>
      </c>
      <c r="AX66" s="38" t="str">
        <f t="shared" si="82"/>
        <v/>
      </c>
      <c r="AY66" s="38" t="str">
        <f t="shared" si="83"/>
        <v/>
      </c>
      <c r="AZ66" s="39"/>
      <c r="BA66" s="39"/>
      <c r="BB66" s="39"/>
      <c r="BC66" s="39"/>
      <c r="BD66" s="39"/>
      <c r="BE66" s="39"/>
      <c r="BF66" s="39"/>
      <c r="BG66" s="39"/>
      <c r="BH66" s="39"/>
      <c r="BI66" s="39"/>
      <c r="BJ66" s="39"/>
      <c r="BK66" s="40"/>
      <c r="BL66" s="199" t="s">
        <v>111</v>
      </c>
      <c r="BM66" s="154"/>
      <c r="BN66" s="200"/>
      <c r="BO66" s="201"/>
      <c r="BP66" s="202"/>
      <c r="BQ66" s="203"/>
      <c r="BR66" s="221"/>
      <c r="BS66" s="44" t="s">
        <v>112</v>
      </c>
      <c r="BT66" s="45"/>
      <c r="BU66" s="221"/>
      <c r="BV66" s="125"/>
      <c r="BW66" s="126"/>
      <c r="BX66" s="127"/>
      <c r="BY66" s="122"/>
      <c r="BZ66" s="123"/>
      <c r="CA66" s="123"/>
      <c r="CB66" s="124"/>
      <c r="CC66" s="122"/>
      <c r="CD66" s="123"/>
      <c r="CE66" s="123"/>
      <c r="CF66" s="215"/>
      <c r="CG66" s="2">
        <f t="shared" si="71"/>
        <v>0</v>
      </c>
      <c r="CH66" s="2">
        <f t="shared" si="66"/>
        <v>0</v>
      </c>
      <c r="CI66" s="2">
        <f t="shared" si="67"/>
        <v>0</v>
      </c>
      <c r="CJ66" s="2">
        <f t="shared" si="67"/>
        <v>0</v>
      </c>
      <c r="CK66" s="2">
        <f t="shared" si="67"/>
        <v>0</v>
      </c>
      <c r="CL66" s="2" t="str">
        <f t="shared" si="67"/>
        <v/>
      </c>
      <c r="CM66" s="2" t="str">
        <f t="shared" si="67"/>
        <v/>
      </c>
      <c r="CN66" s="2">
        <f t="shared" si="67"/>
        <v>0</v>
      </c>
      <c r="CO66" s="2">
        <f t="shared" si="68"/>
        <v>0</v>
      </c>
      <c r="CP66" s="2">
        <f t="shared" si="68"/>
        <v>0</v>
      </c>
      <c r="CQ66" s="2">
        <f t="shared" si="68"/>
        <v>0</v>
      </c>
      <c r="CR66" s="2">
        <f t="shared" si="68"/>
        <v>0</v>
      </c>
      <c r="CS66" s="2">
        <f t="shared" si="68"/>
        <v>0</v>
      </c>
      <c r="CT66" s="2">
        <f t="shared" si="68"/>
        <v>0</v>
      </c>
      <c r="CU66" s="2">
        <f t="shared" si="68"/>
        <v>0</v>
      </c>
      <c r="CV66" s="2">
        <f t="shared" si="68"/>
        <v>0</v>
      </c>
      <c r="CW66" s="2">
        <f t="shared" si="68"/>
        <v>0</v>
      </c>
      <c r="CX66" s="2">
        <f t="shared" si="68"/>
        <v>0</v>
      </c>
      <c r="DF66" s="2">
        <f t="shared" si="72"/>
        <v>0</v>
      </c>
      <c r="DG66" s="2">
        <f t="shared" si="69"/>
        <v>0</v>
      </c>
      <c r="DH66" s="2">
        <f t="shared" si="69"/>
        <v>0</v>
      </c>
      <c r="DI66" s="2">
        <f t="shared" si="69"/>
        <v>0</v>
      </c>
      <c r="DJ66" s="2">
        <f t="shared" si="69"/>
        <v>0</v>
      </c>
      <c r="DK66" s="2">
        <f t="shared" si="69"/>
        <v>0</v>
      </c>
      <c r="DL66" s="2">
        <f t="shared" si="69"/>
        <v>0</v>
      </c>
      <c r="DM66" s="2">
        <f t="shared" si="69"/>
        <v>0</v>
      </c>
      <c r="DN66" s="2">
        <f t="shared" si="69"/>
        <v>0</v>
      </c>
      <c r="DO66" s="2">
        <f t="shared" si="69"/>
        <v>0</v>
      </c>
      <c r="DP66" s="2">
        <f t="shared" si="69"/>
        <v>0</v>
      </c>
      <c r="DQ66" s="2">
        <f t="shared" si="69"/>
        <v>0</v>
      </c>
      <c r="DR66" s="2">
        <f t="shared" si="73"/>
        <v>0</v>
      </c>
      <c r="DS66" s="2">
        <f t="shared" si="70"/>
        <v>0</v>
      </c>
      <c r="DT66" s="2">
        <f t="shared" si="70"/>
        <v>0</v>
      </c>
      <c r="DU66" s="2">
        <f t="shared" si="70"/>
        <v>0</v>
      </c>
      <c r="DV66" s="2">
        <f t="shared" si="70"/>
        <v>0</v>
      </c>
      <c r="DW66" s="2">
        <f t="shared" si="70"/>
        <v>0</v>
      </c>
      <c r="DX66" s="2">
        <f t="shared" si="70"/>
        <v>0</v>
      </c>
      <c r="DY66" s="2">
        <f t="shared" si="70"/>
        <v>0</v>
      </c>
      <c r="DZ66" s="2">
        <f t="shared" si="70"/>
        <v>0</v>
      </c>
      <c r="EA66" s="2">
        <f t="shared" si="70"/>
        <v>0</v>
      </c>
      <c r="EB66" s="2">
        <f t="shared" si="70"/>
        <v>0</v>
      </c>
      <c r="EC66" s="2">
        <f t="shared" si="70"/>
        <v>0</v>
      </c>
      <c r="ED66" s="2">
        <f t="shared" si="70"/>
        <v>0</v>
      </c>
      <c r="EE66" s="2">
        <f t="shared" si="70"/>
        <v>0</v>
      </c>
      <c r="EF66" s="2">
        <f t="shared" si="70"/>
        <v>0</v>
      </c>
      <c r="EG66" s="2">
        <f t="shared" si="70"/>
        <v>0</v>
      </c>
      <c r="EH66" s="2">
        <f t="shared" si="70"/>
        <v>0</v>
      </c>
      <c r="EI66" s="2">
        <f t="shared" si="70"/>
        <v>0</v>
      </c>
      <c r="EJ66" s="2">
        <f t="shared" si="70"/>
        <v>0</v>
      </c>
      <c r="EK66" s="2">
        <f t="shared" si="70"/>
        <v>0</v>
      </c>
      <c r="EL66" s="2">
        <f t="shared" si="70"/>
        <v>0</v>
      </c>
    </row>
    <row r="67" spans="22:142" ht="14.4" customHeight="1" x14ac:dyDescent="0.3">
      <c r="V67" s="36"/>
      <c r="W67" s="249"/>
      <c r="X67" s="250"/>
      <c r="Y67" s="37"/>
      <c r="Z67" s="38"/>
      <c r="AA67" s="38"/>
      <c r="AB67" s="38" t="str">
        <f t="shared" si="74"/>
        <v/>
      </c>
      <c r="AC67" s="38" t="str">
        <f t="shared" si="75"/>
        <v/>
      </c>
      <c r="AD67" s="247"/>
      <c r="AE67" s="248"/>
      <c r="AF67" s="39"/>
      <c r="AG67" s="39"/>
      <c r="AH67" s="39"/>
      <c r="AI67" s="39"/>
      <c r="AJ67" s="39"/>
      <c r="AK67" s="39"/>
      <c r="AL67" s="39"/>
      <c r="AM67" s="39"/>
      <c r="AN67" s="39"/>
      <c r="AO67" s="39"/>
      <c r="AP67" s="22"/>
      <c r="AQ67" s="100" t="str">
        <f t="shared" si="76"/>
        <v/>
      </c>
      <c r="AR67" s="287" t="str">
        <f t="shared" si="77"/>
        <v/>
      </c>
      <c r="AS67" s="288"/>
      <c r="AT67" s="37" t="str">
        <f t="shared" si="78"/>
        <v/>
      </c>
      <c r="AU67" s="37" t="str">
        <f t="shared" si="79"/>
        <v/>
      </c>
      <c r="AV67" s="37" t="str">
        <f t="shared" si="80"/>
        <v/>
      </c>
      <c r="AW67" s="38" t="str">
        <f t="shared" si="81"/>
        <v/>
      </c>
      <c r="AX67" s="38" t="str">
        <f t="shared" si="82"/>
        <v/>
      </c>
      <c r="AY67" s="38" t="str">
        <f t="shared" si="83"/>
        <v/>
      </c>
      <c r="AZ67" s="39"/>
      <c r="BA67" s="39"/>
      <c r="BB67" s="39"/>
      <c r="BC67" s="39"/>
      <c r="BD67" s="39"/>
      <c r="BE67" s="39"/>
      <c r="BF67" s="39"/>
      <c r="BG67" s="39"/>
      <c r="BH67" s="39"/>
      <c r="BI67" s="39"/>
      <c r="BJ67" s="39"/>
      <c r="BK67" s="40"/>
      <c r="BL67" s="170"/>
      <c r="BM67" s="171"/>
      <c r="BN67" s="172"/>
      <c r="BO67" s="179"/>
      <c r="BP67" s="171"/>
      <c r="BQ67" s="172"/>
      <c r="BR67" s="179"/>
      <c r="BS67" s="171"/>
      <c r="BT67" s="171"/>
      <c r="BU67" s="171"/>
      <c r="BV67" s="171"/>
      <c r="BW67" s="171"/>
      <c r="BX67" s="172"/>
      <c r="BY67" s="122"/>
      <c r="BZ67" s="123"/>
      <c r="CA67" s="123"/>
      <c r="CB67" s="124"/>
      <c r="CC67" s="122"/>
      <c r="CD67" s="123"/>
      <c r="CE67" s="123"/>
      <c r="CF67" s="215"/>
      <c r="CG67" s="2">
        <f t="shared" si="71"/>
        <v>0</v>
      </c>
      <c r="CH67" s="2">
        <f t="shared" si="66"/>
        <v>0</v>
      </c>
      <c r="CI67" s="2">
        <f t="shared" si="67"/>
        <v>0</v>
      </c>
      <c r="CJ67" s="2">
        <f t="shared" si="67"/>
        <v>0</v>
      </c>
      <c r="CK67" s="2">
        <f t="shared" si="67"/>
        <v>0</v>
      </c>
      <c r="CL67" s="2" t="str">
        <f t="shared" si="67"/>
        <v/>
      </c>
      <c r="CM67" s="2" t="str">
        <f t="shared" si="67"/>
        <v/>
      </c>
      <c r="CN67" s="2">
        <f t="shared" si="67"/>
        <v>0</v>
      </c>
      <c r="CO67" s="2">
        <f t="shared" si="68"/>
        <v>0</v>
      </c>
      <c r="CP67" s="2">
        <f t="shared" si="68"/>
        <v>0</v>
      </c>
      <c r="CQ67" s="2">
        <f t="shared" si="68"/>
        <v>0</v>
      </c>
      <c r="CR67" s="2">
        <f t="shared" si="68"/>
        <v>0</v>
      </c>
      <c r="CS67" s="2">
        <f t="shared" si="68"/>
        <v>0</v>
      </c>
      <c r="CT67" s="2">
        <f t="shared" si="68"/>
        <v>0</v>
      </c>
      <c r="CU67" s="2">
        <f t="shared" si="68"/>
        <v>0</v>
      </c>
      <c r="CV67" s="2">
        <f t="shared" si="68"/>
        <v>0</v>
      </c>
      <c r="CW67" s="2">
        <f t="shared" si="68"/>
        <v>0</v>
      </c>
      <c r="CX67" s="2">
        <f t="shared" si="68"/>
        <v>0</v>
      </c>
      <c r="DF67" s="2">
        <f t="shared" si="72"/>
        <v>0</v>
      </c>
      <c r="DG67" s="2">
        <f t="shared" si="69"/>
        <v>0</v>
      </c>
      <c r="DH67" s="2">
        <f t="shared" si="69"/>
        <v>0</v>
      </c>
      <c r="DI67" s="2">
        <f t="shared" si="69"/>
        <v>0</v>
      </c>
      <c r="DJ67" s="2">
        <f t="shared" si="69"/>
        <v>0</v>
      </c>
      <c r="DK67" s="2">
        <f t="shared" si="69"/>
        <v>0</v>
      </c>
      <c r="DL67" s="2">
        <f t="shared" si="69"/>
        <v>0</v>
      </c>
      <c r="DM67" s="2">
        <f t="shared" si="69"/>
        <v>0</v>
      </c>
      <c r="DN67" s="2">
        <f t="shared" si="69"/>
        <v>0</v>
      </c>
      <c r="DO67" s="2">
        <f t="shared" si="69"/>
        <v>0</v>
      </c>
      <c r="DP67" s="2">
        <f t="shared" si="69"/>
        <v>0</v>
      </c>
      <c r="DQ67" s="2">
        <f t="shared" si="69"/>
        <v>0</v>
      </c>
      <c r="DR67" s="2">
        <f t="shared" si="73"/>
        <v>0</v>
      </c>
      <c r="DS67" s="2">
        <f t="shared" si="70"/>
        <v>0</v>
      </c>
      <c r="DT67" s="2">
        <f t="shared" si="70"/>
        <v>0</v>
      </c>
      <c r="DU67" s="2">
        <f t="shared" si="70"/>
        <v>0</v>
      </c>
      <c r="DV67" s="2">
        <f t="shared" si="70"/>
        <v>0</v>
      </c>
      <c r="DW67" s="2">
        <f t="shared" si="70"/>
        <v>0</v>
      </c>
      <c r="DX67" s="2">
        <f t="shared" si="70"/>
        <v>0</v>
      </c>
      <c r="DY67" s="2">
        <f t="shared" si="70"/>
        <v>0</v>
      </c>
      <c r="DZ67" s="2">
        <f t="shared" si="70"/>
        <v>0</v>
      </c>
      <c r="EA67" s="2">
        <f t="shared" si="70"/>
        <v>0</v>
      </c>
      <c r="EB67" s="2">
        <f t="shared" si="70"/>
        <v>0</v>
      </c>
      <c r="EC67" s="2">
        <f t="shared" si="70"/>
        <v>0</v>
      </c>
      <c r="ED67" s="2">
        <f t="shared" si="70"/>
        <v>0</v>
      </c>
      <c r="EE67" s="2">
        <f t="shared" si="70"/>
        <v>0</v>
      </c>
      <c r="EF67" s="2">
        <f t="shared" si="70"/>
        <v>0</v>
      </c>
      <c r="EG67" s="2">
        <f t="shared" si="70"/>
        <v>0</v>
      </c>
      <c r="EH67" s="2">
        <f t="shared" si="70"/>
        <v>0</v>
      </c>
      <c r="EI67" s="2">
        <f t="shared" si="70"/>
        <v>0</v>
      </c>
      <c r="EJ67" s="2">
        <f t="shared" si="70"/>
        <v>0</v>
      </c>
      <c r="EK67" s="2">
        <f t="shared" si="70"/>
        <v>0</v>
      </c>
      <c r="EL67" s="2">
        <f t="shared" si="70"/>
        <v>0</v>
      </c>
    </row>
    <row r="68" spans="22:142" ht="14.4" customHeight="1" x14ac:dyDescent="0.3">
      <c r="V68" s="36"/>
      <c r="W68" s="249"/>
      <c r="X68" s="250"/>
      <c r="Y68" s="37"/>
      <c r="Z68" s="38"/>
      <c r="AA68" s="38"/>
      <c r="AB68" s="38" t="str">
        <f t="shared" si="74"/>
        <v/>
      </c>
      <c r="AC68" s="38" t="str">
        <f t="shared" si="75"/>
        <v/>
      </c>
      <c r="AD68" s="247"/>
      <c r="AE68" s="248"/>
      <c r="AF68" s="39"/>
      <c r="AG68" s="39"/>
      <c r="AH68" s="39"/>
      <c r="AI68" s="39"/>
      <c r="AJ68" s="39"/>
      <c r="AK68" s="39"/>
      <c r="AL68" s="39"/>
      <c r="AM68" s="39"/>
      <c r="AN68" s="39"/>
      <c r="AO68" s="39"/>
      <c r="AP68" s="22"/>
      <c r="AQ68" s="100" t="str">
        <f t="shared" si="76"/>
        <v/>
      </c>
      <c r="AR68" s="287" t="str">
        <f t="shared" si="77"/>
        <v/>
      </c>
      <c r="AS68" s="288"/>
      <c r="AT68" s="37" t="str">
        <f t="shared" si="78"/>
        <v/>
      </c>
      <c r="AU68" s="37" t="str">
        <f t="shared" si="79"/>
        <v/>
      </c>
      <c r="AV68" s="37" t="str">
        <f t="shared" si="80"/>
        <v/>
      </c>
      <c r="AW68" s="38" t="str">
        <f t="shared" si="81"/>
        <v/>
      </c>
      <c r="AX68" s="38" t="str">
        <f t="shared" si="82"/>
        <v/>
      </c>
      <c r="AY68" s="38" t="str">
        <f t="shared" si="83"/>
        <v/>
      </c>
      <c r="AZ68" s="39"/>
      <c r="BA68" s="39"/>
      <c r="BB68" s="39"/>
      <c r="BC68" s="39"/>
      <c r="BD68" s="39"/>
      <c r="BE68" s="39"/>
      <c r="BF68" s="39"/>
      <c r="BG68" s="39"/>
      <c r="BH68" s="39"/>
      <c r="BI68" s="39"/>
      <c r="BJ68" s="39"/>
      <c r="BK68" s="40"/>
      <c r="BL68" s="173"/>
      <c r="BM68" s="174"/>
      <c r="BN68" s="175"/>
      <c r="BO68" s="180"/>
      <c r="BP68" s="174"/>
      <c r="BQ68" s="175"/>
      <c r="BR68" s="180"/>
      <c r="BS68" s="174"/>
      <c r="BT68" s="174"/>
      <c r="BU68" s="174"/>
      <c r="BV68" s="174"/>
      <c r="BW68" s="174"/>
      <c r="BX68" s="175"/>
      <c r="BY68" s="122"/>
      <c r="BZ68" s="123"/>
      <c r="CA68" s="123"/>
      <c r="CB68" s="124"/>
      <c r="CC68" s="122"/>
      <c r="CD68" s="123"/>
      <c r="CE68" s="123"/>
      <c r="CF68" s="215"/>
      <c r="CG68" s="2">
        <f t="shared" si="71"/>
        <v>0</v>
      </c>
      <c r="CH68" s="2">
        <f t="shared" si="66"/>
        <v>0</v>
      </c>
      <c r="CI68" s="2">
        <f t="shared" si="67"/>
        <v>0</v>
      </c>
      <c r="CJ68" s="2">
        <f t="shared" si="67"/>
        <v>0</v>
      </c>
      <c r="CK68" s="2">
        <f t="shared" si="67"/>
        <v>0</v>
      </c>
      <c r="CL68" s="2" t="str">
        <f t="shared" si="67"/>
        <v/>
      </c>
      <c r="CM68" s="2" t="str">
        <f t="shared" si="67"/>
        <v/>
      </c>
      <c r="CN68" s="2">
        <f t="shared" si="67"/>
        <v>0</v>
      </c>
      <c r="CO68" s="2">
        <f t="shared" si="68"/>
        <v>0</v>
      </c>
      <c r="CP68" s="2">
        <f t="shared" si="68"/>
        <v>0</v>
      </c>
      <c r="CQ68" s="2">
        <f t="shared" si="68"/>
        <v>0</v>
      </c>
      <c r="CR68" s="2">
        <f t="shared" si="68"/>
        <v>0</v>
      </c>
      <c r="CS68" s="2">
        <f t="shared" si="68"/>
        <v>0</v>
      </c>
      <c r="CT68" s="2">
        <f t="shared" si="68"/>
        <v>0</v>
      </c>
      <c r="CU68" s="2">
        <f t="shared" si="68"/>
        <v>0</v>
      </c>
      <c r="CV68" s="2">
        <f t="shared" si="68"/>
        <v>0</v>
      </c>
      <c r="CW68" s="2">
        <f t="shared" si="68"/>
        <v>0</v>
      </c>
      <c r="CX68" s="2">
        <f t="shared" si="68"/>
        <v>0</v>
      </c>
      <c r="DF68" s="2">
        <f t="shared" si="72"/>
        <v>0</v>
      </c>
      <c r="DG68" s="2">
        <f t="shared" si="69"/>
        <v>0</v>
      </c>
      <c r="DH68" s="2">
        <f t="shared" si="69"/>
        <v>0</v>
      </c>
      <c r="DI68" s="2">
        <f t="shared" si="69"/>
        <v>0</v>
      </c>
      <c r="DJ68" s="2">
        <f t="shared" si="69"/>
        <v>0</v>
      </c>
      <c r="DK68" s="2">
        <f t="shared" si="69"/>
        <v>0</v>
      </c>
      <c r="DL68" s="2">
        <f t="shared" si="69"/>
        <v>0</v>
      </c>
      <c r="DM68" s="2">
        <f t="shared" si="69"/>
        <v>0</v>
      </c>
      <c r="DN68" s="2">
        <f t="shared" si="69"/>
        <v>0</v>
      </c>
      <c r="DO68" s="2">
        <f t="shared" si="69"/>
        <v>0</v>
      </c>
      <c r="DP68" s="2">
        <f t="shared" si="69"/>
        <v>0</v>
      </c>
      <c r="DQ68" s="2">
        <f t="shared" si="69"/>
        <v>0</v>
      </c>
      <c r="DR68" s="2">
        <f t="shared" si="73"/>
        <v>0</v>
      </c>
      <c r="DS68" s="2">
        <f t="shared" si="70"/>
        <v>0</v>
      </c>
      <c r="DT68" s="2">
        <f t="shared" si="70"/>
        <v>0</v>
      </c>
      <c r="DU68" s="2">
        <f t="shared" si="70"/>
        <v>0</v>
      </c>
      <c r="DV68" s="2">
        <f t="shared" si="70"/>
        <v>0</v>
      </c>
      <c r="DW68" s="2">
        <f t="shared" si="70"/>
        <v>0</v>
      </c>
      <c r="DX68" s="2">
        <f t="shared" si="70"/>
        <v>0</v>
      </c>
      <c r="DY68" s="2">
        <f t="shared" si="70"/>
        <v>0</v>
      </c>
      <c r="DZ68" s="2">
        <f t="shared" si="70"/>
        <v>0</v>
      </c>
      <c r="EA68" s="2">
        <f t="shared" si="70"/>
        <v>0</v>
      </c>
      <c r="EB68" s="2">
        <f t="shared" si="70"/>
        <v>0</v>
      </c>
      <c r="EC68" s="2">
        <f t="shared" si="70"/>
        <v>0</v>
      </c>
      <c r="ED68" s="2">
        <f t="shared" si="70"/>
        <v>0</v>
      </c>
      <c r="EE68" s="2">
        <f t="shared" si="70"/>
        <v>0</v>
      </c>
      <c r="EF68" s="2">
        <f t="shared" si="70"/>
        <v>0</v>
      </c>
      <c r="EG68" s="2">
        <f t="shared" si="70"/>
        <v>0</v>
      </c>
      <c r="EH68" s="2">
        <f t="shared" si="70"/>
        <v>0</v>
      </c>
      <c r="EI68" s="2">
        <f t="shared" si="70"/>
        <v>0</v>
      </c>
      <c r="EJ68" s="2">
        <f t="shared" si="70"/>
        <v>0</v>
      </c>
      <c r="EK68" s="2">
        <f t="shared" si="70"/>
        <v>0</v>
      </c>
      <c r="EL68" s="2">
        <f t="shared" si="70"/>
        <v>0</v>
      </c>
    </row>
    <row r="69" spans="22:142" ht="14.4" customHeight="1" x14ac:dyDescent="0.3">
      <c r="V69" s="36"/>
      <c r="W69" s="249"/>
      <c r="X69" s="250"/>
      <c r="Y69" s="37"/>
      <c r="Z69" s="38"/>
      <c r="AA69" s="38"/>
      <c r="AB69" s="38" t="str">
        <f t="shared" si="74"/>
        <v/>
      </c>
      <c r="AC69" s="38" t="str">
        <f t="shared" si="75"/>
        <v/>
      </c>
      <c r="AD69" s="247"/>
      <c r="AE69" s="248"/>
      <c r="AF69" s="39"/>
      <c r="AG69" s="39"/>
      <c r="AH69" s="39"/>
      <c r="AI69" s="39"/>
      <c r="AJ69" s="39"/>
      <c r="AK69" s="39"/>
      <c r="AL69" s="39"/>
      <c r="AM69" s="39"/>
      <c r="AN69" s="39"/>
      <c r="AO69" s="39"/>
      <c r="AP69" s="22"/>
      <c r="AQ69" s="100" t="str">
        <f t="shared" si="76"/>
        <v/>
      </c>
      <c r="AR69" s="287" t="str">
        <f t="shared" si="77"/>
        <v/>
      </c>
      <c r="AS69" s="288"/>
      <c r="AT69" s="37" t="str">
        <f t="shared" si="78"/>
        <v/>
      </c>
      <c r="AU69" s="37" t="str">
        <f t="shared" si="79"/>
        <v/>
      </c>
      <c r="AV69" s="37" t="str">
        <f t="shared" si="80"/>
        <v/>
      </c>
      <c r="AW69" s="38" t="str">
        <f t="shared" si="81"/>
        <v/>
      </c>
      <c r="AX69" s="38" t="str">
        <f t="shared" si="82"/>
        <v/>
      </c>
      <c r="AY69" s="38" t="str">
        <f t="shared" si="83"/>
        <v/>
      </c>
      <c r="AZ69" s="39"/>
      <c r="BA69" s="39"/>
      <c r="BB69" s="39"/>
      <c r="BC69" s="39"/>
      <c r="BD69" s="39"/>
      <c r="BE69" s="39"/>
      <c r="BF69" s="39"/>
      <c r="BG69" s="39"/>
      <c r="BH69" s="39"/>
      <c r="BI69" s="39"/>
      <c r="BJ69" s="39"/>
      <c r="BK69" s="40"/>
      <c r="BL69" s="173"/>
      <c r="BM69" s="174"/>
      <c r="BN69" s="175"/>
      <c r="BO69" s="180"/>
      <c r="BP69" s="174"/>
      <c r="BQ69" s="175"/>
      <c r="BR69" s="180"/>
      <c r="BS69" s="174"/>
      <c r="BT69" s="174"/>
      <c r="BU69" s="174"/>
      <c r="BV69" s="174"/>
      <c r="BW69" s="174"/>
      <c r="BX69" s="175"/>
      <c r="BY69" s="122"/>
      <c r="BZ69" s="123"/>
      <c r="CA69" s="123"/>
      <c r="CB69" s="124"/>
      <c r="CC69" s="122"/>
      <c r="CD69" s="123"/>
      <c r="CE69" s="123"/>
      <c r="CF69" s="215"/>
      <c r="CG69" s="2">
        <f t="shared" si="71"/>
        <v>0</v>
      </c>
      <c r="CH69" s="2">
        <f t="shared" si="66"/>
        <v>0</v>
      </c>
      <c r="CI69" s="2">
        <f t="shared" si="67"/>
        <v>0</v>
      </c>
      <c r="CJ69" s="2">
        <f t="shared" si="67"/>
        <v>0</v>
      </c>
      <c r="CK69" s="2">
        <f t="shared" si="67"/>
        <v>0</v>
      </c>
      <c r="CL69" s="2" t="str">
        <f t="shared" si="67"/>
        <v/>
      </c>
      <c r="CM69" s="2" t="str">
        <f t="shared" si="67"/>
        <v/>
      </c>
      <c r="CN69" s="2">
        <f t="shared" si="67"/>
        <v>0</v>
      </c>
      <c r="CO69" s="2">
        <f t="shared" si="68"/>
        <v>0</v>
      </c>
      <c r="CP69" s="2">
        <f t="shared" si="68"/>
        <v>0</v>
      </c>
      <c r="CQ69" s="2">
        <f t="shared" si="68"/>
        <v>0</v>
      </c>
      <c r="CR69" s="2">
        <f t="shared" si="68"/>
        <v>0</v>
      </c>
      <c r="CS69" s="2">
        <f t="shared" si="68"/>
        <v>0</v>
      </c>
      <c r="CT69" s="2">
        <f t="shared" si="68"/>
        <v>0</v>
      </c>
      <c r="CU69" s="2">
        <f t="shared" si="68"/>
        <v>0</v>
      </c>
      <c r="CV69" s="2">
        <f t="shared" si="68"/>
        <v>0</v>
      </c>
      <c r="CW69" s="2">
        <f t="shared" si="68"/>
        <v>0</v>
      </c>
      <c r="CX69" s="2">
        <f t="shared" si="68"/>
        <v>0</v>
      </c>
      <c r="DF69" s="2">
        <f t="shared" si="72"/>
        <v>0</v>
      </c>
      <c r="DG69" s="2">
        <f t="shared" si="69"/>
        <v>0</v>
      </c>
      <c r="DH69" s="2">
        <f t="shared" si="69"/>
        <v>0</v>
      </c>
      <c r="DI69" s="2">
        <f t="shared" si="69"/>
        <v>0</v>
      </c>
      <c r="DJ69" s="2">
        <f t="shared" si="69"/>
        <v>0</v>
      </c>
      <c r="DK69" s="2">
        <f t="shared" si="69"/>
        <v>0</v>
      </c>
      <c r="DL69" s="2">
        <f t="shared" si="69"/>
        <v>0</v>
      </c>
      <c r="DM69" s="2">
        <f t="shared" si="69"/>
        <v>0</v>
      </c>
      <c r="DN69" s="2">
        <f t="shared" si="69"/>
        <v>0</v>
      </c>
      <c r="DO69" s="2">
        <f t="shared" si="69"/>
        <v>0</v>
      </c>
      <c r="DP69" s="2">
        <f t="shared" si="69"/>
        <v>0</v>
      </c>
      <c r="DQ69" s="2">
        <f t="shared" si="69"/>
        <v>0</v>
      </c>
      <c r="DR69" s="2">
        <f t="shared" si="73"/>
        <v>0</v>
      </c>
      <c r="DS69" s="2">
        <f t="shared" si="70"/>
        <v>0</v>
      </c>
      <c r="DT69" s="2">
        <f t="shared" si="70"/>
        <v>0</v>
      </c>
      <c r="DU69" s="2">
        <f t="shared" si="70"/>
        <v>0</v>
      </c>
      <c r="DV69" s="2">
        <f t="shared" si="70"/>
        <v>0</v>
      </c>
      <c r="DW69" s="2">
        <f t="shared" si="70"/>
        <v>0</v>
      </c>
      <c r="DX69" s="2">
        <f t="shared" si="70"/>
        <v>0</v>
      </c>
      <c r="DY69" s="2">
        <f t="shared" si="70"/>
        <v>0</v>
      </c>
      <c r="DZ69" s="2">
        <f t="shared" si="70"/>
        <v>0</v>
      </c>
      <c r="EA69" s="2">
        <f t="shared" si="70"/>
        <v>0</v>
      </c>
      <c r="EB69" s="2">
        <f t="shared" si="70"/>
        <v>0</v>
      </c>
      <c r="EC69" s="2">
        <f t="shared" si="70"/>
        <v>0</v>
      </c>
      <c r="ED69" s="2">
        <f t="shared" si="70"/>
        <v>0</v>
      </c>
      <c r="EE69" s="2">
        <f t="shared" si="70"/>
        <v>0</v>
      </c>
      <c r="EF69" s="2">
        <f t="shared" si="70"/>
        <v>0</v>
      </c>
      <c r="EG69" s="2">
        <f t="shared" si="70"/>
        <v>0</v>
      </c>
      <c r="EH69" s="2">
        <f t="shared" si="70"/>
        <v>0</v>
      </c>
      <c r="EI69" s="2">
        <f t="shared" si="70"/>
        <v>0</v>
      </c>
      <c r="EJ69" s="2">
        <f t="shared" si="70"/>
        <v>0</v>
      </c>
      <c r="EK69" s="2">
        <f t="shared" si="70"/>
        <v>0</v>
      </c>
      <c r="EL69" s="2">
        <f t="shared" si="70"/>
        <v>0</v>
      </c>
    </row>
    <row r="70" spans="22:142" ht="14.4" customHeight="1" x14ac:dyDescent="0.3">
      <c r="V70" s="36"/>
      <c r="W70" s="249"/>
      <c r="X70" s="250"/>
      <c r="Y70" s="37"/>
      <c r="Z70" s="38"/>
      <c r="AA70" s="38"/>
      <c r="AB70" s="38" t="str">
        <f t="shared" si="74"/>
        <v/>
      </c>
      <c r="AC70" s="38" t="str">
        <f t="shared" si="75"/>
        <v/>
      </c>
      <c r="AD70" s="247"/>
      <c r="AE70" s="248"/>
      <c r="AF70" s="39"/>
      <c r="AG70" s="39"/>
      <c r="AH70" s="39"/>
      <c r="AI70" s="39"/>
      <c r="AJ70" s="39"/>
      <c r="AK70" s="39"/>
      <c r="AL70" s="39"/>
      <c r="AM70" s="39"/>
      <c r="AN70" s="39"/>
      <c r="AO70" s="39"/>
      <c r="AP70" s="22"/>
      <c r="AQ70" s="100" t="str">
        <f t="shared" si="76"/>
        <v/>
      </c>
      <c r="AR70" s="287" t="str">
        <f t="shared" si="77"/>
        <v/>
      </c>
      <c r="AS70" s="288"/>
      <c r="AT70" s="37" t="str">
        <f t="shared" si="78"/>
        <v/>
      </c>
      <c r="AU70" s="37" t="str">
        <f t="shared" si="79"/>
        <v/>
      </c>
      <c r="AV70" s="37" t="str">
        <f t="shared" si="80"/>
        <v/>
      </c>
      <c r="AW70" s="38" t="str">
        <f t="shared" si="81"/>
        <v/>
      </c>
      <c r="AX70" s="38" t="str">
        <f t="shared" si="82"/>
        <v/>
      </c>
      <c r="AY70" s="38" t="str">
        <f t="shared" si="83"/>
        <v/>
      </c>
      <c r="AZ70" s="39"/>
      <c r="BA70" s="39"/>
      <c r="BB70" s="39"/>
      <c r="BC70" s="39"/>
      <c r="BD70" s="39"/>
      <c r="BE70" s="39"/>
      <c r="BF70" s="39"/>
      <c r="BG70" s="39"/>
      <c r="BH70" s="39"/>
      <c r="BI70" s="39"/>
      <c r="BJ70" s="39"/>
      <c r="BK70" s="40"/>
      <c r="BL70" s="173"/>
      <c r="BM70" s="174"/>
      <c r="BN70" s="175"/>
      <c r="BO70" s="180"/>
      <c r="BP70" s="174"/>
      <c r="BQ70" s="175"/>
      <c r="BR70" s="180"/>
      <c r="BS70" s="174"/>
      <c r="BT70" s="174"/>
      <c r="BU70" s="174"/>
      <c r="BV70" s="174"/>
      <c r="BW70" s="174"/>
      <c r="BX70" s="175"/>
      <c r="BY70" s="122"/>
      <c r="BZ70" s="123"/>
      <c r="CA70" s="123"/>
      <c r="CB70" s="124"/>
      <c r="CC70" s="122"/>
      <c r="CD70" s="123"/>
      <c r="CE70" s="123"/>
      <c r="CF70" s="215"/>
      <c r="CG70" s="2">
        <f>V218</f>
        <v>0</v>
      </c>
      <c r="CH70" s="2">
        <f t="shared" si="66"/>
        <v>0</v>
      </c>
      <c r="CI70" s="2">
        <f t="shared" si="67"/>
        <v>0</v>
      </c>
      <c r="CJ70" s="2">
        <f t="shared" si="67"/>
        <v>0</v>
      </c>
      <c r="CK70" s="2">
        <f t="shared" si="67"/>
        <v>0</v>
      </c>
      <c r="CL70" s="2" t="str">
        <f t="shared" si="67"/>
        <v/>
      </c>
      <c r="CM70" s="2" t="str">
        <f t="shared" si="67"/>
        <v/>
      </c>
      <c r="CN70" s="2">
        <f t="shared" si="67"/>
        <v>0</v>
      </c>
      <c r="CO70" s="2">
        <f t="shared" si="68"/>
        <v>0</v>
      </c>
      <c r="CP70" s="2">
        <f t="shared" si="68"/>
        <v>0</v>
      </c>
      <c r="CQ70" s="2">
        <f t="shared" si="68"/>
        <v>0</v>
      </c>
      <c r="CR70" s="2">
        <f t="shared" si="68"/>
        <v>0</v>
      </c>
      <c r="CS70" s="2">
        <f t="shared" si="68"/>
        <v>0</v>
      </c>
      <c r="CT70" s="2">
        <f t="shared" si="68"/>
        <v>0</v>
      </c>
      <c r="CU70" s="2">
        <f t="shared" si="68"/>
        <v>0</v>
      </c>
      <c r="CV70" s="2">
        <f t="shared" si="68"/>
        <v>0</v>
      </c>
      <c r="CW70" s="2">
        <f t="shared" si="68"/>
        <v>0</v>
      </c>
      <c r="CX70" s="2">
        <f t="shared" si="68"/>
        <v>0</v>
      </c>
      <c r="DF70" s="2">
        <f t="shared" si="72"/>
        <v>0</v>
      </c>
      <c r="DG70" s="2">
        <f t="shared" si="69"/>
        <v>0</v>
      </c>
      <c r="DH70" s="2">
        <f t="shared" si="69"/>
        <v>0</v>
      </c>
      <c r="DI70" s="2">
        <f t="shared" si="69"/>
        <v>0</v>
      </c>
      <c r="DJ70" s="2">
        <f t="shared" si="69"/>
        <v>0</v>
      </c>
      <c r="DK70" s="2">
        <f t="shared" si="69"/>
        <v>0</v>
      </c>
      <c r="DL70" s="2">
        <f t="shared" si="69"/>
        <v>0</v>
      </c>
      <c r="DM70" s="2">
        <f t="shared" si="69"/>
        <v>0</v>
      </c>
      <c r="DN70" s="2">
        <f t="shared" si="69"/>
        <v>0</v>
      </c>
      <c r="DO70" s="2">
        <f t="shared" si="69"/>
        <v>0</v>
      </c>
      <c r="DP70" s="2">
        <f t="shared" si="69"/>
        <v>0</v>
      </c>
      <c r="DQ70" s="2">
        <f t="shared" si="69"/>
        <v>0</v>
      </c>
      <c r="DR70" s="2">
        <f t="shared" si="73"/>
        <v>0</v>
      </c>
      <c r="DS70" s="2">
        <f t="shared" si="70"/>
        <v>0</v>
      </c>
      <c r="DT70" s="2">
        <f t="shared" si="70"/>
        <v>0</v>
      </c>
      <c r="DU70" s="2">
        <f t="shared" si="70"/>
        <v>0</v>
      </c>
      <c r="DV70" s="2">
        <f t="shared" si="70"/>
        <v>0</v>
      </c>
      <c r="DW70" s="2">
        <f t="shared" si="70"/>
        <v>0</v>
      </c>
      <c r="DX70" s="2">
        <f t="shared" si="70"/>
        <v>0</v>
      </c>
      <c r="DY70" s="2">
        <f t="shared" si="70"/>
        <v>0</v>
      </c>
      <c r="DZ70" s="2">
        <f t="shared" si="70"/>
        <v>0</v>
      </c>
      <c r="EA70" s="2">
        <f t="shared" si="70"/>
        <v>0</v>
      </c>
      <c r="EB70" s="2">
        <f t="shared" si="70"/>
        <v>0</v>
      </c>
      <c r="EC70" s="2">
        <f t="shared" si="70"/>
        <v>0</v>
      </c>
      <c r="ED70" s="2">
        <f t="shared" si="70"/>
        <v>0</v>
      </c>
      <c r="EE70" s="2">
        <f t="shared" si="70"/>
        <v>0</v>
      </c>
      <c r="EF70" s="2">
        <f t="shared" si="70"/>
        <v>0</v>
      </c>
      <c r="EG70" s="2">
        <f t="shared" si="70"/>
        <v>0</v>
      </c>
      <c r="EH70" s="2">
        <f t="shared" si="70"/>
        <v>0</v>
      </c>
      <c r="EI70" s="2">
        <f t="shared" si="70"/>
        <v>0</v>
      </c>
      <c r="EJ70" s="2">
        <f t="shared" si="70"/>
        <v>0</v>
      </c>
      <c r="EK70" s="2">
        <f t="shared" si="70"/>
        <v>0</v>
      </c>
      <c r="EL70" s="2">
        <f t="shared" si="70"/>
        <v>0</v>
      </c>
    </row>
    <row r="71" spans="22:142" ht="14.4" customHeight="1" x14ac:dyDescent="0.3">
      <c r="V71" s="36"/>
      <c r="W71" s="249"/>
      <c r="X71" s="250"/>
      <c r="Y71" s="37"/>
      <c r="Z71" s="38"/>
      <c r="AA71" s="38"/>
      <c r="AB71" s="38" t="str">
        <f t="shared" si="74"/>
        <v/>
      </c>
      <c r="AC71" s="38" t="str">
        <f t="shared" si="75"/>
        <v/>
      </c>
      <c r="AD71" s="247"/>
      <c r="AE71" s="248"/>
      <c r="AF71" s="39"/>
      <c r="AG71" s="39"/>
      <c r="AH71" s="39"/>
      <c r="AI71" s="39"/>
      <c r="AJ71" s="39"/>
      <c r="AK71" s="39"/>
      <c r="AL71" s="39"/>
      <c r="AM71" s="39"/>
      <c r="AN71" s="39"/>
      <c r="AO71" s="39"/>
      <c r="AP71" s="22"/>
      <c r="AQ71" s="100" t="str">
        <f t="shared" si="76"/>
        <v/>
      </c>
      <c r="AR71" s="287" t="str">
        <f t="shared" si="77"/>
        <v/>
      </c>
      <c r="AS71" s="288"/>
      <c r="AT71" s="37" t="str">
        <f t="shared" si="78"/>
        <v/>
      </c>
      <c r="AU71" s="37" t="str">
        <f t="shared" si="79"/>
        <v/>
      </c>
      <c r="AV71" s="37" t="str">
        <f t="shared" si="80"/>
        <v/>
      </c>
      <c r="AW71" s="38" t="str">
        <f t="shared" si="81"/>
        <v/>
      </c>
      <c r="AX71" s="38" t="str">
        <f t="shared" si="82"/>
        <v/>
      </c>
      <c r="AY71" s="38" t="str">
        <f t="shared" si="83"/>
        <v/>
      </c>
      <c r="AZ71" s="39"/>
      <c r="BA71" s="39"/>
      <c r="BB71" s="39"/>
      <c r="BC71" s="39"/>
      <c r="BD71" s="39"/>
      <c r="BE71" s="39"/>
      <c r="BF71" s="39"/>
      <c r="BG71" s="39"/>
      <c r="BH71" s="39"/>
      <c r="BI71" s="39"/>
      <c r="BJ71" s="39"/>
      <c r="BK71" s="40"/>
      <c r="BL71" s="173"/>
      <c r="BM71" s="174"/>
      <c r="BN71" s="175"/>
      <c r="BO71" s="180"/>
      <c r="BP71" s="174"/>
      <c r="BQ71" s="175"/>
      <c r="BR71" s="180"/>
      <c r="BS71" s="174"/>
      <c r="BT71" s="174"/>
      <c r="BU71" s="174"/>
      <c r="BV71" s="174"/>
      <c r="BW71" s="174"/>
      <c r="BX71" s="175"/>
      <c r="BY71" s="122"/>
      <c r="BZ71" s="123"/>
      <c r="CA71" s="123"/>
      <c r="CB71" s="124"/>
      <c r="CC71" s="122"/>
      <c r="CD71" s="123"/>
      <c r="CE71" s="123"/>
      <c r="CF71" s="215"/>
      <c r="CG71" s="2">
        <f>V255</f>
        <v>0</v>
      </c>
      <c r="CH71" s="2">
        <f t="shared" ref="CH71:CH82" si="84">W255</f>
        <v>0</v>
      </c>
      <c r="CI71" s="2">
        <f t="shared" ref="CI71:CN82" si="85">Y255</f>
        <v>0</v>
      </c>
      <c r="CJ71" s="2">
        <f t="shared" si="85"/>
        <v>0</v>
      </c>
      <c r="CK71" s="2">
        <f t="shared" si="85"/>
        <v>0</v>
      </c>
      <c r="CL71" s="2" t="str">
        <f t="shared" si="85"/>
        <v/>
      </c>
      <c r="CM71" s="2" t="str">
        <f t="shared" si="85"/>
        <v/>
      </c>
      <c r="CN71" s="2">
        <f t="shared" si="85"/>
        <v>0</v>
      </c>
      <c r="CO71" s="2">
        <f t="shared" ref="CO71:CX82" si="86">AF255</f>
        <v>0</v>
      </c>
      <c r="CP71" s="2">
        <f t="shared" si="86"/>
        <v>0</v>
      </c>
      <c r="CQ71" s="2">
        <f t="shared" si="86"/>
        <v>0</v>
      </c>
      <c r="CR71" s="2">
        <f t="shared" si="86"/>
        <v>0</v>
      </c>
      <c r="CS71" s="2">
        <f t="shared" si="86"/>
        <v>0</v>
      </c>
      <c r="CT71" s="2">
        <f t="shared" si="86"/>
        <v>0</v>
      </c>
      <c r="CU71" s="2">
        <f t="shared" si="86"/>
        <v>0</v>
      </c>
      <c r="CV71" s="2">
        <f t="shared" si="86"/>
        <v>0</v>
      </c>
      <c r="CW71" s="2">
        <f t="shared" si="86"/>
        <v>0</v>
      </c>
      <c r="CX71" s="2">
        <f t="shared" si="86"/>
        <v>0</v>
      </c>
      <c r="DF71" s="2">
        <f>AZ254</f>
        <v>0</v>
      </c>
      <c r="DG71" s="2">
        <f t="shared" ref="DG71:DQ82" si="87">BA254</f>
        <v>0</v>
      </c>
      <c r="DH71" s="2">
        <f t="shared" si="87"/>
        <v>0</v>
      </c>
      <c r="DI71" s="2">
        <f t="shared" si="87"/>
        <v>0</v>
      </c>
      <c r="DJ71" s="2">
        <f t="shared" si="87"/>
        <v>0</v>
      </c>
      <c r="DK71" s="2">
        <f t="shared" si="87"/>
        <v>0</v>
      </c>
      <c r="DL71" s="2">
        <f t="shared" si="87"/>
        <v>0</v>
      </c>
      <c r="DM71" s="2">
        <f t="shared" si="87"/>
        <v>0</v>
      </c>
      <c r="DN71" s="2">
        <f t="shared" si="87"/>
        <v>0</v>
      </c>
      <c r="DO71" s="2">
        <f t="shared" si="87"/>
        <v>0</v>
      </c>
      <c r="DP71" s="2">
        <f t="shared" si="87"/>
        <v>0</v>
      </c>
      <c r="DQ71" s="2">
        <f t="shared" si="87"/>
        <v>0</v>
      </c>
      <c r="DR71" s="2">
        <f>AQ267</f>
        <v>0</v>
      </c>
      <c r="DS71" s="2">
        <f t="shared" ref="DS71:EL82" si="88">AR267</f>
        <v>0</v>
      </c>
      <c r="DT71" s="2">
        <f t="shared" si="88"/>
        <v>0</v>
      </c>
      <c r="DU71" s="2">
        <f t="shared" si="88"/>
        <v>0</v>
      </c>
      <c r="DV71" s="2">
        <f t="shared" si="88"/>
        <v>0</v>
      </c>
      <c r="DW71" s="2">
        <f t="shared" si="88"/>
        <v>0</v>
      </c>
      <c r="DX71" s="2">
        <f t="shared" si="88"/>
        <v>0</v>
      </c>
      <c r="DY71" s="2">
        <f t="shared" si="88"/>
        <v>0</v>
      </c>
      <c r="DZ71" s="2">
        <f t="shared" si="88"/>
        <v>0</v>
      </c>
      <c r="EA71" s="2">
        <f t="shared" si="88"/>
        <v>0</v>
      </c>
      <c r="EB71" s="2">
        <f t="shared" si="88"/>
        <v>0</v>
      </c>
      <c r="EC71" s="2">
        <f t="shared" si="88"/>
        <v>0</v>
      </c>
      <c r="ED71" s="2">
        <f t="shared" si="88"/>
        <v>0</v>
      </c>
      <c r="EE71" s="2">
        <f t="shared" si="88"/>
        <v>0</v>
      </c>
      <c r="EF71" s="2">
        <f t="shared" si="88"/>
        <v>0</v>
      </c>
      <c r="EG71" s="2">
        <f t="shared" si="88"/>
        <v>0</v>
      </c>
      <c r="EH71" s="2">
        <f t="shared" si="88"/>
        <v>0</v>
      </c>
      <c r="EI71" s="2">
        <f t="shared" si="88"/>
        <v>0</v>
      </c>
      <c r="EJ71" s="2">
        <f t="shared" si="88"/>
        <v>0</v>
      </c>
      <c r="EK71" s="2">
        <f t="shared" si="88"/>
        <v>0</v>
      </c>
      <c r="EL71" s="2">
        <f t="shared" si="88"/>
        <v>0</v>
      </c>
    </row>
    <row r="72" spans="22:142" ht="14.4" customHeight="1" x14ac:dyDescent="0.3">
      <c r="V72" s="36"/>
      <c r="W72" s="249"/>
      <c r="X72" s="250"/>
      <c r="Y72" s="37"/>
      <c r="Z72" s="38"/>
      <c r="AA72" s="38"/>
      <c r="AB72" s="38" t="str">
        <f t="shared" si="74"/>
        <v/>
      </c>
      <c r="AC72" s="38" t="str">
        <f t="shared" si="75"/>
        <v/>
      </c>
      <c r="AD72" s="247"/>
      <c r="AE72" s="248"/>
      <c r="AF72" s="39"/>
      <c r="AG72" s="39"/>
      <c r="AH72" s="39"/>
      <c r="AI72" s="39"/>
      <c r="AJ72" s="39"/>
      <c r="AK72" s="39"/>
      <c r="AL72" s="39"/>
      <c r="AM72" s="39"/>
      <c r="AN72" s="39"/>
      <c r="AO72" s="39"/>
      <c r="AP72" s="22"/>
      <c r="AQ72" s="100" t="str">
        <f t="shared" si="76"/>
        <v/>
      </c>
      <c r="AR72" s="287" t="str">
        <f t="shared" si="77"/>
        <v/>
      </c>
      <c r="AS72" s="288"/>
      <c r="AT72" s="37" t="str">
        <f t="shared" si="78"/>
        <v/>
      </c>
      <c r="AU72" s="37" t="str">
        <f t="shared" si="79"/>
        <v/>
      </c>
      <c r="AV72" s="37" t="str">
        <f t="shared" si="80"/>
        <v/>
      </c>
      <c r="AW72" s="38" t="str">
        <f t="shared" si="81"/>
        <v/>
      </c>
      <c r="AX72" s="38" t="str">
        <f t="shared" si="82"/>
        <v/>
      </c>
      <c r="AY72" s="38" t="str">
        <f t="shared" si="83"/>
        <v/>
      </c>
      <c r="AZ72" s="39"/>
      <c r="BA72" s="39"/>
      <c r="BB72" s="39"/>
      <c r="BC72" s="39"/>
      <c r="BD72" s="39"/>
      <c r="BE72" s="39"/>
      <c r="BF72" s="39"/>
      <c r="BG72" s="39"/>
      <c r="BH72" s="39"/>
      <c r="BI72" s="39"/>
      <c r="BJ72" s="39"/>
      <c r="BK72" s="40"/>
      <c r="BL72" s="173"/>
      <c r="BM72" s="174"/>
      <c r="BN72" s="175"/>
      <c r="BO72" s="180"/>
      <c r="BP72" s="174"/>
      <c r="BQ72" s="175"/>
      <c r="BR72" s="180"/>
      <c r="BS72" s="174"/>
      <c r="BT72" s="174"/>
      <c r="BU72" s="174"/>
      <c r="BV72" s="174"/>
      <c r="BW72" s="174"/>
      <c r="BX72" s="175"/>
      <c r="BY72" s="122"/>
      <c r="BZ72" s="123"/>
      <c r="CA72" s="123"/>
      <c r="CB72" s="124"/>
      <c r="CC72" s="122"/>
      <c r="CD72" s="123"/>
      <c r="CE72" s="123"/>
      <c r="CF72" s="215"/>
      <c r="CG72" s="2">
        <f t="shared" ref="CG72:CG82" si="89">V256</f>
        <v>0</v>
      </c>
      <c r="CH72" s="2">
        <f t="shared" si="84"/>
        <v>0</v>
      </c>
      <c r="CI72" s="2">
        <f t="shared" si="85"/>
        <v>0</v>
      </c>
      <c r="CJ72" s="2">
        <f t="shared" si="85"/>
        <v>0</v>
      </c>
      <c r="CK72" s="2">
        <f t="shared" si="85"/>
        <v>0</v>
      </c>
      <c r="CL72" s="2" t="str">
        <f t="shared" si="85"/>
        <v/>
      </c>
      <c r="CM72" s="2" t="str">
        <f t="shared" si="85"/>
        <v/>
      </c>
      <c r="CN72" s="2">
        <f t="shared" si="85"/>
        <v>0</v>
      </c>
      <c r="CO72" s="2">
        <f t="shared" si="86"/>
        <v>0</v>
      </c>
      <c r="CP72" s="2">
        <f t="shared" si="86"/>
        <v>0</v>
      </c>
      <c r="CQ72" s="2">
        <f t="shared" si="86"/>
        <v>0</v>
      </c>
      <c r="CR72" s="2">
        <f t="shared" si="86"/>
        <v>0</v>
      </c>
      <c r="CS72" s="2">
        <f t="shared" si="86"/>
        <v>0</v>
      </c>
      <c r="CT72" s="2">
        <f t="shared" si="86"/>
        <v>0</v>
      </c>
      <c r="CU72" s="2">
        <f t="shared" si="86"/>
        <v>0</v>
      </c>
      <c r="CV72" s="2">
        <f t="shared" si="86"/>
        <v>0</v>
      </c>
      <c r="CW72" s="2">
        <f t="shared" si="86"/>
        <v>0</v>
      </c>
      <c r="CX72" s="2">
        <f t="shared" si="86"/>
        <v>0</v>
      </c>
      <c r="DF72" s="2">
        <f t="shared" ref="DF72:DF82" si="90">AZ255</f>
        <v>0</v>
      </c>
      <c r="DG72" s="2">
        <f t="shared" si="87"/>
        <v>0</v>
      </c>
      <c r="DH72" s="2">
        <f t="shared" si="87"/>
        <v>0</v>
      </c>
      <c r="DI72" s="2">
        <f t="shared" si="87"/>
        <v>0</v>
      </c>
      <c r="DJ72" s="2">
        <f t="shared" si="87"/>
        <v>0</v>
      </c>
      <c r="DK72" s="2">
        <f t="shared" si="87"/>
        <v>0</v>
      </c>
      <c r="DL72" s="2">
        <f t="shared" si="87"/>
        <v>0</v>
      </c>
      <c r="DM72" s="2">
        <f t="shared" si="87"/>
        <v>0</v>
      </c>
      <c r="DN72" s="2">
        <f t="shared" si="87"/>
        <v>0</v>
      </c>
      <c r="DO72" s="2">
        <f t="shared" si="87"/>
        <v>0</v>
      </c>
      <c r="DP72" s="2">
        <f t="shared" si="87"/>
        <v>0</v>
      </c>
      <c r="DQ72" s="2">
        <f t="shared" si="87"/>
        <v>0</v>
      </c>
      <c r="DR72" s="2">
        <f t="shared" ref="DR72:DR82" si="91">AQ268</f>
        <v>0</v>
      </c>
      <c r="DS72" s="2">
        <f t="shared" si="88"/>
        <v>0</v>
      </c>
      <c r="DT72" s="2">
        <f t="shared" si="88"/>
        <v>0</v>
      </c>
      <c r="DU72" s="2">
        <f t="shared" si="88"/>
        <v>0</v>
      </c>
      <c r="DV72" s="2">
        <f t="shared" si="88"/>
        <v>0</v>
      </c>
      <c r="DW72" s="2">
        <f t="shared" si="88"/>
        <v>0</v>
      </c>
      <c r="DX72" s="2">
        <f t="shared" si="88"/>
        <v>0</v>
      </c>
      <c r="DY72" s="2">
        <f t="shared" si="88"/>
        <v>0</v>
      </c>
      <c r="DZ72" s="2">
        <f t="shared" si="88"/>
        <v>0</v>
      </c>
      <c r="EA72" s="2">
        <f t="shared" si="88"/>
        <v>0</v>
      </c>
      <c r="EB72" s="2">
        <f t="shared" si="88"/>
        <v>0</v>
      </c>
      <c r="EC72" s="2">
        <f t="shared" si="88"/>
        <v>0</v>
      </c>
      <c r="ED72" s="2">
        <f t="shared" si="88"/>
        <v>0</v>
      </c>
      <c r="EE72" s="2">
        <f t="shared" si="88"/>
        <v>0</v>
      </c>
      <c r="EF72" s="2">
        <f t="shared" si="88"/>
        <v>0</v>
      </c>
      <c r="EG72" s="2">
        <f t="shared" si="88"/>
        <v>0</v>
      </c>
      <c r="EH72" s="2">
        <f t="shared" si="88"/>
        <v>0</v>
      </c>
      <c r="EI72" s="2">
        <f t="shared" si="88"/>
        <v>0</v>
      </c>
      <c r="EJ72" s="2">
        <f t="shared" si="88"/>
        <v>0</v>
      </c>
      <c r="EK72" s="2">
        <f t="shared" si="88"/>
        <v>0</v>
      </c>
      <c r="EL72" s="2">
        <f t="shared" si="88"/>
        <v>0</v>
      </c>
    </row>
    <row r="73" spans="22:142" ht="14.4" customHeight="1" x14ac:dyDescent="0.3">
      <c r="V73" s="36"/>
      <c r="W73" s="249"/>
      <c r="X73" s="250"/>
      <c r="Y73" s="37"/>
      <c r="Z73" s="38"/>
      <c r="AA73" s="38"/>
      <c r="AB73" s="38" t="str">
        <f t="shared" si="74"/>
        <v/>
      </c>
      <c r="AC73" s="38" t="str">
        <f t="shared" si="75"/>
        <v/>
      </c>
      <c r="AD73" s="247"/>
      <c r="AE73" s="248"/>
      <c r="AF73" s="39"/>
      <c r="AG73" s="39"/>
      <c r="AH73" s="39"/>
      <c r="AI73" s="39"/>
      <c r="AJ73" s="39"/>
      <c r="AK73" s="39"/>
      <c r="AL73" s="39"/>
      <c r="AM73" s="39"/>
      <c r="AN73" s="39"/>
      <c r="AO73" s="39"/>
      <c r="AP73" s="22"/>
      <c r="AQ73" s="100" t="str">
        <f t="shared" si="76"/>
        <v/>
      </c>
      <c r="AR73" s="287" t="str">
        <f t="shared" si="77"/>
        <v/>
      </c>
      <c r="AS73" s="288"/>
      <c r="AT73" s="37" t="str">
        <f t="shared" si="78"/>
        <v/>
      </c>
      <c r="AU73" s="37" t="str">
        <f t="shared" si="79"/>
        <v/>
      </c>
      <c r="AV73" s="37" t="str">
        <f t="shared" si="80"/>
        <v/>
      </c>
      <c r="AW73" s="38" t="str">
        <f t="shared" si="81"/>
        <v/>
      </c>
      <c r="AX73" s="38" t="str">
        <f t="shared" si="82"/>
        <v/>
      </c>
      <c r="AY73" s="38" t="str">
        <f t="shared" si="83"/>
        <v/>
      </c>
      <c r="AZ73" s="39"/>
      <c r="BA73" s="39"/>
      <c r="BB73" s="39"/>
      <c r="BC73" s="39"/>
      <c r="BD73" s="39"/>
      <c r="BE73" s="39"/>
      <c r="BF73" s="39"/>
      <c r="BG73" s="39"/>
      <c r="BH73" s="39"/>
      <c r="BI73" s="39"/>
      <c r="BJ73" s="39"/>
      <c r="BK73" s="40"/>
      <c r="BL73" s="173"/>
      <c r="BM73" s="174"/>
      <c r="BN73" s="175"/>
      <c r="BO73" s="180"/>
      <c r="BP73" s="174"/>
      <c r="BQ73" s="175"/>
      <c r="BR73" s="180"/>
      <c r="BS73" s="174"/>
      <c r="BT73" s="174"/>
      <c r="BU73" s="174"/>
      <c r="BV73" s="174"/>
      <c r="BW73" s="174"/>
      <c r="BX73" s="175"/>
      <c r="BY73" s="122"/>
      <c r="BZ73" s="123"/>
      <c r="CA73" s="123"/>
      <c r="CB73" s="124"/>
      <c r="CC73" s="122"/>
      <c r="CD73" s="123"/>
      <c r="CE73" s="123"/>
      <c r="CF73" s="215"/>
      <c r="CG73" s="2">
        <f t="shared" si="89"/>
        <v>0</v>
      </c>
      <c r="CH73" s="2">
        <f t="shared" si="84"/>
        <v>0</v>
      </c>
      <c r="CI73" s="2">
        <f t="shared" si="85"/>
        <v>0</v>
      </c>
      <c r="CJ73" s="2">
        <f t="shared" si="85"/>
        <v>0</v>
      </c>
      <c r="CK73" s="2">
        <f t="shared" si="85"/>
        <v>0</v>
      </c>
      <c r="CL73" s="2" t="str">
        <f t="shared" si="85"/>
        <v/>
      </c>
      <c r="CM73" s="2" t="str">
        <f t="shared" si="85"/>
        <v/>
      </c>
      <c r="CN73" s="2">
        <f t="shared" si="85"/>
        <v>0</v>
      </c>
      <c r="CO73" s="2">
        <f t="shared" si="86"/>
        <v>0</v>
      </c>
      <c r="CP73" s="2">
        <f t="shared" si="86"/>
        <v>0</v>
      </c>
      <c r="CQ73" s="2">
        <f t="shared" si="86"/>
        <v>0</v>
      </c>
      <c r="CR73" s="2">
        <f t="shared" si="86"/>
        <v>0</v>
      </c>
      <c r="CS73" s="2">
        <f t="shared" si="86"/>
        <v>0</v>
      </c>
      <c r="CT73" s="2">
        <f t="shared" si="86"/>
        <v>0</v>
      </c>
      <c r="CU73" s="2">
        <f t="shared" si="86"/>
        <v>0</v>
      </c>
      <c r="CV73" s="2">
        <f t="shared" si="86"/>
        <v>0</v>
      </c>
      <c r="CW73" s="2">
        <f t="shared" si="86"/>
        <v>0</v>
      </c>
      <c r="CX73" s="2">
        <f t="shared" si="86"/>
        <v>0</v>
      </c>
      <c r="DF73" s="2">
        <f t="shared" si="90"/>
        <v>0</v>
      </c>
      <c r="DG73" s="2">
        <f t="shared" si="87"/>
        <v>0</v>
      </c>
      <c r="DH73" s="2">
        <f t="shared" si="87"/>
        <v>0</v>
      </c>
      <c r="DI73" s="2">
        <f t="shared" si="87"/>
        <v>0</v>
      </c>
      <c r="DJ73" s="2">
        <f t="shared" si="87"/>
        <v>0</v>
      </c>
      <c r="DK73" s="2">
        <f t="shared" si="87"/>
        <v>0</v>
      </c>
      <c r="DL73" s="2">
        <f t="shared" si="87"/>
        <v>0</v>
      </c>
      <c r="DM73" s="2">
        <f t="shared" si="87"/>
        <v>0</v>
      </c>
      <c r="DN73" s="2">
        <f t="shared" si="87"/>
        <v>0</v>
      </c>
      <c r="DO73" s="2">
        <f t="shared" si="87"/>
        <v>0</v>
      </c>
      <c r="DP73" s="2">
        <f t="shared" si="87"/>
        <v>0</v>
      </c>
      <c r="DQ73" s="2">
        <f t="shared" si="87"/>
        <v>0</v>
      </c>
      <c r="DR73" s="2">
        <f t="shared" si="91"/>
        <v>0</v>
      </c>
      <c r="DS73" s="2">
        <f t="shared" si="88"/>
        <v>0</v>
      </c>
      <c r="DT73" s="2">
        <f t="shared" si="88"/>
        <v>0</v>
      </c>
      <c r="DU73" s="2">
        <f t="shared" si="88"/>
        <v>0</v>
      </c>
      <c r="DV73" s="2">
        <f t="shared" si="88"/>
        <v>0</v>
      </c>
      <c r="DW73" s="2">
        <f t="shared" si="88"/>
        <v>0</v>
      </c>
      <c r="DX73" s="2">
        <f t="shared" si="88"/>
        <v>0</v>
      </c>
      <c r="DY73" s="2">
        <f t="shared" si="88"/>
        <v>0</v>
      </c>
      <c r="DZ73" s="2">
        <f t="shared" si="88"/>
        <v>0</v>
      </c>
      <c r="EA73" s="2">
        <f t="shared" si="88"/>
        <v>0</v>
      </c>
      <c r="EB73" s="2">
        <f t="shared" si="88"/>
        <v>0</v>
      </c>
      <c r="EC73" s="2">
        <f t="shared" si="88"/>
        <v>0</v>
      </c>
      <c r="ED73" s="2">
        <f t="shared" si="88"/>
        <v>0</v>
      </c>
      <c r="EE73" s="2">
        <f t="shared" si="88"/>
        <v>0</v>
      </c>
      <c r="EF73" s="2">
        <f t="shared" si="88"/>
        <v>0</v>
      </c>
      <c r="EG73" s="2">
        <f t="shared" si="88"/>
        <v>0</v>
      </c>
      <c r="EH73" s="2">
        <f t="shared" si="88"/>
        <v>0</v>
      </c>
      <c r="EI73" s="2">
        <f t="shared" si="88"/>
        <v>0</v>
      </c>
      <c r="EJ73" s="2">
        <f t="shared" si="88"/>
        <v>0</v>
      </c>
      <c r="EK73" s="2">
        <f t="shared" si="88"/>
        <v>0</v>
      </c>
      <c r="EL73" s="2">
        <f t="shared" si="88"/>
        <v>0</v>
      </c>
    </row>
    <row r="74" spans="22:142" ht="14.4" customHeight="1" x14ac:dyDescent="0.3">
      <c r="V74" s="36"/>
      <c r="W74" s="249"/>
      <c r="X74" s="250"/>
      <c r="Y74" s="37"/>
      <c r="Z74" s="38"/>
      <c r="AA74" s="38"/>
      <c r="AB74" s="38" t="str">
        <f t="shared" si="74"/>
        <v/>
      </c>
      <c r="AC74" s="38" t="str">
        <f t="shared" si="75"/>
        <v/>
      </c>
      <c r="AD74" s="247"/>
      <c r="AE74" s="248"/>
      <c r="AF74" s="39"/>
      <c r="AG74" s="39"/>
      <c r="AH74" s="39"/>
      <c r="AI74" s="39"/>
      <c r="AJ74" s="39"/>
      <c r="AK74" s="39"/>
      <c r="AL74" s="39"/>
      <c r="AM74" s="39"/>
      <c r="AN74" s="39"/>
      <c r="AO74" s="39"/>
      <c r="AP74" s="22"/>
      <c r="AQ74" s="318" t="s">
        <v>73</v>
      </c>
      <c r="AR74" s="318"/>
      <c r="AS74" s="318"/>
      <c r="AT74" s="317" t="s">
        <v>74</v>
      </c>
      <c r="AU74" s="318"/>
      <c r="AV74" s="318"/>
      <c r="AW74" s="317" t="s">
        <v>75</v>
      </c>
      <c r="AX74" s="318"/>
      <c r="AY74" s="319"/>
      <c r="AZ74" s="241" t="s">
        <v>76</v>
      </c>
      <c r="BA74" s="242"/>
      <c r="BB74" s="242"/>
      <c r="BC74" s="241" t="s">
        <v>77</v>
      </c>
      <c r="BD74" s="242"/>
      <c r="BE74" s="242"/>
      <c r="BF74" s="241" t="s">
        <v>78</v>
      </c>
      <c r="BG74" s="242"/>
      <c r="BH74" s="242"/>
      <c r="BI74" s="241" t="s">
        <v>79</v>
      </c>
      <c r="BJ74" s="242"/>
      <c r="BK74" s="243"/>
      <c r="BL74" s="173"/>
      <c r="BM74" s="174"/>
      <c r="BN74" s="175"/>
      <c r="BO74" s="180"/>
      <c r="BP74" s="174"/>
      <c r="BQ74" s="175"/>
      <c r="BR74" s="180"/>
      <c r="BS74" s="174"/>
      <c r="BT74" s="174"/>
      <c r="BU74" s="174"/>
      <c r="BV74" s="174"/>
      <c r="BW74" s="174"/>
      <c r="BX74" s="175"/>
      <c r="BY74" s="122"/>
      <c r="BZ74" s="123"/>
      <c r="CA74" s="123"/>
      <c r="CB74" s="124"/>
      <c r="CC74" s="122"/>
      <c r="CD74" s="123"/>
      <c r="CE74" s="123"/>
      <c r="CF74" s="215"/>
      <c r="CG74" s="2">
        <f t="shared" si="89"/>
        <v>0</v>
      </c>
      <c r="CH74" s="2">
        <f t="shared" si="84"/>
        <v>0</v>
      </c>
      <c r="CI74" s="2">
        <f t="shared" si="85"/>
        <v>0</v>
      </c>
      <c r="CJ74" s="2">
        <f t="shared" si="85"/>
        <v>0</v>
      </c>
      <c r="CK74" s="2">
        <f t="shared" si="85"/>
        <v>0</v>
      </c>
      <c r="CL74" s="2" t="str">
        <f t="shared" si="85"/>
        <v/>
      </c>
      <c r="CM74" s="2" t="str">
        <f t="shared" si="85"/>
        <v/>
      </c>
      <c r="CN74" s="2">
        <f t="shared" si="85"/>
        <v>0</v>
      </c>
      <c r="CO74" s="2">
        <f t="shared" si="86"/>
        <v>0</v>
      </c>
      <c r="CP74" s="2">
        <f t="shared" si="86"/>
        <v>0</v>
      </c>
      <c r="CQ74" s="2">
        <f t="shared" si="86"/>
        <v>0</v>
      </c>
      <c r="CR74" s="2">
        <f t="shared" si="86"/>
        <v>0</v>
      </c>
      <c r="CS74" s="2">
        <f t="shared" si="86"/>
        <v>0</v>
      </c>
      <c r="CT74" s="2">
        <f t="shared" si="86"/>
        <v>0</v>
      </c>
      <c r="CU74" s="2">
        <f t="shared" si="86"/>
        <v>0</v>
      </c>
      <c r="CV74" s="2">
        <f t="shared" si="86"/>
        <v>0</v>
      </c>
      <c r="CW74" s="2">
        <f t="shared" si="86"/>
        <v>0</v>
      </c>
      <c r="CX74" s="2">
        <f t="shared" si="86"/>
        <v>0</v>
      </c>
      <c r="DF74" s="2">
        <f t="shared" si="90"/>
        <v>0</v>
      </c>
      <c r="DG74" s="2">
        <f t="shared" si="87"/>
        <v>0</v>
      </c>
      <c r="DH74" s="2">
        <f t="shared" si="87"/>
        <v>0</v>
      </c>
      <c r="DI74" s="2">
        <f t="shared" si="87"/>
        <v>0</v>
      </c>
      <c r="DJ74" s="2">
        <f t="shared" si="87"/>
        <v>0</v>
      </c>
      <c r="DK74" s="2">
        <f t="shared" si="87"/>
        <v>0</v>
      </c>
      <c r="DL74" s="2">
        <f t="shared" si="87"/>
        <v>0</v>
      </c>
      <c r="DM74" s="2">
        <f t="shared" si="87"/>
        <v>0</v>
      </c>
      <c r="DN74" s="2">
        <f t="shared" si="87"/>
        <v>0</v>
      </c>
      <c r="DO74" s="2">
        <f t="shared" si="87"/>
        <v>0</v>
      </c>
      <c r="DP74" s="2">
        <f t="shared" si="87"/>
        <v>0</v>
      </c>
      <c r="DQ74" s="2">
        <f t="shared" si="87"/>
        <v>0</v>
      </c>
      <c r="DR74" s="2">
        <f t="shared" si="91"/>
        <v>0</v>
      </c>
      <c r="DS74" s="2">
        <f t="shared" si="88"/>
        <v>0</v>
      </c>
      <c r="DT74" s="2">
        <f t="shared" si="88"/>
        <v>0</v>
      </c>
      <c r="DU74" s="2">
        <f t="shared" si="88"/>
        <v>0</v>
      </c>
      <c r="DV74" s="2">
        <f t="shared" si="88"/>
        <v>0</v>
      </c>
      <c r="DW74" s="2">
        <f t="shared" si="88"/>
        <v>0</v>
      </c>
      <c r="DX74" s="2">
        <f t="shared" si="88"/>
        <v>0</v>
      </c>
      <c r="DY74" s="2">
        <f t="shared" si="88"/>
        <v>0</v>
      </c>
      <c r="DZ74" s="2">
        <f t="shared" si="88"/>
        <v>0</v>
      </c>
      <c r="EA74" s="2">
        <f t="shared" si="88"/>
        <v>0</v>
      </c>
      <c r="EB74" s="2">
        <f t="shared" si="88"/>
        <v>0</v>
      </c>
      <c r="EC74" s="2">
        <f t="shared" si="88"/>
        <v>0</v>
      </c>
      <c r="ED74" s="2">
        <f t="shared" si="88"/>
        <v>0</v>
      </c>
      <c r="EE74" s="2">
        <f t="shared" si="88"/>
        <v>0</v>
      </c>
      <c r="EF74" s="2">
        <f t="shared" si="88"/>
        <v>0</v>
      </c>
      <c r="EG74" s="2">
        <f t="shared" si="88"/>
        <v>0</v>
      </c>
      <c r="EH74" s="2">
        <f t="shared" si="88"/>
        <v>0</v>
      </c>
      <c r="EI74" s="2">
        <f t="shared" si="88"/>
        <v>0</v>
      </c>
      <c r="EJ74" s="2">
        <f t="shared" si="88"/>
        <v>0</v>
      </c>
      <c r="EK74" s="2">
        <f t="shared" si="88"/>
        <v>0</v>
      </c>
      <c r="EL74" s="2">
        <f t="shared" si="88"/>
        <v>0</v>
      </c>
    </row>
    <row r="75" spans="22:142" ht="14.4" customHeight="1" x14ac:dyDescent="0.3">
      <c r="V75" s="353" t="s">
        <v>113</v>
      </c>
      <c r="W75" s="222"/>
      <c r="X75" s="222"/>
      <c r="Y75" s="222"/>
      <c r="Z75" s="222"/>
      <c r="AA75" s="222"/>
      <c r="AB75" s="222"/>
      <c r="AC75" s="222"/>
      <c r="AD75" s="222"/>
      <c r="AE75" s="250"/>
      <c r="AP75" s="22"/>
      <c r="AQ75" s="101"/>
      <c r="AR75" s="39"/>
      <c r="AS75" s="39"/>
      <c r="AT75" s="39"/>
      <c r="AU75" s="39"/>
      <c r="AV75" s="39"/>
      <c r="AW75" s="39"/>
      <c r="AX75" s="39"/>
      <c r="AY75" s="39"/>
      <c r="AZ75" s="39"/>
      <c r="BA75" s="39"/>
      <c r="BB75" s="39"/>
      <c r="BC75" s="39"/>
      <c r="BD75" s="39"/>
      <c r="BE75" s="39"/>
      <c r="BF75" s="39"/>
      <c r="BG75" s="39"/>
      <c r="BH75" s="39"/>
      <c r="BI75" s="39"/>
      <c r="BJ75" s="39"/>
      <c r="BK75" s="40"/>
      <c r="BL75" s="173"/>
      <c r="BM75" s="174"/>
      <c r="BN75" s="175"/>
      <c r="BO75" s="180"/>
      <c r="BP75" s="174"/>
      <c r="BQ75" s="175"/>
      <c r="BR75" s="180"/>
      <c r="BS75" s="174"/>
      <c r="BT75" s="174"/>
      <c r="BU75" s="174"/>
      <c r="BV75" s="174"/>
      <c r="BW75" s="174"/>
      <c r="BX75" s="175"/>
      <c r="BY75" s="122"/>
      <c r="BZ75" s="123"/>
      <c r="CA75" s="123"/>
      <c r="CB75" s="124"/>
      <c r="CC75" s="125"/>
      <c r="CD75" s="126"/>
      <c r="CE75" s="126"/>
      <c r="CF75" s="216"/>
      <c r="CG75" s="2">
        <f t="shared" si="89"/>
        <v>0</v>
      </c>
      <c r="CH75" s="2">
        <f t="shared" si="84"/>
        <v>0</v>
      </c>
      <c r="CI75" s="2">
        <f t="shared" si="85"/>
        <v>0</v>
      </c>
      <c r="CJ75" s="2">
        <f t="shared" si="85"/>
        <v>0</v>
      </c>
      <c r="CK75" s="2">
        <f t="shared" si="85"/>
        <v>0</v>
      </c>
      <c r="CL75" s="2" t="str">
        <f t="shared" si="85"/>
        <v/>
      </c>
      <c r="CM75" s="2" t="str">
        <f t="shared" si="85"/>
        <v/>
      </c>
      <c r="CN75" s="2">
        <f t="shared" si="85"/>
        <v>0</v>
      </c>
      <c r="CO75" s="2">
        <f t="shared" si="86"/>
        <v>0</v>
      </c>
      <c r="CP75" s="2">
        <f t="shared" si="86"/>
        <v>0</v>
      </c>
      <c r="CQ75" s="2">
        <f t="shared" si="86"/>
        <v>0</v>
      </c>
      <c r="CR75" s="2">
        <f t="shared" si="86"/>
        <v>0</v>
      </c>
      <c r="CS75" s="2">
        <f t="shared" si="86"/>
        <v>0</v>
      </c>
      <c r="CT75" s="2">
        <f t="shared" si="86"/>
        <v>0</v>
      </c>
      <c r="CU75" s="2">
        <f t="shared" si="86"/>
        <v>0</v>
      </c>
      <c r="CV75" s="2">
        <f t="shared" si="86"/>
        <v>0</v>
      </c>
      <c r="CW75" s="2">
        <f t="shared" si="86"/>
        <v>0</v>
      </c>
      <c r="CX75" s="2">
        <f t="shared" si="86"/>
        <v>0</v>
      </c>
      <c r="DF75" s="2">
        <f t="shared" si="90"/>
        <v>0</v>
      </c>
      <c r="DG75" s="2">
        <f t="shared" si="87"/>
        <v>0</v>
      </c>
      <c r="DH75" s="2">
        <f t="shared" si="87"/>
        <v>0</v>
      </c>
      <c r="DI75" s="2">
        <f t="shared" si="87"/>
        <v>0</v>
      </c>
      <c r="DJ75" s="2">
        <f t="shared" si="87"/>
        <v>0</v>
      </c>
      <c r="DK75" s="2">
        <f t="shared" si="87"/>
        <v>0</v>
      </c>
      <c r="DL75" s="2">
        <f t="shared" si="87"/>
        <v>0</v>
      </c>
      <c r="DM75" s="2">
        <f t="shared" si="87"/>
        <v>0</v>
      </c>
      <c r="DN75" s="2">
        <f t="shared" si="87"/>
        <v>0</v>
      </c>
      <c r="DO75" s="2">
        <f t="shared" si="87"/>
        <v>0</v>
      </c>
      <c r="DP75" s="2">
        <f t="shared" si="87"/>
        <v>0</v>
      </c>
      <c r="DQ75" s="2">
        <f t="shared" si="87"/>
        <v>0</v>
      </c>
      <c r="DR75" s="2">
        <f t="shared" si="91"/>
        <v>0</v>
      </c>
      <c r="DS75" s="2">
        <f t="shared" si="88"/>
        <v>0</v>
      </c>
      <c r="DT75" s="2">
        <f t="shared" si="88"/>
        <v>0</v>
      </c>
      <c r="DU75" s="2">
        <f t="shared" si="88"/>
        <v>0</v>
      </c>
      <c r="DV75" s="2">
        <f t="shared" si="88"/>
        <v>0</v>
      </c>
      <c r="DW75" s="2">
        <f t="shared" si="88"/>
        <v>0</v>
      </c>
      <c r="DX75" s="2">
        <f t="shared" si="88"/>
        <v>0</v>
      </c>
      <c r="DY75" s="2">
        <f t="shared" si="88"/>
        <v>0</v>
      </c>
      <c r="DZ75" s="2">
        <f t="shared" si="88"/>
        <v>0</v>
      </c>
      <c r="EA75" s="2">
        <f t="shared" si="88"/>
        <v>0</v>
      </c>
      <c r="EB75" s="2">
        <f t="shared" si="88"/>
        <v>0</v>
      </c>
      <c r="EC75" s="2">
        <f t="shared" si="88"/>
        <v>0</v>
      </c>
      <c r="ED75" s="2">
        <f t="shared" si="88"/>
        <v>0</v>
      </c>
      <c r="EE75" s="2">
        <f t="shared" si="88"/>
        <v>0</v>
      </c>
      <c r="EF75" s="2">
        <f t="shared" si="88"/>
        <v>0</v>
      </c>
      <c r="EG75" s="2">
        <f t="shared" si="88"/>
        <v>0</v>
      </c>
      <c r="EH75" s="2">
        <f t="shared" si="88"/>
        <v>0</v>
      </c>
      <c r="EI75" s="2">
        <f t="shared" si="88"/>
        <v>0</v>
      </c>
      <c r="EJ75" s="2">
        <f t="shared" si="88"/>
        <v>0</v>
      </c>
      <c r="EK75" s="2">
        <f t="shared" si="88"/>
        <v>0</v>
      </c>
      <c r="EL75" s="2">
        <f t="shared" si="88"/>
        <v>0</v>
      </c>
    </row>
    <row r="76" spans="22:142" ht="14.4" customHeight="1" x14ac:dyDescent="0.3">
      <c r="V76" s="47"/>
      <c r="W76" s="10" t="s">
        <v>114</v>
      </c>
      <c r="X76" s="10" t="s">
        <v>115</v>
      </c>
      <c r="Y76" s="10" t="s">
        <v>116</v>
      </c>
      <c r="Z76" s="48" t="s">
        <v>117</v>
      </c>
      <c r="AA76" s="14" t="s">
        <v>118</v>
      </c>
      <c r="AB76" s="10" t="s">
        <v>119</v>
      </c>
      <c r="AC76" s="10" t="s">
        <v>120</v>
      </c>
      <c r="AD76" s="10" t="s">
        <v>121</v>
      </c>
      <c r="AE76" s="10" t="s">
        <v>122</v>
      </c>
      <c r="AP76" s="22"/>
      <c r="AQ76" s="101"/>
      <c r="AR76" s="28"/>
      <c r="AS76" s="28"/>
      <c r="AT76" s="28"/>
      <c r="AU76" s="28"/>
      <c r="AV76" s="28"/>
      <c r="AW76" s="28"/>
      <c r="AX76" s="28"/>
      <c r="AY76" s="28"/>
      <c r="AZ76" s="28"/>
      <c r="BA76" s="28"/>
      <c r="BB76" s="28"/>
      <c r="BC76" s="28"/>
      <c r="BD76" s="28"/>
      <c r="BE76" s="28"/>
      <c r="BF76" s="28"/>
      <c r="BG76" s="28"/>
      <c r="BH76" s="28"/>
      <c r="BI76" s="28"/>
      <c r="BJ76" s="28"/>
      <c r="BK76" s="51"/>
      <c r="BL76" s="173"/>
      <c r="BM76" s="174"/>
      <c r="BN76" s="175"/>
      <c r="BO76" s="180"/>
      <c r="BP76" s="174"/>
      <c r="BQ76" s="175"/>
      <c r="BR76" s="180"/>
      <c r="BS76" s="174"/>
      <c r="BT76" s="174"/>
      <c r="BU76" s="174"/>
      <c r="BV76" s="174"/>
      <c r="BW76" s="174"/>
      <c r="BX76" s="175"/>
      <c r="BY76" s="122"/>
      <c r="BZ76" s="123"/>
      <c r="CA76" s="123"/>
      <c r="CB76" s="124"/>
      <c r="CC76" s="150" t="s">
        <v>123</v>
      </c>
      <c r="CD76" s="151"/>
      <c r="CE76" s="151"/>
      <c r="CF76" s="152"/>
      <c r="CG76" s="2">
        <f t="shared" si="89"/>
        <v>0</v>
      </c>
      <c r="CH76" s="2">
        <f t="shared" si="84"/>
        <v>0</v>
      </c>
      <c r="CI76" s="2">
        <f t="shared" si="85"/>
        <v>0</v>
      </c>
      <c r="CJ76" s="2">
        <f t="shared" si="85"/>
        <v>0</v>
      </c>
      <c r="CK76" s="2">
        <f t="shared" si="85"/>
        <v>0</v>
      </c>
      <c r="CL76" s="2" t="str">
        <f t="shared" si="85"/>
        <v/>
      </c>
      <c r="CM76" s="2" t="str">
        <f t="shared" si="85"/>
        <v/>
      </c>
      <c r="CN76" s="2">
        <f t="shared" si="85"/>
        <v>0</v>
      </c>
      <c r="CO76" s="2">
        <f t="shared" si="86"/>
        <v>0</v>
      </c>
      <c r="CP76" s="2">
        <f t="shared" si="86"/>
        <v>0</v>
      </c>
      <c r="CQ76" s="2">
        <f t="shared" si="86"/>
        <v>0</v>
      </c>
      <c r="CR76" s="2">
        <f t="shared" si="86"/>
        <v>0</v>
      </c>
      <c r="CS76" s="2">
        <f t="shared" si="86"/>
        <v>0</v>
      </c>
      <c r="CT76" s="2">
        <f t="shared" si="86"/>
        <v>0</v>
      </c>
      <c r="CU76" s="2">
        <f t="shared" si="86"/>
        <v>0</v>
      </c>
      <c r="CV76" s="2">
        <f t="shared" si="86"/>
        <v>0</v>
      </c>
      <c r="CW76" s="2">
        <f t="shared" si="86"/>
        <v>0</v>
      </c>
      <c r="CX76" s="2">
        <f t="shared" si="86"/>
        <v>0</v>
      </c>
      <c r="DF76" s="2">
        <f t="shared" si="90"/>
        <v>0</v>
      </c>
      <c r="DG76" s="2">
        <f t="shared" si="87"/>
        <v>0</v>
      </c>
      <c r="DH76" s="2">
        <f t="shared" si="87"/>
        <v>0</v>
      </c>
      <c r="DI76" s="2">
        <f t="shared" si="87"/>
        <v>0</v>
      </c>
      <c r="DJ76" s="2">
        <f t="shared" si="87"/>
        <v>0</v>
      </c>
      <c r="DK76" s="2">
        <f t="shared" si="87"/>
        <v>0</v>
      </c>
      <c r="DL76" s="2">
        <f t="shared" si="87"/>
        <v>0</v>
      </c>
      <c r="DM76" s="2">
        <f t="shared" si="87"/>
        <v>0</v>
      </c>
      <c r="DN76" s="2">
        <f t="shared" si="87"/>
        <v>0</v>
      </c>
      <c r="DO76" s="2">
        <f t="shared" si="87"/>
        <v>0</v>
      </c>
      <c r="DP76" s="2">
        <f t="shared" si="87"/>
        <v>0</v>
      </c>
      <c r="DQ76" s="2">
        <f t="shared" si="87"/>
        <v>0</v>
      </c>
      <c r="DR76" s="2">
        <f t="shared" si="91"/>
        <v>0</v>
      </c>
      <c r="DS76" s="2">
        <f t="shared" si="88"/>
        <v>0</v>
      </c>
      <c r="DT76" s="2">
        <f t="shared" si="88"/>
        <v>0</v>
      </c>
      <c r="DU76" s="2">
        <f t="shared" si="88"/>
        <v>0</v>
      </c>
      <c r="DV76" s="2">
        <f t="shared" si="88"/>
        <v>0</v>
      </c>
      <c r="DW76" s="2">
        <f t="shared" si="88"/>
        <v>0</v>
      </c>
      <c r="DX76" s="2">
        <f t="shared" si="88"/>
        <v>0</v>
      </c>
      <c r="DY76" s="2">
        <f t="shared" si="88"/>
        <v>0</v>
      </c>
      <c r="DZ76" s="2">
        <f t="shared" si="88"/>
        <v>0</v>
      </c>
      <c r="EA76" s="2">
        <f t="shared" si="88"/>
        <v>0</v>
      </c>
      <c r="EB76" s="2">
        <f t="shared" si="88"/>
        <v>0</v>
      </c>
      <c r="EC76" s="2">
        <f t="shared" si="88"/>
        <v>0</v>
      </c>
      <c r="ED76" s="2">
        <f t="shared" si="88"/>
        <v>0</v>
      </c>
      <c r="EE76" s="2">
        <f t="shared" si="88"/>
        <v>0</v>
      </c>
      <c r="EF76" s="2">
        <f t="shared" si="88"/>
        <v>0</v>
      </c>
      <c r="EG76" s="2">
        <f t="shared" si="88"/>
        <v>0</v>
      </c>
      <c r="EH76" s="2">
        <f t="shared" si="88"/>
        <v>0</v>
      </c>
      <c r="EI76" s="2">
        <f t="shared" si="88"/>
        <v>0</v>
      </c>
      <c r="EJ76" s="2">
        <f t="shared" si="88"/>
        <v>0</v>
      </c>
      <c r="EK76" s="2">
        <f t="shared" si="88"/>
        <v>0</v>
      </c>
      <c r="EL76" s="2">
        <f t="shared" si="88"/>
        <v>0</v>
      </c>
    </row>
    <row r="77" spans="22:142" ht="14.4" customHeight="1" x14ac:dyDescent="0.3">
      <c r="V77" s="49" t="str">
        <f>IF(ISBLANK(V63),"",V63)</f>
        <v/>
      </c>
      <c r="W77" s="38" t="str" cm="1">
        <f t="array" ref="W77">IF(Y63="", "", IF(AND(Y63&lt;=MIN(AF63:AO63),Z63&gt;=MAX(AF63:AO63)),"ACCEPT",IF(AND(AF63:AO63="OK"),"ACCEPT","REJECT")))</f>
        <v/>
      </c>
      <c r="X77" s="38" t="str">
        <f t="shared" ref="X77:X88" si="92">IF(TRIM(W77)="", "", MAX(AF63:AO63))</f>
        <v/>
      </c>
      <c r="Y77" s="38" t="str">
        <f t="shared" ref="Y77:Y88" si="93">IF(TRIM(W77)="", "", MIN(AF63:AO63))</f>
        <v/>
      </c>
      <c r="Z77" s="38" t="str">
        <f t="shared" ref="Z77:Z88" si="94">IF(ISNUMBER(Y63),"VARIABLE",IF(ISBLANK(Y63),"","ATTRIBUTE"))</f>
        <v/>
      </c>
      <c r="AA77" s="38">
        <f t="shared" ref="AA77:AA88" si="95">IF((AA63="QC"),1.33,1)</f>
        <v>1</v>
      </c>
      <c r="AB77" s="38">
        <f t="shared" ref="AB77:AB88" si="96">IF(COUNT(AF63:AO63)=0,0,AVERAGE(AF63:AO63))</f>
        <v>0</v>
      </c>
      <c r="AC77" s="38">
        <f t="shared" ref="AC77:AC88" si="97">MAX(AF63:AO63)-MIN(AF63:AO63)</f>
        <v>0</v>
      </c>
      <c r="AD77" s="38">
        <f t="shared" ref="AD77:AD88" si="98">IF(COUNT(AF63:AO63)=0,0,_xlfn.STDEV.S(AF63:AO63))</f>
        <v>0</v>
      </c>
      <c r="AE77" s="38" t="str">
        <f t="shared" ref="AE77:AE88" si="99">IF(AB77=0,"-",IF(AB77-Y63&lt;Z63-AB77,AB77-Y63,Z63-AB77)/(AD77*3))</f>
        <v>-</v>
      </c>
      <c r="AP77" s="22"/>
      <c r="AQ77" s="101"/>
      <c r="AR77" s="39"/>
      <c r="AS77" s="39"/>
      <c r="AT77" s="39"/>
      <c r="AU77" s="39"/>
      <c r="AV77" s="39"/>
      <c r="AW77" s="39"/>
      <c r="AX77" s="39"/>
      <c r="AY77" s="39"/>
      <c r="AZ77" s="39"/>
      <c r="BA77" s="39"/>
      <c r="BB77" s="39"/>
      <c r="BC77" s="39"/>
      <c r="BD77" s="39"/>
      <c r="BE77" s="39"/>
      <c r="BF77" s="39"/>
      <c r="BG77" s="39"/>
      <c r="BH77" s="39"/>
      <c r="BI77" s="39"/>
      <c r="BJ77" s="39"/>
      <c r="BK77" s="40"/>
      <c r="BL77" s="176"/>
      <c r="BM77" s="177"/>
      <c r="BN77" s="178"/>
      <c r="BO77" s="181"/>
      <c r="BP77" s="177"/>
      <c r="BQ77" s="178"/>
      <c r="BR77" s="181"/>
      <c r="BS77" s="177"/>
      <c r="BT77" s="177"/>
      <c r="BU77" s="177"/>
      <c r="BV77" s="177"/>
      <c r="BW77" s="177"/>
      <c r="BX77" s="178"/>
      <c r="BY77" s="125"/>
      <c r="BZ77" s="126"/>
      <c r="CA77" s="126"/>
      <c r="CB77" s="127"/>
      <c r="CC77" s="153"/>
      <c r="CD77" s="154"/>
      <c r="CE77" s="154"/>
      <c r="CF77" s="155"/>
      <c r="CG77" s="2">
        <f t="shared" si="89"/>
        <v>0</v>
      </c>
      <c r="CH77" s="2">
        <f t="shared" si="84"/>
        <v>0</v>
      </c>
      <c r="CI77" s="2">
        <f t="shared" si="85"/>
        <v>0</v>
      </c>
      <c r="CJ77" s="2">
        <f t="shared" si="85"/>
        <v>0</v>
      </c>
      <c r="CK77" s="2">
        <f t="shared" si="85"/>
        <v>0</v>
      </c>
      <c r="CL77" s="2" t="str">
        <f t="shared" si="85"/>
        <v/>
      </c>
      <c r="CM77" s="2" t="str">
        <f t="shared" si="85"/>
        <v/>
      </c>
      <c r="CN77" s="2">
        <f t="shared" si="85"/>
        <v>0</v>
      </c>
      <c r="CO77" s="2">
        <f t="shared" si="86"/>
        <v>0</v>
      </c>
      <c r="CP77" s="2">
        <f t="shared" si="86"/>
        <v>0</v>
      </c>
      <c r="CQ77" s="2">
        <f t="shared" si="86"/>
        <v>0</v>
      </c>
      <c r="CR77" s="2">
        <f t="shared" si="86"/>
        <v>0</v>
      </c>
      <c r="CS77" s="2">
        <f t="shared" si="86"/>
        <v>0</v>
      </c>
      <c r="CT77" s="2">
        <f t="shared" si="86"/>
        <v>0</v>
      </c>
      <c r="CU77" s="2">
        <f t="shared" si="86"/>
        <v>0</v>
      </c>
      <c r="CV77" s="2">
        <f t="shared" si="86"/>
        <v>0</v>
      </c>
      <c r="CW77" s="2">
        <f t="shared" si="86"/>
        <v>0</v>
      </c>
      <c r="CX77" s="2">
        <f t="shared" si="86"/>
        <v>0</v>
      </c>
      <c r="DF77" s="2">
        <f t="shared" si="90"/>
        <v>0</v>
      </c>
      <c r="DG77" s="2">
        <f t="shared" si="87"/>
        <v>0</v>
      </c>
      <c r="DH77" s="2">
        <f t="shared" si="87"/>
        <v>0</v>
      </c>
      <c r="DI77" s="2">
        <f t="shared" si="87"/>
        <v>0</v>
      </c>
      <c r="DJ77" s="2">
        <f t="shared" si="87"/>
        <v>0</v>
      </c>
      <c r="DK77" s="2">
        <f t="shared" si="87"/>
        <v>0</v>
      </c>
      <c r="DL77" s="2">
        <f t="shared" si="87"/>
        <v>0</v>
      </c>
      <c r="DM77" s="2">
        <f t="shared" si="87"/>
        <v>0</v>
      </c>
      <c r="DN77" s="2">
        <f t="shared" si="87"/>
        <v>0</v>
      </c>
      <c r="DO77" s="2">
        <f t="shared" si="87"/>
        <v>0</v>
      </c>
      <c r="DP77" s="2">
        <f t="shared" si="87"/>
        <v>0</v>
      </c>
      <c r="DQ77" s="2">
        <f t="shared" si="87"/>
        <v>0</v>
      </c>
      <c r="DR77" s="2">
        <f t="shared" si="91"/>
        <v>0</v>
      </c>
      <c r="DS77" s="2">
        <f t="shared" si="88"/>
        <v>0</v>
      </c>
      <c r="DT77" s="2">
        <f t="shared" si="88"/>
        <v>0</v>
      </c>
      <c r="DU77" s="2">
        <f t="shared" si="88"/>
        <v>0</v>
      </c>
      <c r="DV77" s="2">
        <f t="shared" si="88"/>
        <v>0</v>
      </c>
      <c r="DW77" s="2">
        <f t="shared" si="88"/>
        <v>0</v>
      </c>
      <c r="DX77" s="2">
        <f t="shared" si="88"/>
        <v>0</v>
      </c>
      <c r="DY77" s="2">
        <f t="shared" si="88"/>
        <v>0</v>
      </c>
      <c r="DZ77" s="2">
        <f t="shared" si="88"/>
        <v>0</v>
      </c>
      <c r="EA77" s="2">
        <f t="shared" si="88"/>
        <v>0</v>
      </c>
      <c r="EB77" s="2">
        <f t="shared" si="88"/>
        <v>0</v>
      </c>
      <c r="EC77" s="2">
        <f t="shared" si="88"/>
        <v>0</v>
      </c>
      <c r="ED77" s="2">
        <f t="shared" si="88"/>
        <v>0</v>
      </c>
      <c r="EE77" s="2">
        <f t="shared" si="88"/>
        <v>0</v>
      </c>
      <c r="EF77" s="2">
        <f t="shared" si="88"/>
        <v>0</v>
      </c>
      <c r="EG77" s="2">
        <f t="shared" si="88"/>
        <v>0</v>
      </c>
      <c r="EH77" s="2">
        <f t="shared" si="88"/>
        <v>0</v>
      </c>
      <c r="EI77" s="2">
        <f t="shared" si="88"/>
        <v>0</v>
      </c>
      <c r="EJ77" s="2">
        <f t="shared" si="88"/>
        <v>0</v>
      </c>
      <c r="EK77" s="2">
        <f t="shared" si="88"/>
        <v>0</v>
      </c>
      <c r="EL77" s="2">
        <f t="shared" si="88"/>
        <v>0</v>
      </c>
    </row>
    <row r="78" spans="22:142" ht="14.4" customHeight="1" x14ac:dyDescent="0.3">
      <c r="V78" s="49" t="str">
        <f t="shared" ref="V78:V87" si="100">IF(ISBLANK(V64),"",V64)</f>
        <v/>
      </c>
      <c r="W78" s="38" t="str" cm="1">
        <f t="array" ref="W78">IF(Y64="", "", IF(AND(Y64&lt;=MIN(AF64:AO64),Z64&gt;=MAX(AF64:AO64)),"ACCEPT",IF(AND(AF64:AO64="OK"),"ACCEPT","REJECT")))</f>
        <v/>
      </c>
      <c r="X78" s="38" t="str">
        <f t="shared" si="92"/>
        <v/>
      </c>
      <c r="Y78" s="38" t="str">
        <f t="shared" si="93"/>
        <v/>
      </c>
      <c r="Z78" s="38" t="str">
        <f t="shared" si="94"/>
        <v/>
      </c>
      <c r="AA78" s="38">
        <f t="shared" si="95"/>
        <v>1</v>
      </c>
      <c r="AB78" s="38">
        <f t="shared" si="96"/>
        <v>0</v>
      </c>
      <c r="AC78" s="38">
        <f t="shared" si="97"/>
        <v>0</v>
      </c>
      <c r="AD78" s="38">
        <f t="shared" si="98"/>
        <v>0</v>
      </c>
      <c r="AE78" s="38" t="str">
        <f t="shared" si="99"/>
        <v>-</v>
      </c>
      <c r="AP78" s="22"/>
      <c r="AQ78" s="35"/>
      <c r="AR78" s="28"/>
      <c r="AS78" s="28"/>
      <c r="AT78" s="28"/>
      <c r="AU78" s="28"/>
      <c r="AV78" s="28"/>
      <c r="AW78" s="28"/>
      <c r="AX78" s="28"/>
      <c r="AY78" s="28"/>
      <c r="AZ78" s="28"/>
      <c r="BA78" s="28"/>
      <c r="BB78" s="28"/>
      <c r="BC78" s="28"/>
      <c r="BD78" s="28"/>
      <c r="BE78" s="28"/>
      <c r="BF78" s="28"/>
      <c r="BG78" s="28"/>
      <c r="BH78" s="28"/>
      <c r="BI78" s="28"/>
      <c r="BJ78" s="28"/>
      <c r="BK78" s="51"/>
      <c r="BL78" s="128" t="s">
        <v>88</v>
      </c>
      <c r="BM78" s="129"/>
      <c r="BN78" s="130"/>
      <c r="BO78" s="131" t="s">
        <v>89</v>
      </c>
      <c r="BP78" s="132"/>
      <c r="BQ78" s="133"/>
      <c r="BR78" s="131" t="s">
        <v>90</v>
      </c>
      <c r="BS78" s="132"/>
      <c r="BT78" s="132"/>
      <c r="BU78" s="132"/>
      <c r="BV78" s="132"/>
      <c r="BW78" s="132"/>
      <c r="BX78" s="133"/>
      <c r="BY78" s="131" t="s">
        <v>91</v>
      </c>
      <c r="BZ78" s="132"/>
      <c r="CA78" s="132"/>
      <c r="CB78" s="133"/>
      <c r="CC78" s="131" t="s">
        <v>92</v>
      </c>
      <c r="CD78" s="132"/>
      <c r="CE78" s="132"/>
      <c r="CF78" s="156"/>
      <c r="CG78" s="2">
        <f t="shared" si="89"/>
        <v>0</v>
      </c>
      <c r="CH78" s="2">
        <f t="shared" si="84"/>
        <v>0</v>
      </c>
      <c r="CI78" s="2">
        <f t="shared" si="85"/>
        <v>0</v>
      </c>
      <c r="CJ78" s="2">
        <f t="shared" si="85"/>
        <v>0</v>
      </c>
      <c r="CK78" s="2">
        <f t="shared" si="85"/>
        <v>0</v>
      </c>
      <c r="CL78" s="2" t="str">
        <f t="shared" si="85"/>
        <v/>
      </c>
      <c r="CM78" s="2" t="str">
        <f t="shared" si="85"/>
        <v/>
      </c>
      <c r="CN78" s="2">
        <f t="shared" si="85"/>
        <v>0</v>
      </c>
      <c r="CO78" s="2">
        <f t="shared" si="86"/>
        <v>0</v>
      </c>
      <c r="CP78" s="2">
        <f t="shared" si="86"/>
        <v>0</v>
      </c>
      <c r="CQ78" s="2">
        <f t="shared" si="86"/>
        <v>0</v>
      </c>
      <c r="CR78" s="2">
        <f t="shared" si="86"/>
        <v>0</v>
      </c>
      <c r="CS78" s="2">
        <f t="shared" si="86"/>
        <v>0</v>
      </c>
      <c r="CT78" s="2">
        <f t="shared" si="86"/>
        <v>0</v>
      </c>
      <c r="CU78" s="2">
        <f t="shared" si="86"/>
        <v>0</v>
      </c>
      <c r="CV78" s="2">
        <f t="shared" si="86"/>
        <v>0</v>
      </c>
      <c r="CW78" s="2">
        <f t="shared" si="86"/>
        <v>0</v>
      </c>
      <c r="CX78" s="2">
        <f t="shared" si="86"/>
        <v>0</v>
      </c>
      <c r="DF78" s="2">
        <f t="shared" si="90"/>
        <v>0</v>
      </c>
      <c r="DG78" s="2">
        <f t="shared" si="87"/>
        <v>0</v>
      </c>
      <c r="DH78" s="2">
        <f t="shared" si="87"/>
        <v>0</v>
      </c>
      <c r="DI78" s="2">
        <f t="shared" si="87"/>
        <v>0</v>
      </c>
      <c r="DJ78" s="2">
        <f t="shared" si="87"/>
        <v>0</v>
      </c>
      <c r="DK78" s="2">
        <f t="shared" si="87"/>
        <v>0</v>
      </c>
      <c r="DL78" s="2">
        <f t="shared" si="87"/>
        <v>0</v>
      </c>
      <c r="DM78" s="2">
        <f t="shared" si="87"/>
        <v>0</v>
      </c>
      <c r="DN78" s="2">
        <f t="shared" si="87"/>
        <v>0</v>
      </c>
      <c r="DO78" s="2">
        <f t="shared" si="87"/>
        <v>0</v>
      </c>
      <c r="DP78" s="2">
        <f t="shared" si="87"/>
        <v>0</v>
      </c>
      <c r="DQ78" s="2">
        <f t="shared" si="87"/>
        <v>0</v>
      </c>
      <c r="DR78" s="2">
        <f t="shared" si="91"/>
        <v>0</v>
      </c>
      <c r="DS78" s="2">
        <f t="shared" si="88"/>
        <v>0</v>
      </c>
      <c r="DT78" s="2">
        <f t="shared" si="88"/>
        <v>0</v>
      </c>
      <c r="DU78" s="2">
        <f t="shared" si="88"/>
        <v>0</v>
      </c>
      <c r="DV78" s="2">
        <f t="shared" si="88"/>
        <v>0</v>
      </c>
      <c r="DW78" s="2">
        <f t="shared" si="88"/>
        <v>0</v>
      </c>
      <c r="DX78" s="2">
        <f t="shared" si="88"/>
        <v>0</v>
      </c>
      <c r="DY78" s="2">
        <f t="shared" si="88"/>
        <v>0</v>
      </c>
      <c r="DZ78" s="2">
        <f t="shared" si="88"/>
        <v>0</v>
      </c>
      <c r="EA78" s="2">
        <f t="shared" si="88"/>
        <v>0</v>
      </c>
      <c r="EB78" s="2">
        <f t="shared" si="88"/>
        <v>0</v>
      </c>
      <c r="EC78" s="2">
        <f t="shared" si="88"/>
        <v>0</v>
      </c>
      <c r="ED78" s="2">
        <f t="shared" si="88"/>
        <v>0</v>
      </c>
      <c r="EE78" s="2">
        <f t="shared" si="88"/>
        <v>0</v>
      </c>
      <c r="EF78" s="2">
        <f t="shared" si="88"/>
        <v>0</v>
      </c>
      <c r="EG78" s="2">
        <f t="shared" si="88"/>
        <v>0</v>
      </c>
      <c r="EH78" s="2">
        <f t="shared" si="88"/>
        <v>0</v>
      </c>
      <c r="EI78" s="2">
        <f t="shared" si="88"/>
        <v>0</v>
      </c>
      <c r="EJ78" s="2">
        <f t="shared" si="88"/>
        <v>0</v>
      </c>
      <c r="EK78" s="2">
        <f t="shared" si="88"/>
        <v>0</v>
      </c>
      <c r="EL78" s="2">
        <f t="shared" si="88"/>
        <v>0</v>
      </c>
    </row>
    <row r="79" spans="22:142" ht="14.4" customHeight="1" x14ac:dyDescent="0.3">
      <c r="V79" s="49" t="str">
        <f t="shared" si="100"/>
        <v/>
      </c>
      <c r="W79" s="38" t="str" cm="1">
        <f t="array" ref="W79">IF(Y65="", "", IF(AND(Y65&lt;=MIN(AF65:AO65),Z65&gt;=MAX(AF65:AO65)),"ACCEPT",IF(AND(AF65:AO65="OK"),"ACCEPT","REJECT")))</f>
        <v/>
      </c>
      <c r="X79" s="38" t="str">
        <f t="shared" si="92"/>
        <v/>
      </c>
      <c r="Y79" s="38" t="str">
        <f t="shared" si="93"/>
        <v/>
      </c>
      <c r="Z79" s="38" t="str">
        <f t="shared" si="94"/>
        <v/>
      </c>
      <c r="AA79" s="38">
        <f t="shared" si="95"/>
        <v>1</v>
      </c>
      <c r="AB79" s="38">
        <f t="shared" si="96"/>
        <v>0</v>
      </c>
      <c r="AC79" s="38">
        <f t="shared" si="97"/>
        <v>0</v>
      </c>
      <c r="AD79" s="38">
        <f t="shared" si="98"/>
        <v>0</v>
      </c>
      <c r="AE79" s="38" t="str">
        <f t="shared" si="99"/>
        <v>-</v>
      </c>
      <c r="AP79" s="22"/>
      <c r="AQ79" s="35"/>
      <c r="AR79" s="28"/>
      <c r="AS79" s="28"/>
      <c r="AT79" s="28"/>
      <c r="AU79" s="28"/>
      <c r="AV79" s="28"/>
      <c r="AW79" s="28"/>
      <c r="AX79" s="28"/>
      <c r="AY79" s="28"/>
      <c r="AZ79" s="28"/>
      <c r="BA79" s="28"/>
      <c r="BB79" s="28"/>
      <c r="BC79" s="28"/>
      <c r="BD79" s="28"/>
      <c r="BE79" s="28"/>
      <c r="BF79" s="28"/>
      <c r="BG79" s="28"/>
      <c r="BH79" s="28"/>
      <c r="BI79" s="28"/>
      <c r="BJ79" s="28"/>
      <c r="BK79" s="51"/>
      <c r="BL79" s="158" t="s">
        <v>96</v>
      </c>
      <c r="BM79" s="159"/>
      <c r="BN79" s="35"/>
      <c r="BO79" s="134"/>
      <c r="BP79" s="135"/>
      <c r="BQ79" s="136"/>
      <c r="BR79" s="134"/>
      <c r="BS79" s="135"/>
      <c r="BT79" s="135"/>
      <c r="BU79" s="135"/>
      <c r="BV79" s="135"/>
      <c r="BW79" s="135"/>
      <c r="BX79" s="136"/>
      <c r="BY79" s="134"/>
      <c r="BZ79" s="135"/>
      <c r="CA79" s="135"/>
      <c r="CB79" s="136"/>
      <c r="CC79" s="134"/>
      <c r="CD79" s="135"/>
      <c r="CE79" s="135"/>
      <c r="CF79" s="157"/>
      <c r="CG79" s="2">
        <f t="shared" si="89"/>
        <v>0</v>
      </c>
      <c r="CH79" s="2">
        <f t="shared" si="84"/>
        <v>0</v>
      </c>
      <c r="CI79" s="2">
        <f t="shared" si="85"/>
        <v>0</v>
      </c>
      <c r="CJ79" s="2">
        <f t="shared" si="85"/>
        <v>0</v>
      </c>
      <c r="CK79" s="2">
        <f t="shared" si="85"/>
        <v>0</v>
      </c>
      <c r="CL79" s="2" t="str">
        <f t="shared" si="85"/>
        <v/>
      </c>
      <c r="CM79" s="2" t="str">
        <f t="shared" si="85"/>
        <v/>
      </c>
      <c r="CN79" s="2">
        <f t="shared" si="85"/>
        <v>0</v>
      </c>
      <c r="CO79" s="2">
        <f t="shared" si="86"/>
        <v>0</v>
      </c>
      <c r="CP79" s="2">
        <f t="shared" si="86"/>
        <v>0</v>
      </c>
      <c r="CQ79" s="2">
        <f t="shared" si="86"/>
        <v>0</v>
      </c>
      <c r="CR79" s="2">
        <f t="shared" si="86"/>
        <v>0</v>
      </c>
      <c r="CS79" s="2">
        <f t="shared" si="86"/>
        <v>0</v>
      </c>
      <c r="CT79" s="2">
        <f t="shared" si="86"/>
        <v>0</v>
      </c>
      <c r="CU79" s="2">
        <f t="shared" si="86"/>
        <v>0</v>
      </c>
      <c r="CV79" s="2">
        <f t="shared" si="86"/>
        <v>0</v>
      </c>
      <c r="CW79" s="2">
        <f t="shared" si="86"/>
        <v>0</v>
      </c>
      <c r="CX79" s="2">
        <f t="shared" si="86"/>
        <v>0</v>
      </c>
      <c r="DF79" s="2">
        <f t="shared" si="90"/>
        <v>0</v>
      </c>
      <c r="DG79" s="2">
        <f t="shared" si="87"/>
        <v>0</v>
      </c>
      <c r="DH79" s="2">
        <f t="shared" si="87"/>
        <v>0</v>
      </c>
      <c r="DI79" s="2">
        <f t="shared" si="87"/>
        <v>0</v>
      </c>
      <c r="DJ79" s="2">
        <f t="shared" si="87"/>
        <v>0</v>
      </c>
      <c r="DK79" s="2">
        <f t="shared" si="87"/>
        <v>0</v>
      </c>
      <c r="DL79" s="2">
        <f t="shared" si="87"/>
        <v>0</v>
      </c>
      <c r="DM79" s="2">
        <f t="shared" si="87"/>
        <v>0</v>
      </c>
      <c r="DN79" s="2">
        <f t="shared" si="87"/>
        <v>0</v>
      </c>
      <c r="DO79" s="2">
        <f t="shared" si="87"/>
        <v>0</v>
      </c>
      <c r="DP79" s="2">
        <f t="shared" si="87"/>
        <v>0</v>
      </c>
      <c r="DQ79" s="2">
        <f t="shared" si="87"/>
        <v>0</v>
      </c>
      <c r="DR79" s="2">
        <f t="shared" si="91"/>
        <v>0</v>
      </c>
      <c r="DS79" s="2">
        <f t="shared" si="88"/>
        <v>0</v>
      </c>
      <c r="DT79" s="2">
        <f t="shared" si="88"/>
        <v>0</v>
      </c>
      <c r="DU79" s="2">
        <f t="shared" si="88"/>
        <v>0</v>
      </c>
      <c r="DV79" s="2">
        <f t="shared" si="88"/>
        <v>0</v>
      </c>
      <c r="DW79" s="2">
        <f t="shared" si="88"/>
        <v>0</v>
      </c>
      <c r="DX79" s="2">
        <f t="shared" si="88"/>
        <v>0</v>
      </c>
      <c r="DY79" s="2">
        <f t="shared" si="88"/>
        <v>0</v>
      </c>
      <c r="DZ79" s="2">
        <f t="shared" si="88"/>
        <v>0</v>
      </c>
      <c r="EA79" s="2">
        <f t="shared" si="88"/>
        <v>0</v>
      </c>
      <c r="EB79" s="2">
        <f t="shared" si="88"/>
        <v>0</v>
      </c>
      <c r="EC79" s="2">
        <f t="shared" si="88"/>
        <v>0</v>
      </c>
      <c r="ED79" s="2">
        <f t="shared" si="88"/>
        <v>0</v>
      </c>
      <c r="EE79" s="2">
        <f t="shared" si="88"/>
        <v>0</v>
      </c>
      <c r="EF79" s="2">
        <f t="shared" si="88"/>
        <v>0</v>
      </c>
      <c r="EG79" s="2">
        <f t="shared" si="88"/>
        <v>0</v>
      </c>
      <c r="EH79" s="2">
        <f t="shared" si="88"/>
        <v>0</v>
      </c>
      <c r="EI79" s="2">
        <f t="shared" si="88"/>
        <v>0</v>
      </c>
      <c r="EJ79" s="2">
        <f t="shared" si="88"/>
        <v>0</v>
      </c>
      <c r="EK79" s="2">
        <f t="shared" si="88"/>
        <v>0</v>
      </c>
      <c r="EL79" s="2">
        <f t="shared" si="88"/>
        <v>0</v>
      </c>
    </row>
    <row r="80" spans="22:142" ht="14.4" customHeight="1" x14ac:dyDescent="0.3">
      <c r="V80" s="49" t="str">
        <f t="shared" si="100"/>
        <v/>
      </c>
      <c r="W80" s="38" t="str" cm="1">
        <f t="array" ref="W80">IF(Y66="", "", IF(AND(Y66&lt;=MIN(AF66:AO66),Z66&gt;=MAX(AF66:AO66)),"ACCEPT",IF(AND(AF66:AO66="OK"),"ACCEPT","REJECT")))</f>
        <v/>
      </c>
      <c r="X80" s="38" t="str">
        <f t="shared" si="92"/>
        <v/>
      </c>
      <c r="Y80" s="38" t="str">
        <f t="shared" si="93"/>
        <v/>
      </c>
      <c r="Z80" s="38" t="str">
        <f t="shared" si="94"/>
        <v/>
      </c>
      <c r="AA80" s="38">
        <f t="shared" si="95"/>
        <v>1</v>
      </c>
      <c r="AB80" s="38">
        <f t="shared" si="96"/>
        <v>0</v>
      </c>
      <c r="AC80" s="38">
        <f t="shared" si="97"/>
        <v>0</v>
      </c>
      <c r="AD80" s="38">
        <f t="shared" si="98"/>
        <v>0</v>
      </c>
      <c r="AE80" s="38" t="str">
        <f t="shared" si="99"/>
        <v>-</v>
      </c>
      <c r="AP80" s="22"/>
      <c r="AQ80" s="101"/>
      <c r="AR80" s="28"/>
      <c r="AS80" s="28"/>
      <c r="AT80" s="28"/>
      <c r="AU80" s="28"/>
      <c r="AV80" s="28"/>
      <c r="AW80" s="28"/>
      <c r="AX80" s="28"/>
      <c r="AY80" s="28"/>
      <c r="AZ80" s="28"/>
      <c r="BA80" s="28"/>
      <c r="BB80" s="28"/>
      <c r="BC80" s="28"/>
      <c r="BD80" s="28"/>
      <c r="BE80" s="28"/>
      <c r="BF80" s="28"/>
      <c r="BG80" s="28"/>
      <c r="BH80" s="28"/>
      <c r="BI80" s="28"/>
      <c r="BJ80" s="28"/>
      <c r="BK80" s="51"/>
      <c r="BL80" s="158" t="s">
        <v>97</v>
      </c>
      <c r="BM80" s="159"/>
      <c r="BN80" s="41" t="s">
        <v>98</v>
      </c>
      <c r="BO80" s="204" t="s">
        <v>99</v>
      </c>
      <c r="BP80" s="205"/>
      <c r="BQ80" s="206"/>
      <c r="BR80" s="207" t="s">
        <v>100</v>
      </c>
      <c r="BS80" s="208"/>
      <c r="BT80" s="208"/>
      <c r="BU80" s="209"/>
      <c r="BV80" s="217"/>
      <c r="BW80" s="218"/>
      <c r="BX80" s="219"/>
      <c r="BY80" s="119"/>
      <c r="BZ80" s="120"/>
      <c r="CA80" s="120"/>
      <c r="CB80" s="121"/>
      <c r="CC80" s="119"/>
      <c r="CD80" s="120"/>
      <c r="CE80" s="120"/>
      <c r="CF80" s="214"/>
      <c r="CG80" s="2">
        <f t="shared" si="89"/>
        <v>0</v>
      </c>
      <c r="CH80" s="2">
        <f t="shared" si="84"/>
        <v>0</v>
      </c>
      <c r="CI80" s="2">
        <f t="shared" si="85"/>
        <v>0</v>
      </c>
      <c r="CJ80" s="2">
        <f t="shared" si="85"/>
        <v>0</v>
      </c>
      <c r="CK80" s="2">
        <f t="shared" si="85"/>
        <v>0</v>
      </c>
      <c r="CL80" s="2" t="str">
        <f t="shared" si="85"/>
        <v/>
      </c>
      <c r="CM80" s="2" t="str">
        <f t="shared" si="85"/>
        <v/>
      </c>
      <c r="CN80" s="2">
        <f t="shared" si="85"/>
        <v>0</v>
      </c>
      <c r="CO80" s="2">
        <f t="shared" si="86"/>
        <v>0</v>
      </c>
      <c r="CP80" s="2">
        <f t="shared" si="86"/>
        <v>0</v>
      </c>
      <c r="CQ80" s="2">
        <f t="shared" si="86"/>
        <v>0</v>
      </c>
      <c r="CR80" s="2">
        <f t="shared" si="86"/>
        <v>0</v>
      </c>
      <c r="CS80" s="2">
        <f t="shared" si="86"/>
        <v>0</v>
      </c>
      <c r="CT80" s="2">
        <f t="shared" si="86"/>
        <v>0</v>
      </c>
      <c r="CU80" s="2">
        <f t="shared" si="86"/>
        <v>0</v>
      </c>
      <c r="CV80" s="2">
        <f t="shared" si="86"/>
        <v>0</v>
      </c>
      <c r="CW80" s="2">
        <f t="shared" si="86"/>
        <v>0</v>
      </c>
      <c r="CX80" s="2">
        <f t="shared" si="86"/>
        <v>0</v>
      </c>
      <c r="DF80" s="2">
        <f t="shared" si="90"/>
        <v>0</v>
      </c>
      <c r="DG80" s="2">
        <f t="shared" si="87"/>
        <v>0</v>
      </c>
      <c r="DH80" s="2">
        <f t="shared" si="87"/>
        <v>0</v>
      </c>
      <c r="DI80" s="2">
        <f t="shared" si="87"/>
        <v>0</v>
      </c>
      <c r="DJ80" s="2">
        <f t="shared" si="87"/>
        <v>0</v>
      </c>
      <c r="DK80" s="2">
        <f t="shared" si="87"/>
        <v>0</v>
      </c>
      <c r="DL80" s="2">
        <f t="shared" si="87"/>
        <v>0</v>
      </c>
      <c r="DM80" s="2">
        <f t="shared" si="87"/>
        <v>0</v>
      </c>
      <c r="DN80" s="2">
        <f t="shared" si="87"/>
        <v>0</v>
      </c>
      <c r="DO80" s="2">
        <f t="shared" si="87"/>
        <v>0</v>
      </c>
      <c r="DP80" s="2">
        <f t="shared" si="87"/>
        <v>0</v>
      </c>
      <c r="DQ80" s="2">
        <f t="shared" si="87"/>
        <v>0</v>
      </c>
      <c r="DR80" s="2">
        <f t="shared" si="91"/>
        <v>0</v>
      </c>
      <c r="DS80" s="2">
        <f t="shared" si="88"/>
        <v>0</v>
      </c>
      <c r="DT80" s="2">
        <f t="shared" si="88"/>
        <v>0</v>
      </c>
      <c r="DU80" s="2">
        <f t="shared" si="88"/>
        <v>0</v>
      </c>
      <c r="DV80" s="2">
        <f t="shared" si="88"/>
        <v>0</v>
      </c>
      <c r="DW80" s="2">
        <f t="shared" si="88"/>
        <v>0</v>
      </c>
      <c r="DX80" s="2">
        <f t="shared" si="88"/>
        <v>0</v>
      </c>
      <c r="DY80" s="2">
        <f t="shared" si="88"/>
        <v>0</v>
      </c>
      <c r="DZ80" s="2">
        <f t="shared" si="88"/>
        <v>0</v>
      </c>
      <c r="EA80" s="2">
        <f t="shared" si="88"/>
        <v>0</v>
      </c>
      <c r="EB80" s="2">
        <f t="shared" si="88"/>
        <v>0</v>
      </c>
      <c r="EC80" s="2">
        <f t="shared" si="88"/>
        <v>0</v>
      </c>
      <c r="ED80" s="2">
        <f t="shared" si="88"/>
        <v>0</v>
      </c>
      <c r="EE80" s="2">
        <f t="shared" si="88"/>
        <v>0</v>
      </c>
      <c r="EF80" s="2">
        <f t="shared" si="88"/>
        <v>0</v>
      </c>
      <c r="EG80" s="2">
        <f t="shared" si="88"/>
        <v>0</v>
      </c>
      <c r="EH80" s="2">
        <f t="shared" si="88"/>
        <v>0</v>
      </c>
      <c r="EI80" s="2">
        <f t="shared" si="88"/>
        <v>0</v>
      </c>
      <c r="EJ80" s="2">
        <f t="shared" si="88"/>
        <v>0</v>
      </c>
      <c r="EK80" s="2">
        <f t="shared" si="88"/>
        <v>0</v>
      </c>
      <c r="EL80" s="2">
        <f t="shared" si="88"/>
        <v>0</v>
      </c>
    </row>
    <row r="81" spans="22:142" ht="14.4" customHeight="1" x14ac:dyDescent="0.3">
      <c r="V81" s="49" t="str">
        <f t="shared" si="100"/>
        <v/>
      </c>
      <c r="W81" s="38" t="str" cm="1">
        <f t="array" ref="W81">IF(Y67="", "", IF(AND(Y67&lt;=MIN(AF67:AO67),Z67&gt;=MAX(AF67:AO67)),"ACCEPT",IF(AND(AF67:AO67="OK"),"ACCEPT","REJECT")))</f>
        <v/>
      </c>
      <c r="X81" s="38" t="str">
        <f t="shared" si="92"/>
        <v/>
      </c>
      <c r="Y81" s="38" t="str">
        <f t="shared" si="93"/>
        <v/>
      </c>
      <c r="Z81" s="38" t="str">
        <f t="shared" si="94"/>
        <v/>
      </c>
      <c r="AA81" s="38">
        <f t="shared" si="95"/>
        <v>1</v>
      </c>
      <c r="AB81" s="38">
        <f t="shared" si="96"/>
        <v>0</v>
      </c>
      <c r="AC81" s="38">
        <f t="shared" si="97"/>
        <v>0</v>
      </c>
      <c r="AD81" s="38">
        <f t="shared" si="98"/>
        <v>0</v>
      </c>
      <c r="AE81" s="38" t="str">
        <f t="shared" si="99"/>
        <v>-</v>
      </c>
      <c r="AP81" s="22"/>
      <c r="AQ81" s="101"/>
      <c r="AR81" s="28"/>
      <c r="AS81" s="28"/>
      <c r="AT81" s="28"/>
      <c r="AU81" s="28"/>
      <c r="AV81" s="28"/>
      <c r="AW81" s="28"/>
      <c r="AX81" s="28"/>
      <c r="AY81" s="28"/>
      <c r="AZ81" s="28"/>
      <c r="BA81" s="28"/>
      <c r="BB81" s="28"/>
      <c r="BC81" s="28"/>
      <c r="BD81" s="28"/>
      <c r="BE81" s="28"/>
      <c r="BF81" s="28"/>
      <c r="BG81" s="28"/>
      <c r="BH81" s="28"/>
      <c r="BI81" s="28"/>
      <c r="BJ81" s="28"/>
      <c r="BK81" s="51"/>
      <c r="BL81" s="158" t="s">
        <v>102</v>
      </c>
      <c r="BM81" s="159"/>
      <c r="BN81" s="42" t="s">
        <v>103</v>
      </c>
      <c r="BO81" s="119"/>
      <c r="BP81" s="120"/>
      <c r="BQ81" s="121"/>
      <c r="BR81" s="160" t="s">
        <v>124</v>
      </c>
      <c r="BS81" s="161"/>
      <c r="BT81" s="164"/>
      <c r="BU81" s="165"/>
      <c r="BV81" s="165"/>
      <c r="BW81" s="165"/>
      <c r="BX81" s="166"/>
      <c r="BY81" s="122"/>
      <c r="BZ81" s="123"/>
      <c r="CA81" s="123"/>
      <c r="CB81" s="124"/>
      <c r="CC81" s="122"/>
      <c r="CD81" s="123"/>
      <c r="CE81" s="123"/>
      <c r="CF81" s="215"/>
      <c r="CG81" s="2">
        <f t="shared" si="89"/>
        <v>0</v>
      </c>
      <c r="CH81" s="2">
        <f t="shared" si="84"/>
        <v>0</v>
      </c>
      <c r="CI81" s="2">
        <f t="shared" si="85"/>
        <v>0</v>
      </c>
      <c r="CJ81" s="2">
        <f t="shared" si="85"/>
        <v>0</v>
      </c>
      <c r="CK81" s="2">
        <f t="shared" si="85"/>
        <v>0</v>
      </c>
      <c r="CL81" s="2" t="str">
        <f t="shared" si="85"/>
        <v/>
      </c>
      <c r="CM81" s="2" t="str">
        <f t="shared" si="85"/>
        <v/>
      </c>
      <c r="CN81" s="2">
        <f t="shared" si="85"/>
        <v>0</v>
      </c>
      <c r="CO81" s="2">
        <f t="shared" si="86"/>
        <v>0</v>
      </c>
      <c r="CP81" s="2">
        <f t="shared" si="86"/>
        <v>0</v>
      </c>
      <c r="CQ81" s="2">
        <f t="shared" si="86"/>
        <v>0</v>
      </c>
      <c r="CR81" s="2">
        <f t="shared" si="86"/>
        <v>0</v>
      </c>
      <c r="CS81" s="2">
        <f t="shared" si="86"/>
        <v>0</v>
      </c>
      <c r="CT81" s="2">
        <f t="shared" si="86"/>
        <v>0</v>
      </c>
      <c r="CU81" s="2">
        <f t="shared" si="86"/>
        <v>0</v>
      </c>
      <c r="CV81" s="2">
        <f t="shared" si="86"/>
        <v>0</v>
      </c>
      <c r="CW81" s="2">
        <f t="shared" si="86"/>
        <v>0</v>
      </c>
      <c r="CX81" s="2">
        <f t="shared" si="86"/>
        <v>0</v>
      </c>
      <c r="DF81" s="2">
        <f t="shared" si="90"/>
        <v>0</v>
      </c>
      <c r="DG81" s="2">
        <f t="shared" si="87"/>
        <v>0</v>
      </c>
      <c r="DH81" s="2">
        <f t="shared" si="87"/>
        <v>0</v>
      </c>
      <c r="DI81" s="2">
        <f t="shared" si="87"/>
        <v>0</v>
      </c>
      <c r="DJ81" s="2">
        <f t="shared" si="87"/>
        <v>0</v>
      </c>
      <c r="DK81" s="2">
        <f t="shared" si="87"/>
        <v>0</v>
      </c>
      <c r="DL81" s="2">
        <f t="shared" si="87"/>
        <v>0</v>
      </c>
      <c r="DM81" s="2">
        <f t="shared" si="87"/>
        <v>0</v>
      </c>
      <c r="DN81" s="2">
        <f t="shared" si="87"/>
        <v>0</v>
      </c>
      <c r="DO81" s="2">
        <f t="shared" si="87"/>
        <v>0</v>
      </c>
      <c r="DP81" s="2">
        <f t="shared" si="87"/>
        <v>0</v>
      </c>
      <c r="DQ81" s="2">
        <f t="shared" si="87"/>
        <v>0</v>
      </c>
      <c r="DR81" s="2">
        <f t="shared" si="91"/>
        <v>0</v>
      </c>
      <c r="DS81" s="2">
        <f t="shared" si="88"/>
        <v>0</v>
      </c>
      <c r="DT81" s="2">
        <f t="shared" si="88"/>
        <v>0</v>
      </c>
      <c r="DU81" s="2">
        <f t="shared" si="88"/>
        <v>0</v>
      </c>
      <c r="DV81" s="2">
        <f t="shared" si="88"/>
        <v>0</v>
      </c>
      <c r="DW81" s="2">
        <f t="shared" si="88"/>
        <v>0</v>
      </c>
      <c r="DX81" s="2">
        <f t="shared" si="88"/>
        <v>0</v>
      </c>
      <c r="DY81" s="2">
        <f t="shared" si="88"/>
        <v>0</v>
      </c>
      <c r="DZ81" s="2">
        <f t="shared" si="88"/>
        <v>0</v>
      </c>
      <c r="EA81" s="2">
        <f t="shared" si="88"/>
        <v>0</v>
      </c>
      <c r="EB81" s="2">
        <f t="shared" si="88"/>
        <v>0</v>
      </c>
      <c r="EC81" s="2">
        <f t="shared" si="88"/>
        <v>0</v>
      </c>
      <c r="ED81" s="2">
        <f t="shared" si="88"/>
        <v>0</v>
      </c>
      <c r="EE81" s="2">
        <f t="shared" si="88"/>
        <v>0</v>
      </c>
      <c r="EF81" s="2">
        <f t="shared" si="88"/>
        <v>0</v>
      </c>
      <c r="EG81" s="2">
        <f t="shared" si="88"/>
        <v>0</v>
      </c>
      <c r="EH81" s="2">
        <f t="shared" si="88"/>
        <v>0</v>
      </c>
      <c r="EI81" s="2">
        <f t="shared" si="88"/>
        <v>0</v>
      </c>
      <c r="EJ81" s="2">
        <f t="shared" si="88"/>
        <v>0</v>
      </c>
      <c r="EK81" s="2">
        <f t="shared" si="88"/>
        <v>0</v>
      </c>
      <c r="EL81" s="2">
        <f t="shared" si="88"/>
        <v>0</v>
      </c>
    </row>
    <row r="82" spans="22:142" ht="14.4" customHeight="1" x14ac:dyDescent="0.3">
      <c r="V82" s="49" t="str">
        <f t="shared" si="100"/>
        <v/>
      </c>
      <c r="W82" s="38" t="str" cm="1">
        <f t="array" ref="W82">IF(Y68="", "", IF(AND(Y68&lt;=MIN(AF68:AO68),Z68&gt;=MAX(AF68:AO68)),"ACCEPT",IF(AND(AF68:AO68="OK"),"ACCEPT","REJECT")))</f>
        <v/>
      </c>
      <c r="X82" s="38" t="str">
        <f t="shared" si="92"/>
        <v/>
      </c>
      <c r="Y82" s="38" t="str">
        <f t="shared" si="93"/>
        <v/>
      </c>
      <c r="Z82" s="38" t="str">
        <f t="shared" si="94"/>
        <v/>
      </c>
      <c r="AA82" s="38">
        <f t="shared" si="95"/>
        <v>1</v>
      </c>
      <c r="AB82" s="38">
        <f t="shared" si="96"/>
        <v>0</v>
      </c>
      <c r="AC82" s="38">
        <f t="shared" si="97"/>
        <v>0</v>
      </c>
      <c r="AD82" s="38">
        <f t="shared" si="98"/>
        <v>0</v>
      </c>
      <c r="AE82" s="38" t="str">
        <f t="shared" si="99"/>
        <v>-</v>
      </c>
      <c r="AP82" s="22"/>
      <c r="AQ82" s="101"/>
      <c r="AR82" s="28"/>
      <c r="AS82" s="28"/>
      <c r="AT82" s="28"/>
      <c r="AU82" s="28"/>
      <c r="AV82" s="28"/>
      <c r="AW82" s="28"/>
      <c r="AX82" s="28"/>
      <c r="AY82" s="28"/>
      <c r="AZ82" s="28"/>
      <c r="BA82" s="28"/>
      <c r="BB82" s="28"/>
      <c r="BC82" s="28"/>
      <c r="BD82" s="28"/>
      <c r="BE82" s="28"/>
      <c r="BF82" s="28"/>
      <c r="BG82" s="28"/>
      <c r="BH82" s="28"/>
      <c r="BI82" s="28"/>
      <c r="BJ82" s="28"/>
      <c r="BK82" s="51"/>
      <c r="BL82" s="210" t="s">
        <v>105</v>
      </c>
      <c r="BM82" s="211"/>
      <c r="BN82" s="28" t="s">
        <v>101</v>
      </c>
      <c r="BO82" s="125"/>
      <c r="BP82" s="126"/>
      <c r="BQ82" s="127"/>
      <c r="BR82" s="162"/>
      <c r="BS82" s="163"/>
      <c r="BT82" s="167"/>
      <c r="BU82" s="168"/>
      <c r="BV82" s="168"/>
      <c r="BW82" s="168"/>
      <c r="BX82" s="169"/>
      <c r="BY82" s="122"/>
      <c r="BZ82" s="123"/>
      <c r="CA82" s="123"/>
      <c r="CB82" s="124"/>
      <c r="CC82" s="122"/>
      <c r="CD82" s="123"/>
      <c r="CE82" s="123"/>
      <c r="CF82" s="215"/>
      <c r="CG82" s="2">
        <f t="shared" si="89"/>
        <v>0</v>
      </c>
      <c r="CH82" s="2">
        <f t="shared" si="84"/>
        <v>0</v>
      </c>
      <c r="CI82" s="2">
        <f t="shared" si="85"/>
        <v>0</v>
      </c>
      <c r="CJ82" s="2">
        <f t="shared" si="85"/>
        <v>0</v>
      </c>
      <c r="CK82" s="2">
        <f t="shared" si="85"/>
        <v>0</v>
      </c>
      <c r="CL82" s="2" t="str">
        <f t="shared" si="85"/>
        <v/>
      </c>
      <c r="CM82" s="2" t="str">
        <f t="shared" si="85"/>
        <v/>
      </c>
      <c r="CN82" s="2">
        <f t="shared" si="85"/>
        <v>0</v>
      </c>
      <c r="CO82" s="2">
        <f t="shared" si="86"/>
        <v>0</v>
      </c>
      <c r="CP82" s="2">
        <f t="shared" si="86"/>
        <v>0</v>
      </c>
      <c r="CQ82" s="2">
        <f t="shared" si="86"/>
        <v>0</v>
      </c>
      <c r="CR82" s="2">
        <f t="shared" si="86"/>
        <v>0</v>
      </c>
      <c r="CS82" s="2">
        <f t="shared" si="86"/>
        <v>0</v>
      </c>
      <c r="CT82" s="2">
        <f t="shared" si="86"/>
        <v>0</v>
      </c>
      <c r="CU82" s="2">
        <f t="shared" si="86"/>
        <v>0</v>
      </c>
      <c r="CV82" s="2">
        <f t="shared" si="86"/>
        <v>0</v>
      </c>
      <c r="CW82" s="2">
        <f t="shared" si="86"/>
        <v>0</v>
      </c>
      <c r="CX82" s="2">
        <f t="shared" si="86"/>
        <v>0</v>
      </c>
      <c r="DF82" s="2">
        <f t="shared" si="90"/>
        <v>0</v>
      </c>
      <c r="DG82" s="2">
        <f t="shared" si="87"/>
        <v>0</v>
      </c>
      <c r="DH82" s="2">
        <f t="shared" si="87"/>
        <v>0</v>
      </c>
      <c r="DI82" s="2">
        <f t="shared" si="87"/>
        <v>0</v>
      </c>
      <c r="DJ82" s="2">
        <f t="shared" si="87"/>
        <v>0</v>
      </c>
      <c r="DK82" s="2">
        <f t="shared" si="87"/>
        <v>0</v>
      </c>
      <c r="DL82" s="2">
        <f t="shared" si="87"/>
        <v>0</v>
      </c>
      <c r="DM82" s="2">
        <f t="shared" si="87"/>
        <v>0</v>
      </c>
      <c r="DN82" s="2">
        <f t="shared" si="87"/>
        <v>0</v>
      </c>
      <c r="DO82" s="2">
        <f t="shared" si="87"/>
        <v>0</v>
      </c>
      <c r="DP82" s="2">
        <f t="shared" si="87"/>
        <v>0</v>
      </c>
      <c r="DQ82" s="2">
        <f t="shared" si="87"/>
        <v>0</v>
      </c>
      <c r="DR82" s="2">
        <f t="shared" si="91"/>
        <v>0</v>
      </c>
      <c r="DS82" s="2">
        <f t="shared" si="88"/>
        <v>0</v>
      </c>
      <c r="DT82" s="2">
        <f t="shared" si="88"/>
        <v>0</v>
      </c>
      <c r="DU82" s="2">
        <f t="shared" si="88"/>
        <v>0</v>
      </c>
      <c r="DV82" s="2">
        <f t="shared" si="88"/>
        <v>0</v>
      </c>
      <c r="DW82" s="2">
        <f t="shared" si="88"/>
        <v>0</v>
      </c>
      <c r="DX82" s="2">
        <f t="shared" si="88"/>
        <v>0</v>
      </c>
      <c r="DY82" s="2">
        <f t="shared" si="88"/>
        <v>0</v>
      </c>
      <c r="DZ82" s="2">
        <f t="shared" si="88"/>
        <v>0</v>
      </c>
      <c r="EA82" s="2">
        <f t="shared" si="88"/>
        <v>0</v>
      </c>
      <c r="EB82" s="2">
        <f t="shared" si="88"/>
        <v>0</v>
      </c>
      <c r="EC82" s="2">
        <f t="shared" si="88"/>
        <v>0</v>
      </c>
      <c r="ED82" s="2">
        <f t="shared" si="88"/>
        <v>0</v>
      </c>
      <c r="EE82" s="2">
        <f t="shared" si="88"/>
        <v>0</v>
      </c>
      <c r="EF82" s="2">
        <f t="shared" si="88"/>
        <v>0</v>
      </c>
      <c r="EG82" s="2">
        <f t="shared" si="88"/>
        <v>0</v>
      </c>
      <c r="EH82" s="2">
        <f t="shared" si="88"/>
        <v>0</v>
      </c>
      <c r="EI82" s="2">
        <f t="shared" si="88"/>
        <v>0</v>
      </c>
      <c r="EJ82" s="2">
        <f t="shared" si="88"/>
        <v>0</v>
      </c>
      <c r="EK82" s="2">
        <f t="shared" si="88"/>
        <v>0</v>
      </c>
      <c r="EL82" s="2">
        <f t="shared" si="88"/>
        <v>0</v>
      </c>
    </row>
    <row r="83" spans="22:142" ht="14.4" customHeight="1" x14ac:dyDescent="0.3">
      <c r="V83" s="49" t="str">
        <f t="shared" si="100"/>
        <v/>
      </c>
      <c r="W83" s="38" t="str" cm="1">
        <f t="array" ref="W83">IF(Y69="", "", IF(AND(Y69&lt;=MIN(AF69:AO69),Z69&gt;=MAX(AF69:AO69)),"ACCEPT",IF(AND(AF69:AO69="OK"),"ACCEPT","REJECT")))</f>
        <v/>
      </c>
      <c r="X83" s="38" t="str">
        <f t="shared" si="92"/>
        <v/>
      </c>
      <c r="Y83" s="38" t="str">
        <f t="shared" si="93"/>
        <v/>
      </c>
      <c r="Z83" s="38" t="str">
        <f t="shared" si="94"/>
        <v/>
      </c>
      <c r="AA83" s="38">
        <f t="shared" si="95"/>
        <v>1</v>
      </c>
      <c r="AB83" s="38">
        <f t="shared" si="96"/>
        <v>0</v>
      </c>
      <c r="AC83" s="38">
        <f t="shared" si="97"/>
        <v>0</v>
      </c>
      <c r="AD83" s="38">
        <f t="shared" si="98"/>
        <v>0</v>
      </c>
      <c r="AE83" s="38" t="str">
        <f t="shared" si="99"/>
        <v>-</v>
      </c>
      <c r="AP83" s="22"/>
      <c r="AQ83" s="101"/>
      <c r="AR83" s="28"/>
      <c r="AS83" s="28"/>
      <c r="AT83" s="28"/>
      <c r="AU83" s="28"/>
      <c r="AV83" s="28"/>
      <c r="AW83" s="28"/>
      <c r="AX83" s="28"/>
      <c r="AY83" s="28"/>
      <c r="AZ83" s="28"/>
      <c r="BA83" s="28"/>
      <c r="BB83" s="28"/>
      <c r="BC83" s="28"/>
      <c r="BD83" s="28"/>
      <c r="BE83" s="28"/>
      <c r="BF83" s="28"/>
      <c r="BG83" s="28"/>
      <c r="BH83" s="28"/>
      <c r="BI83" s="28"/>
      <c r="BJ83" s="28"/>
      <c r="BK83" s="51"/>
      <c r="BL83" s="212" t="s">
        <v>106</v>
      </c>
      <c r="BM83" s="205"/>
      <c r="BN83" s="206"/>
      <c r="BO83" s="213" t="s">
        <v>107</v>
      </c>
      <c r="BP83" s="159"/>
      <c r="BQ83" s="43"/>
      <c r="BR83" s="220" t="s">
        <v>108</v>
      </c>
      <c r="BS83" s="44" t="s">
        <v>109</v>
      </c>
      <c r="BT83" s="45"/>
      <c r="BU83" s="220" t="s">
        <v>110</v>
      </c>
      <c r="BV83" s="119"/>
      <c r="BW83" s="120"/>
      <c r="BX83" s="121"/>
      <c r="BY83" s="122"/>
      <c r="BZ83" s="123"/>
      <c r="CA83" s="123"/>
      <c r="CB83" s="124"/>
      <c r="CC83" s="122"/>
      <c r="CD83" s="123"/>
      <c r="CE83" s="123"/>
      <c r="CF83" s="215"/>
      <c r="CG83" s="2">
        <f>V303</f>
        <v>0</v>
      </c>
      <c r="CH83" s="2">
        <f t="shared" ref="CH83:CH94" si="101">W303</f>
        <v>0</v>
      </c>
      <c r="CI83" s="2">
        <f t="shared" ref="CI83:CN94" si="102">Y303</f>
        <v>0</v>
      </c>
      <c r="CJ83" s="2">
        <f t="shared" si="102"/>
        <v>0</v>
      </c>
      <c r="CK83" s="2">
        <f t="shared" si="102"/>
        <v>0</v>
      </c>
      <c r="CL83" s="2" t="str">
        <f t="shared" si="102"/>
        <v/>
      </c>
      <c r="CM83" s="2" t="str">
        <f t="shared" si="102"/>
        <v/>
      </c>
      <c r="CN83" s="2">
        <f t="shared" si="102"/>
        <v>0</v>
      </c>
      <c r="CO83" s="2">
        <f t="shared" ref="CO83:CX94" si="103">AF303</f>
        <v>0</v>
      </c>
      <c r="CP83" s="2">
        <f t="shared" si="103"/>
        <v>0</v>
      </c>
      <c r="CQ83" s="2">
        <f t="shared" si="103"/>
        <v>0</v>
      </c>
      <c r="CR83" s="2">
        <f t="shared" si="103"/>
        <v>0</v>
      </c>
      <c r="CS83" s="2">
        <f t="shared" si="103"/>
        <v>0</v>
      </c>
      <c r="CT83" s="2">
        <f t="shared" si="103"/>
        <v>0</v>
      </c>
      <c r="CU83" s="2">
        <f t="shared" si="103"/>
        <v>0</v>
      </c>
      <c r="CV83" s="2">
        <f t="shared" si="103"/>
        <v>0</v>
      </c>
      <c r="CW83" s="2">
        <f t="shared" si="103"/>
        <v>0</v>
      </c>
      <c r="CX83" s="2">
        <f t="shared" si="103"/>
        <v>0</v>
      </c>
      <c r="DF83" s="2">
        <f>AZ302</f>
        <v>0</v>
      </c>
      <c r="DG83" s="2">
        <f t="shared" ref="DG83:DQ94" si="104">BA302</f>
        <v>0</v>
      </c>
      <c r="DH83" s="2">
        <f t="shared" si="104"/>
        <v>0</v>
      </c>
      <c r="DI83" s="2">
        <f t="shared" si="104"/>
        <v>0</v>
      </c>
      <c r="DJ83" s="2">
        <f t="shared" si="104"/>
        <v>0</v>
      </c>
      <c r="DK83" s="2">
        <f t="shared" si="104"/>
        <v>0</v>
      </c>
      <c r="DL83" s="2">
        <f t="shared" si="104"/>
        <v>0</v>
      </c>
      <c r="DM83" s="2">
        <f t="shared" si="104"/>
        <v>0</v>
      </c>
      <c r="DN83" s="2">
        <f t="shared" si="104"/>
        <v>0</v>
      </c>
      <c r="DO83" s="2">
        <f t="shared" si="104"/>
        <v>0</v>
      </c>
      <c r="DP83" s="2">
        <f t="shared" si="104"/>
        <v>0</v>
      </c>
      <c r="DQ83" s="2">
        <f t="shared" si="104"/>
        <v>0</v>
      </c>
      <c r="DR83" s="2">
        <f>AQ315</f>
        <v>0</v>
      </c>
      <c r="DS83" s="2">
        <f t="shared" ref="DS83:EL94" si="105">AR315</f>
        <v>0</v>
      </c>
      <c r="DT83" s="2">
        <f t="shared" si="105"/>
        <v>0</v>
      </c>
      <c r="DU83" s="2">
        <f t="shared" si="105"/>
        <v>0</v>
      </c>
      <c r="DV83" s="2">
        <f t="shared" si="105"/>
        <v>0</v>
      </c>
      <c r="DW83" s="2">
        <f t="shared" si="105"/>
        <v>0</v>
      </c>
      <c r="DX83" s="2">
        <f t="shared" si="105"/>
        <v>0</v>
      </c>
      <c r="DY83" s="2">
        <f t="shared" si="105"/>
        <v>0</v>
      </c>
      <c r="DZ83" s="2">
        <f t="shared" si="105"/>
        <v>0</v>
      </c>
      <c r="EA83" s="2">
        <f t="shared" si="105"/>
        <v>0</v>
      </c>
      <c r="EB83" s="2">
        <f t="shared" si="105"/>
        <v>0</v>
      </c>
      <c r="EC83" s="2">
        <f t="shared" si="105"/>
        <v>0</v>
      </c>
      <c r="ED83" s="2">
        <f t="shared" si="105"/>
        <v>0</v>
      </c>
      <c r="EE83" s="2">
        <f t="shared" si="105"/>
        <v>0</v>
      </c>
      <c r="EF83" s="2">
        <f t="shared" si="105"/>
        <v>0</v>
      </c>
      <c r="EG83" s="2">
        <f t="shared" si="105"/>
        <v>0</v>
      </c>
      <c r="EH83" s="2">
        <f t="shared" si="105"/>
        <v>0</v>
      </c>
      <c r="EI83" s="2">
        <f t="shared" si="105"/>
        <v>0</v>
      </c>
      <c r="EJ83" s="2">
        <f t="shared" si="105"/>
        <v>0</v>
      </c>
      <c r="EK83" s="2">
        <f t="shared" si="105"/>
        <v>0</v>
      </c>
      <c r="EL83" s="2">
        <f t="shared" si="105"/>
        <v>0</v>
      </c>
    </row>
    <row r="84" spans="22:142" ht="14.4" customHeight="1" x14ac:dyDescent="0.3">
      <c r="V84" s="49" t="str">
        <f t="shared" si="100"/>
        <v/>
      </c>
      <c r="W84" s="38" t="str" cm="1">
        <f t="array" ref="W84">IF(Y70="", "", IF(AND(Y70&lt;=MIN(AF70:AO70),Z70&gt;=MAX(AF70:AO70)),"ACCEPT",IF(AND(AF70:AO70="OK"),"ACCEPT","REJECT")))</f>
        <v/>
      </c>
      <c r="X84" s="38" t="str">
        <f t="shared" si="92"/>
        <v/>
      </c>
      <c r="Y84" s="38" t="str">
        <f t="shared" si="93"/>
        <v/>
      </c>
      <c r="Z84" s="38" t="str">
        <f t="shared" si="94"/>
        <v/>
      </c>
      <c r="AA84" s="38">
        <f t="shared" si="95"/>
        <v>1</v>
      </c>
      <c r="AB84" s="38">
        <f t="shared" si="96"/>
        <v>0</v>
      </c>
      <c r="AC84" s="38">
        <f t="shared" si="97"/>
        <v>0</v>
      </c>
      <c r="AD84" s="38">
        <f t="shared" si="98"/>
        <v>0</v>
      </c>
      <c r="AE84" s="38" t="str">
        <f t="shared" si="99"/>
        <v>-</v>
      </c>
      <c r="AP84" s="22"/>
      <c r="AQ84" s="101"/>
      <c r="AR84" s="28"/>
      <c r="AS84" s="28"/>
      <c r="AT84" s="28"/>
      <c r="AU84" s="28"/>
      <c r="AV84" s="28"/>
      <c r="AW84" s="28"/>
      <c r="AX84" s="28"/>
      <c r="AY84" s="28"/>
      <c r="AZ84" s="28"/>
      <c r="BA84" s="28"/>
      <c r="BB84" s="28"/>
      <c r="BC84" s="28"/>
      <c r="BD84" s="28"/>
      <c r="BE84" s="28"/>
      <c r="BF84" s="28"/>
      <c r="BG84" s="28"/>
      <c r="BH84" s="28"/>
      <c r="BI84" s="28"/>
      <c r="BJ84" s="28"/>
      <c r="BK84" s="51"/>
      <c r="BL84" s="199"/>
      <c r="BM84" s="154"/>
      <c r="BN84" s="200"/>
      <c r="BO84" s="201"/>
      <c r="BP84" s="202"/>
      <c r="BQ84" s="203"/>
      <c r="BR84" s="221"/>
      <c r="BS84" s="44" t="s">
        <v>112</v>
      </c>
      <c r="BT84" s="45"/>
      <c r="BU84" s="221"/>
      <c r="BV84" s="125"/>
      <c r="BW84" s="126"/>
      <c r="BX84" s="127"/>
      <c r="BY84" s="122"/>
      <c r="BZ84" s="123"/>
      <c r="CA84" s="123"/>
      <c r="CB84" s="124"/>
      <c r="CC84" s="122"/>
      <c r="CD84" s="123"/>
      <c r="CE84" s="123"/>
      <c r="CF84" s="215"/>
      <c r="CG84" s="2">
        <f t="shared" ref="CG84:CG93" si="106">V304</f>
        <v>0</v>
      </c>
      <c r="CH84" s="2">
        <f t="shared" si="101"/>
        <v>0</v>
      </c>
      <c r="CI84" s="2">
        <f t="shared" si="102"/>
        <v>0</v>
      </c>
      <c r="CJ84" s="2">
        <f t="shared" si="102"/>
        <v>0</v>
      </c>
      <c r="CK84" s="2">
        <f t="shared" si="102"/>
        <v>0</v>
      </c>
      <c r="CL84" s="2" t="str">
        <f t="shared" si="102"/>
        <v/>
      </c>
      <c r="CM84" s="2" t="str">
        <f t="shared" si="102"/>
        <v/>
      </c>
      <c r="CN84" s="2">
        <f t="shared" si="102"/>
        <v>0</v>
      </c>
      <c r="CO84" s="2">
        <f t="shared" si="103"/>
        <v>0</v>
      </c>
      <c r="CP84" s="2">
        <f t="shared" si="103"/>
        <v>0</v>
      </c>
      <c r="CQ84" s="2">
        <f t="shared" si="103"/>
        <v>0</v>
      </c>
      <c r="CR84" s="2">
        <f t="shared" si="103"/>
        <v>0</v>
      </c>
      <c r="CS84" s="2">
        <f t="shared" si="103"/>
        <v>0</v>
      </c>
      <c r="CT84" s="2">
        <f t="shared" si="103"/>
        <v>0</v>
      </c>
      <c r="CU84" s="2">
        <f t="shared" si="103"/>
        <v>0</v>
      </c>
      <c r="CV84" s="2">
        <f t="shared" si="103"/>
        <v>0</v>
      </c>
      <c r="CW84" s="2">
        <f t="shared" si="103"/>
        <v>0</v>
      </c>
      <c r="CX84" s="2">
        <f t="shared" si="103"/>
        <v>0</v>
      </c>
      <c r="DF84" s="2">
        <f t="shared" ref="DF84:DF94" si="107">AZ303</f>
        <v>0</v>
      </c>
      <c r="DG84" s="2">
        <f t="shared" si="104"/>
        <v>0</v>
      </c>
      <c r="DH84" s="2">
        <f t="shared" si="104"/>
        <v>0</v>
      </c>
      <c r="DI84" s="2">
        <f t="shared" si="104"/>
        <v>0</v>
      </c>
      <c r="DJ84" s="2">
        <f t="shared" si="104"/>
        <v>0</v>
      </c>
      <c r="DK84" s="2">
        <f t="shared" si="104"/>
        <v>0</v>
      </c>
      <c r="DL84" s="2">
        <f t="shared" si="104"/>
        <v>0</v>
      </c>
      <c r="DM84" s="2">
        <f t="shared" si="104"/>
        <v>0</v>
      </c>
      <c r="DN84" s="2">
        <f t="shared" si="104"/>
        <v>0</v>
      </c>
      <c r="DO84" s="2">
        <f t="shared" si="104"/>
        <v>0</v>
      </c>
      <c r="DP84" s="2">
        <f t="shared" si="104"/>
        <v>0</v>
      </c>
      <c r="DQ84" s="2">
        <f t="shared" si="104"/>
        <v>0</v>
      </c>
      <c r="DR84" s="2">
        <f t="shared" ref="DR84:DR94" si="108">AQ316</f>
        <v>0</v>
      </c>
      <c r="DS84" s="2">
        <f t="shared" si="105"/>
        <v>0</v>
      </c>
      <c r="DT84" s="2">
        <f t="shared" si="105"/>
        <v>0</v>
      </c>
      <c r="DU84" s="2">
        <f t="shared" si="105"/>
        <v>0</v>
      </c>
      <c r="DV84" s="2">
        <f t="shared" si="105"/>
        <v>0</v>
      </c>
      <c r="DW84" s="2">
        <f t="shared" si="105"/>
        <v>0</v>
      </c>
      <c r="DX84" s="2">
        <f t="shared" si="105"/>
        <v>0</v>
      </c>
      <c r="DY84" s="2">
        <f t="shared" si="105"/>
        <v>0</v>
      </c>
      <c r="DZ84" s="2">
        <f t="shared" si="105"/>
        <v>0</v>
      </c>
      <c r="EA84" s="2">
        <f t="shared" si="105"/>
        <v>0</v>
      </c>
      <c r="EB84" s="2">
        <f t="shared" si="105"/>
        <v>0</v>
      </c>
      <c r="EC84" s="2">
        <f t="shared" si="105"/>
        <v>0</v>
      </c>
      <c r="ED84" s="2">
        <f t="shared" si="105"/>
        <v>0</v>
      </c>
      <c r="EE84" s="2">
        <f t="shared" si="105"/>
        <v>0</v>
      </c>
      <c r="EF84" s="2">
        <f t="shared" si="105"/>
        <v>0</v>
      </c>
      <c r="EG84" s="2">
        <f t="shared" si="105"/>
        <v>0</v>
      </c>
      <c r="EH84" s="2">
        <f t="shared" si="105"/>
        <v>0</v>
      </c>
      <c r="EI84" s="2">
        <f t="shared" si="105"/>
        <v>0</v>
      </c>
      <c r="EJ84" s="2">
        <f t="shared" si="105"/>
        <v>0</v>
      </c>
      <c r="EK84" s="2">
        <f t="shared" si="105"/>
        <v>0</v>
      </c>
      <c r="EL84" s="2">
        <f t="shared" si="105"/>
        <v>0</v>
      </c>
    </row>
    <row r="85" spans="22:142" ht="14.4" customHeight="1" x14ac:dyDescent="0.3">
      <c r="V85" s="49" t="str">
        <f t="shared" si="100"/>
        <v/>
      </c>
      <c r="W85" s="38" t="str" cm="1">
        <f t="array" ref="W85">IF(Y71="", "", IF(AND(Y71&lt;=MIN(AF71:AO71),Z71&gt;=MAX(AF71:AO71)),"ACCEPT",IF(AND(AF71:AO71="OK"),"ACCEPT","REJECT")))</f>
        <v/>
      </c>
      <c r="X85" s="38" t="str">
        <f t="shared" si="92"/>
        <v/>
      </c>
      <c r="Y85" s="38" t="str">
        <f t="shared" si="93"/>
        <v/>
      </c>
      <c r="Z85" s="38" t="str">
        <f t="shared" si="94"/>
        <v/>
      </c>
      <c r="AA85" s="38">
        <f t="shared" si="95"/>
        <v>1</v>
      </c>
      <c r="AB85" s="38">
        <f t="shared" si="96"/>
        <v>0</v>
      </c>
      <c r="AC85" s="38">
        <f t="shared" si="97"/>
        <v>0</v>
      </c>
      <c r="AD85" s="38">
        <f t="shared" si="98"/>
        <v>0</v>
      </c>
      <c r="AE85" s="38" t="str">
        <f t="shared" si="99"/>
        <v>-</v>
      </c>
      <c r="AP85" s="22"/>
      <c r="AQ85" s="101"/>
      <c r="AR85" s="28"/>
      <c r="AS85" s="28"/>
      <c r="AT85" s="28"/>
      <c r="AU85" s="28"/>
      <c r="AV85" s="28"/>
      <c r="AW85" s="28"/>
      <c r="AX85" s="28"/>
      <c r="AY85" s="28"/>
      <c r="AZ85" s="28"/>
      <c r="BA85" s="28"/>
      <c r="BB85" s="28"/>
      <c r="BC85" s="28"/>
      <c r="BD85" s="28"/>
      <c r="BE85" s="28"/>
      <c r="BF85" s="28"/>
      <c r="BG85" s="28"/>
      <c r="BH85" s="28"/>
      <c r="BI85" s="28"/>
      <c r="BJ85" s="28"/>
      <c r="BK85" s="51"/>
      <c r="BL85" s="170"/>
      <c r="BM85" s="171"/>
      <c r="BN85" s="172"/>
      <c r="BO85" s="179"/>
      <c r="BP85" s="171"/>
      <c r="BQ85" s="172"/>
      <c r="BR85" s="179"/>
      <c r="BS85" s="171"/>
      <c r="BT85" s="171"/>
      <c r="BU85" s="171"/>
      <c r="BV85" s="171"/>
      <c r="BW85" s="171"/>
      <c r="BX85" s="172"/>
      <c r="BY85" s="122"/>
      <c r="BZ85" s="123"/>
      <c r="CA85" s="123"/>
      <c r="CB85" s="124"/>
      <c r="CC85" s="122"/>
      <c r="CD85" s="123"/>
      <c r="CE85" s="123"/>
      <c r="CF85" s="215"/>
      <c r="CG85" s="2">
        <f t="shared" si="106"/>
        <v>0</v>
      </c>
      <c r="CH85" s="2">
        <f t="shared" si="101"/>
        <v>0</v>
      </c>
      <c r="CI85" s="2">
        <f t="shared" si="102"/>
        <v>0</v>
      </c>
      <c r="CJ85" s="2">
        <f t="shared" si="102"/>
        <v>0</v>
      </c>
      <c r="CK85" s="2">
        <f t="shared" si="102"/>
        <v>0</v>
      </c>
      <c r="CL85" s="2" t="str">
        <f t="shared" si="102"/>
        <v/>
      </c>
      <c r="CM85" s="2" t="str">
        <f t="shared" si="102"/>
        <v/>
      </c>
      <c r="CN85" s="2">
        <f t="shared" si="102"/>
        <v>0</v>
      </c>
      <c r="CO85" s="2">
        <f t="shared" si="103"/>
        <v>0</v>
      </c>
      <c r="CP85" s="2">
        <f t="shared" si="103"/>
        <v>0</v>
      </c>
      <c r="CQ85" s="2">
        <f t="shared" si="103"/>
        <v>0</v>
      </c>
      <c r="CR85" s="2">
        <f t="shared" si="103"/>
        <v>0</v>
      </c>
      <c r="CS85" s="2">
        <f t="shared" si="103"/>
        <v>0</v>
      </c>
      <c r="CT85" s="2">
        <f t="shared" si="103"/>
        <v>0</v>
      </c>
      <c r="CU85" s="2">
        <f t="shared" si="103"/>
        <v>0</v>
      </c>
      <c r="CV85" s="2">
        <f t="shared" si="103"/>
        <v>0</v>
      </c>
      <c r="CW85" s="2">
        <f t="shared" si="103"/>
        <v>0</v>
      </c>
      <c r="CX85" s="2">
        <f t="shared" si="103"/>
        <v>0</v>
      </c>
      <c r="DF85" s="2">
        <f t="shared" si="107"/>
        <v>0</v>
      </c>
      <c r="DG85" s="2">
        <f t="shared" si="104"/>
        <v>0</v>
      </c>
      <c r="DH85" s="2">
        <f t="shared" si="104"/>
        <v>0</v>
      </c>
      <c r="DI85" s="2">
        <f t="shared" si="104"/>
        <v>0</v>
      </c>
      <c r="DJ85" s="2">
        <f t="shared" si="104"/>
        <v>0</v>
      </c>
      <c r="DK85" s="2">
        <f t="shared" si="104"/>
        <v>0</v>
      </c>
      <c r="DL85" s="2">
        <f t="shared" si="104"/>
        <v>0</v>
      </c>
      <c r="DM85" s="2">
        <f t="shared" si="104"/>
        <v>0</v>
      </c>
      <c r="DN85" s="2">
        <f t="shared" si="104"/>
        <v>0</v>
      </c>
      <c r="DO85" s="2">
        <f t="shared" si="104"/>
        <v>0</v>
      </c>
      <c r="DP85" s="2">
        <f t="shared" si="104"/>
        <v>0</v>
      </c>
      <c r="DQ85" s="2">
        <f t="shared" si="104"/>
        <v>0</v>
      </c>
      <c r="DR85" s="2">
        <f t="shared" si="108"/>
        <v>0</v>
      </c>
      <c r="DS85" s="2">
        <f t="shared" si="105"/>
        <v>0</v>
      </c>
      <c r="DT85" s="2">
        <f t="shared" si="105"/>
        <v>0</v>
      </c>
      <c r="DU85" s="2">
        <f t="shared" si="105"/>
        <v>0</v>
      </c>
      <c r="DV85" s="2">
        <f t="shared" si="105"/>
        <v>0</v>
      </c>
      <c r="DW85" s="2">
        <f t="shared" si="105"/>
        <v>0</v>
      </c>
      <c r="DX85" s="2">
        <f t="shared" si="105"/>
        <v>0</v>
      </c>
      <c r="DY85" s="2">
        <f t="shared" si="105"/>
        <v>0</v>
      </c>
      <c r="DZ85" s="2">
        <f t="shared" si="105"/>
        <v>0</v>
      </c>
      <c r="EA85" s="2">
        <f t="shared" si="105"/>
        <v>0</v>
      </c>
      <c r="EB85" s="2">
        <f t="shared" si="105"/>
        <v>0</v>
      </c>
      <c r="EC85" s="2">
        <f t="shared" si="105"/>
        <v>0</v>
      </c>
      <c r="ED85" s="2">
        <f t="shared" si="105"/>
        <v>0</v>
      </c>
      <c r="EE85" s="2">
        <f t="shared" si="105"/>
        <v>0</v>
      </c>
      <c r="EF85" s="2">
        <f t="shared" si="105"/>
        <v>0</v>
      </c>
      <c r="EG85" s="2">
        <f t="shared" si="105"/>
        <v>0</v>
      </c>
      <c r="EH85" s="2">
        <f t="shared" si="105"/>
        <v>0</v>
      </c>
      <c r="EI85" s="2">
        <f t="shared" si="105"/>
        <v>0</v>
      </c>
      <c r="EJ85" s="2">
        <f t="shared" si="105"/>
        <v>0</v>
      </c>
      <c r="EK85" s="2">
        <f t="shared" si="105"/>
        <v>0</v>
      </c>
      <c r="EL85" s="2">
        <f t="shared" si="105"/>
        <v>0</v>
      </c>
    </row>
    <row r="86" spans="22:142" ht="14.4" customHeight="1" x14ac:dyDescent="0.3">
      <c r="V86" s="49" t="str">
        <f t="shared" si="100"/>
        <v/>
      </c>
      <c r="W86" s="38" t="str" cm="1">
        <f t="array" ref="W86">IF(Y72="", "", IF(AND(Y72&lt;=MIN(AF72:AO72),Z72&gt;=MAX(AF72:AO72)),"ACCEPT",IF(AND(AF72:AO72="OK"),"ACCEPT","REJECT")))</f>
        <v/>
      </c>
      <c r="X86" s="38" t="str">
        <f t="shared" si="92"/>
        <v/>
      </c>
      <c r="Y86" s="38" t="str">
        <f t="shared" si="93"/>
        <v/>
      </c>
      <c r="Z86" s="38" t="str">
        <f t="shared" si="94"/>
        <v/>
      </c>
      <c r="AA86" s="38">
        <f t="shared" si="95"/>
        <v>1</v>
      </c>
      <c r="AB86" s="38">
        <f t="shared" si="96"/>
        <v>0</v>
      </c>
      <c r="AC86" s="38">
        <f t="shared" si="97"/>
        <v>0</v>
      </c>
      <c r="AD86" s="38">
        <f t="shared" si="98"/>
        <v>0</v>
      </c>
      <c r="AE86" s="38" t="str">
        <f t="shared" si="99"/>
        <v>-</v>
      </c>
      <c r="AP86" s="22"/>
      <c r="AQ86" s="101"/>
      <c r="AR86" s="28"/>
      <c r="AS86" s="28"/>
      <c r="AT86" s="28"/>
      <c r="AU86" s="28"/>
      <c r="AV86" s="28"/>
      <c r="AW86" s="28"/>
      <c r="AX86" s="28"/>
      <c r="AY86" s="28"/>
      <c r="AZ86" s="28"/>
      <c r="BA86" s="28"/>
      <c r="BB86" s="28"/>
      <c r="BC86" s="28"/>
      <c r="BD86" s="28"/>
      <c r="BE86" s="28"/>
      <c r="BF86" s="28"/>
      <c r="BG86" s="28"/>
      <c r="BH86" s="28"/>
      <c r="BI86" s="28"/>
      <c r="BJ86" s="28"/>
      <c r="BK86" s="51"/>
      <c r="BL86" s="173"/>
      <c r="BM86" s="174"/>
      <c r="BN86" s="175"/>
      <c r="BO86" s="180"/>
      <c r="BP86" s="174"/>
      <c r="BQ86" s="175"/>
      <c r="BR86" s="180"/>
      <c r="BS86" s="174"/>
      <c r="BT86" s="174"/>
      <c r="BU86" s="174"/>
      <c r="BV86" s="174"/>
      <c r="BW86" s="174"/>
      <c r="BX86" s="175"/>
      <c r="BY86" s="122"/>
      <c r="BZ86" s="123"/>
      <c r="CA86" s="123"/>
      <c r="CB86" s="124"/>
      <c r="CC86" s="122"/>
      <c r="CD86" s="123"/>
      <c r="CE86" s="123"/>
      <c r="CF86" s="215"/>
      <c r="CG86" s="2">
        <f t="shared" si="106"/>
        <v>0</v>
      </c>
      <c r="CH86" s="2">
        <f t="shared" si="101"/>
        <v>0</v>
      </c>
      <c r="CI86" s="2">
        <f t="shared" si="102"/>
        <v>0</v>
      </c>
      <c r="CJ86" s="2">
        <f t="shared" si="102"/>
        <v>0</v>
      </c>
      <c r="CK86" s="2">
        <f t="shared" si="102"/>
        <v>0</v>
      </c>
      <c r="CL86" s="2" t="str">
        <f t="shared" si="102"/>
        <v/>
      </c>
      <c r="CM86" s="2" t="str">
        <f t="shared" si="102"/>
        <v/>
      </c>
      <c r="CN86" s="2">
        <f t="shared" si="102"/>
        <v>0</v>
      </c>
      <c r="CO86" s="2">
        <f t="shared" si="103"/>
        <v>0</v>
      </c>
      <c r="CP86" s="2">
        <f t="shared" si="103"/>
        <v>0</v>
      </c>
      <c r="CQ86" s="2">
        <f t="shared" si="103"/>
        <v>0</v>
      </c>
      <c r="CR86" s="2">
        <f t="shared" si="103"/>
        <v>0</v>
      </c>
      <c r="CS86" s="2">
        <f t="shared" si="103"/>
        <v>0</v>
      </c>
      <c r="CT86" s="2">
        <f t="shared" si="103"/>
        <v>0</v>
      </c>
      <c r="CU86" s="2">
        <f t="shared" si="103"/>
        <v>0</v>
      </c>
      <c r="CV86" s="2">
        <f t="shared" si="103"/>
        <v>0</v>
      </c>
      <c r="CW86" s="2">
        <f t="shared" si="103"/>
        <v>0</v>
      </c>
      <c r="CX86" s="2">
        <f t="shared" si="103"/>
        <v>0</v>
      </c>
      <c r="DF86" s="2">
        <f t="shared" si="107"/>
        <v>0</v>
      </c>
      <c r="DG86" s="2">
        <f t="shared" si="104"/>
        <v>0</v>
      </c>
      <c r="DH86" s="2">
        <f t="shared" si="104"/>
        <v>0</v>
      </c>
      <c r="DI86" s="2">
        <f t="shared" si="104"/>
        <v>0</v>
      </c>
      <c r="DJ86" s="2">
        <f t="shared" si="104"/>
        <v>0</v>
      </c>
      <c r="DK86" s="2">
        <f t="shared" si="104"/>
        <v>0</v>
      </c>
      <c r="DL86" s="2">
        <f t="shared" si="104"/>
        <v>0</v>
      </c>
      <c r="DM86" s="2">
        <f t="shared" si="104"/>
        <v>0</v>
      </c>
      <c r="DN86" s="2">
        <f t="shared" si="104"/>
        <v>0</v>
      </c>
      <c r="DO86" s="2">
        <f t="shared" si="104"/>
        <v>0</v>
      </c>
      <c r="DP86" s="2">
        <f t="shared" si="104"/>
        <v>0</v>
      </c>
      <c r="DQ86" s="2">
        <f t="shared" si="104"/>
        <v>0</v>
      </c>
      <c r="DR86" s="2">
        <f t="shared" si="108"/>
        <v>0</v>
      </c>
      <c r="DS86" s="2">
        <f t="shared" si="105"/>
        <v>0</v>
      </c>
      <c r="DT86" s="2">
        <f t="shared" si="105"/>
        <v>0</v>
      </c>
      <c r="DU86" s="2">
        <f t="shared" si="105"/>
        <v>0</v>
      </c>
      <c r="DV86" s="2">
        <f t="shared" si="105"/>
        <v>0</v>
      </c>
      <c r="DW86" s="2">
        <f t="shared" si="105"/>
        <v>0</v>
      </c>
      <c r="DX86" s="2">
        <f t="shared" si="105"/>
        <v>0</v>
      </c>
      <c r="DY86" s="2">
        <f t="shared" si="105"/>
        <v>0</v>
      </c>
      <c r="DZ86" s="2">
        <f t="shared" si="105"/>
        <v>0</v>
      </c>
      <c r="EA86" s="2">
        <f t="shared" si="105"/>
        <v>0</v>
      </c>
      <c r="EB86" s="2">
        <f t="shared" si="105"/>
        <v>0</v>
      </c>
      <c r="EC86" s="2">
        <f t="shared" si="105"/>
        <v>0</v>
      </c>
      <c r="ED86" s="2">
        <f t="shared" si="105"/>
        <v>0</v>
      </c>
      <c r="EE86" s="2">
        <f t="shared" si="105"/>
        <v>0</v>
      </c>
      <c r="EF86" s="2">
        <f t="shared" si="105"/>
        <v>0</v>
      </c>
      <c r="EG86" s="2">
        <f t="shared" si="105"/>
        <v>0</v>
      </c>
      <c r="EH86" s="2">
        <f t="shared" si="105"/>
        <v>0</v>
      </c>
      <c r="EI86" s="2">
        <f t="shared" si="105"/>
        <v>0</v>
      </c>
      <c r="EJ86" s="2">
        <f t="shared" si="105"/>
        <v>0</v>
      </c>
      <c r="EK86" s="2">
        <f t="shared" si="105"/>
        <v>0</v>
      </c>
      <c r="EL86" s="2">
        <f t="shared" si="105"/>
        <v>0</v>
      </c>
    </row>
    <row r="87" spans="22:142" ht="14.4" customHeight="1" thickBot="1" x14ac:dyDescent="0.35">
      <c r="V87" s="49" t="str">
        <f t="shared" si="100"/>
        <v/>
      </c>
      <c r="W87" s="38" t="str" cm="1">
        <f t="array" ref="W87">IF(Y73="", "", IF(AND(Y73&lt;=MIN(AF73:AO73),Z73&gt;=MAX(AF73:AO73)),"ACCEPT",IF(AND(AF73:AO73="OK"),"ACCEPT","REJECT")))</f>
        <v/>
      </c>
      <c r="X87" s="38" t="str">
        <f t="shared" si="92"/>
        <v/>
      </c>
      <c r="Y87" s="38" t="str">
        <f t="shared" si="93"/>
        <v/>
      </c>
      <c r="Z87" s="38" t="str">
        <f t="shared" si="94"/>
        <v/>
      </c>
      <c r="AA87" s="38">
        <f t="shared" si="95"/>
        <v>1</v>
      </c>
      <c r="AB87" s="38">
        <f t="shared" si="96"/>
        <v>0</v>
      </c>
      <c r="AC87" s="38">
        <f t="shared" si="97"/>
        <v>0</v>
      </c>
      <c r="AD87" s="38">
        <f t="shared" si="98"/>
        <v>0</v>
      </c>
      <c r="AE87" s="38" t="str">
        <f t="shared" si="99"/>
        <v>-</v>
      </c>
      <c r="AP87" s="22"/>
      <c r="AQ87" s="145" t="s">
        <v>113</v>
      </c>
      <c r="AR87" s="145"/>
      <c r="AS87" s="145"/>
      <c r="AT87" s="145"/>
      <c r="AU87" s="145"/>
      <c r="AV87" s="145"/>
      <c r="AW87" s="145"/>
      <c r="AX87" s="145"/>
      <c r="AY87" s="285"/>
      <c r="AZ87" s="285"/>
      <c r="BA87" s="285"/>
      <c r="BB87" s="285"/>
      <c r="BC87" s="285"/>
      <c r="BD87" s="285"/>
      <c r="BE87" s="285"/>
      <c r="BF87" s="286"/>
      <c r="BK87" s="22"/>
      <c r="BL87" s="173"/>
      <c r="BM87" s="174"/>
      <c r="BN87" s="175"/>
      <c r="BO87" s="180"/>
      <c r="BP87" s="174"/>
      <c r="BQ87" s="175"/>
      <c r="BR87" s="180"/>
      <c r="BS87" s="174"/>
      <c r="BT87" s="174"/>
      <c r="BU87" s="174"/>
      <c r="BV87" s="174"/>
      <c r="BW87" s="174"/>
      <c r="BX87" s="175"/>
      <c r="BY87" s="122"/>
      <c r="BZ87" s="123"/>
      <c r="CA87" s="123"/>
      <c r="CB87" s="124"/>
      <c r="CC87" s="122"/>
      <c r="CD87" s="123"/>
      <c r="CE87" s="123"/>
      <c r="CF87" s="215"/>
      <c r="CG87" s="2">
        <f t="shared" si="106"/>
        <v>0</v>
      </c>
      <c r="CH87" s="2">
        <f t="shared" si="101"/>
        <v>0</v>
      </c>
      <c r="CI87" s="2">
        <f t="shared" si="102"/>
        <v>0</v>
      </c>
      <c r="CJ87" s="2">
        <f t="shared" si="102"/>
        <v>0</v>
      </c>
      <c r="CK87" s="2">
        <f t="shared" si="102"/>
        <v>0</v>
      </c>
      <c r="CL87" s="2" t="str">
        <f t="shared" si="102"/>
        <v/>
      </c>
      <c r="CM87" s="2" t="str">
        <f t="shared" si="102"/>
        <v/>
      </c>
      <c r="CN87" s="2">
        <f t="shared" si="102"/>
        <v>0</v>
      </c>
      <c r="CO87" s="2">
        <f t="shared" si="103"/>
        <v>0</v>
      </c>
      <c r="CP87" s="2">
        <f t="shared" si="103"/>
        <v>0</v>
      </c>
      <c r="CQ87" s="2">
        <f t="shared" si="103"/>
        <v>0</v>
      </c>
      <c r="CR87" s="2">
        <f t="shared" si="103"/>
        <v>0</v>
      </c>
      <c r="CS87" s="2">
        <f t="shared" si="103"/>
        <v>0</v>
      </c>
      <c r="CT87" s="2">
        <f t="shared" si="103"/>
        <v>0</v>
      </c>
      <c r="CU87" s="2">
        <f t="shared" si="103"/>
        <v>0</v>
      </c>
      <c r="CV87" s="2">
        <f t="shared" si="103"/>
        <v>0</v>
      </c>
      <c r="CW87" s="2">
        <f t="shared" si="103"/>
        <v>0</v>
      </c>
      <c r="CX87" s="2">
        <f t="shared" si="103"/>
        <v>0</v>
      </c>
      <c r="DF87" s="2">
        <f t="shared" si="107"/>
        <v>0</v>
      </c>
      <c r="DG87" s="2">
        <f t="shared" si="104"/>
        <v>0</v>
      </c>
      <c r="DH87" s="2">
        <f t="shared" si="104"/>
        <v>0</v>
      </c>
      <c r="DI87" s="2">
        <f t="shared" si="104"/>
        <v>0</v>
      </c>
      <c r="DJ87" s="2">
        <f t="shared" si="104"/>
        <v>0</v>
      </c>
      <c r="DK87" s="2">
        <f t="shared" si="104"/>
        <v>0</v>
      </c>
      <c r="DL87" s="2">
        <f t="shared" si="104"/>
        <v>0</v>
      </c>
      <c r="DM87" s="2">
        <f t="shared" si="104"/>
        <v>0</v>
      </c>
      <c r="DN87" s="2">
        <f t="shared" si="104"/>
        <v>0</v>
      </c>
      <c r="DO87" s="2">
        <f t="shared" si="104"/>
        <v>0</v>
      </c>
      <c r="DP87" s="2">
        <f t="shared" si="104"/>
        <v>0</v>
      </c>
      <c r="DQ87" s="2">
        <f t="shared" si="104"/>
        <v>0</v>
      </c>
      <c r="DR87" s="2">
        <f t="shared" si="108"/>
        <v>0</v>
      </c>
      <c r="DS87" s="2">
        <f t="shared" si="105"/>
        <v>0</v>
      </c>
      <c r="DT87" s="2">
        <f t="shared" si="105"/>
        <v>0</v>
      </c>
      <c r="DU87" s="2">
        <f t="shared" si="105"/>
        <v>0</v>
      </c>
      <c r="DV87" s="2">
        <f t="shared" si="105"/>
        <v>0</v>
      </c>
      <c r="DW87" s="2">
        <f t="shared" si="105"/>
        <v>0</v>
      </c>
      <c r="DX87" s="2">
        <f t="shared" si="105"/>
        <v>0</v>
      </c>
      <c r="DY87" s="2">
        <f t="shared" si="105"/>
        <v>0</v>
      </c>
      <c r="DZ87" s="2">
        <f t="shared" si="105"/>
        <v>0</v>
      </c>
      <c r="EA87" s="2">
        <f t="shared" si="105"/>
        <v>0</v>
      </c>
      <c r="EB87" s="2">
        <f t="shared" si="105"/>
        <v>0</v>
      </c>
      <c r="EC87" s="2">
        <f t="shared" si="105"/>
        <v>0</v>
      </c>
      <c r="ED87" s="2">
        <f t="shared" si="105"/>
        <v>0</v>
      </c>
      <c r="EE87" s="2">
        <f t="shared" si="105"/>
        <v>0</v>
      </c>
      <c r="EF87" s="2">
        <f t="shared" si="105"/>
        <v>0</v>
      </c>
      <c r="EG87" s="2">
        <f t="shared" si="105"/>
        <v>0</v>
      </c>
      <c r="EH87" s="2">
        <f t="shared" si="105"/>
        <v>0</v>
      </c>
      <c r="EI87" s="2">
        <f t="shared" si="105"/>
        <v>0</v>
      </c>
      <c r="EJ87" s="2">
        <f t="shared" si="105"/>
        <v>0</v>
      </c>
      <c r="EK87" s="2">
        <f t="shared" si="105"/>
        <v>0</v>
      </c>
      <c r="EL87" s="2">
        <f t="shared" si="105"/>
        <v>0</v>
      </c>
    </row>
    <row r="88" spans="22:142" ht="14.4" customHeight="1" x14ac:dyDescent="0.3">
      <c r="V88" s="49" t="str">
        <f>IF(ISBLANK(V74),"",V74)</f>
        <v/>
      </c>
      <c r="W88" s="38" t="str" cm="1">
        <f t="array" ref="W88">IF(Y74="", "", IF(AND(Y74&lt;=MIN(AF74:AO74),Z74&gt;=MAX(AF74:AO74)),"ACCEPT",IF(AND(AF74:AO74="OK"),"ACCEPT","REJECT")))</f>
        <v/>
      </c>
      <c r="X88" s="38" t="str">
        <f t="shared" si="92"/>
        <v/>
      </c>
      <c r="Y88" s="38" t="str">
        <f t="shared" si="93"/>
        <v/>
      </c>
      <c r="Z88" s="38" t="str">
        <f t="shared" si="94"/>
        <v/>
      </c>
      <c r="AA88" s="38">
        <f t="shared" si="95"/>
        <v>1</v>
      </c>
      <c r="AB88" s="38">
        <f t="shared" si="96"/>
        <v>0</v>
      </c>
      <c r="AC88" s="38">
        <f t="shared" si="97"/>
        <v>0</v>
      </c>
      <c r="AD88" s="38">
        <f t="shared" si="98"/>
        <v>0</v>
      </c>
      <c r="AE88" s="38" t="str">
        <f t="shared" si="99"/>
        <v>-</v>
      </c>
      <c r="AP88" s="22"/>
      <c r="AQ88" s="102"/>
      <c r="AR88" s="53" t="s">
        <v>114</v>
      </c>
      <c r="AS88" s="53" t="s">
        <v>115</v>
      </c>
      <c r="AT88" s="53" t="s">
        <v>116</v>
      </c>
      <c r="AU88" s="53" t="s">
        <v>119</v>
      </c>
      <c r="AV88" s="53" t="s">
        <v>120</v>
      </c>
      <c r="AW88" s="53" t="s">
        <v>121</v>
      </c>
      <c r="AX88" s="54" t="s">
        <v>122</v>
      </c>
      <c r="AY88" s="52"/>
      <c r="AZ88" s="53" t="s">
        <v>114</v>
      </c>
      <c r="BA88" s="53" t="s">
        <v>115</v>
      </c>
      <c r="BB88" s="53" t="s">
        <v>116</v>
      </c>
      <c r="BC88" s="53" t="s">
        <v>119</v>
      </c>
      <c r="BD88" s="53" t="s">
        <v>120</v>
      </c>
      <c r="BE88" s="53" t="s">
        <v>121</v>
      </c>
      <c r="BF88" s="54" t="s">
        <v>122</v>
      </c>
      <c r="BK88" s="22"/>
      <c r="BL88" s="173"/>
      <c r="BM88" s="174"/>
      <c r="BN88" s="175"/>
      <c r="BO88" s="180"/>
      <c r="BP88" s="174"/>
      <c r="BQ88" s="175"/>
      <c r="BR88" s="180"/>
      <c r="BS88" s="174"/>
      <c r="BT88" s="174"/>
      <c r="BU88" s="174"/>
      <c r="BV88" s="174"/>
      <c r="BW88" s="174"/>
      <c r="BX88" s="175"/>
      <c r="BY88" s="122"/>
      <c r="BZ88" s="123"/>
      <c r="CA88" s="123"/>
      <c r="CB88" s="124"/>
      <c r="CC88" s="122"/>
      <c r="CD88" s="123"/>
      <c r="CE88" s="123"/>
      <c r="CF88" s="215"/>
      <c r="CG88" s="2">
        <f t="shared" si="106"/>
        <v>0</v>
      </c>
      <c r="CH88" s="2">
        <f t="shared" si="101"/>
        <v>0</v>
      </c>
      <c r="CI88" s="2">
        <f t="shared" si="102"/>
        <v>0</v>
      </c>
      <c r="CJ88" s="2">
        <f t="shared" si="102"/>
        <v>0</v>
      </c>
      <c r="CK88" s="2">
        <f t="shared" si="102"/>
        <v>0</v>
      </c>
      <c r="CL88" s="2" t="str">
        <f t="shared" si="102"/>
        <v/>
      </c>
      <c r="CM88" s="2" t="str">
        <f t="shared" si="102"/>
        <v/>
      </c>
      <c r="CN88" s="2">
        <f t="shared" si="102"/>
        <v>0</v>
      </c>
      <c r="CO88" s="2">
        <f t="shared" si="103"/>
        <v>0</v>
      </c>
      <c r="CP88" s="2">
        <f t="shared" si="103"/>
        <v>0</v>
      </c>
      <c r="CQ88" s="2">
        <f t="shared" si="103"/>
        <v>0</v>
      </c>
      <c r="CR88" s="2">
        <f t="shared" si="103"/>
        <v>0</v>
      </c>
      <c r="CS88" s="2">
        <f t="shared" si="103"/>
        <v>0</v>
      </c>
      <c r="CT88" s="2">
        <f t="shared" si="103"/>
        <v>0</v>
      </c>
      <c r="CU88" s="2">
        <f t="shared" si="103"/>
        <v>0</v>
      </c>
      <c r="CV88" s="2">
        <f t="shared" si="103"/>
        <v>0</v>
      </c>
      <c r="CW88" s="2">
        <f t="shared" si="103"/>
        <v>0</v>
      </c>
      <c r="CX88" s="2">
        <f t="shared" si="103"/>
        <v>0</v>
      </c>
      <c r="DF88" s="2">
        <f t="shared" si="107"/>
        <v>0</v>
      </c>
      <c r="DG88" s="2">
        <f t="shared" si="104"/>
        <v>0</v>
      </c>
      <c r="DH88" s="2">
        <f t="shared" si="104"/>
        <v>0</v>
      </c>
      <c r="DI88" s="2">
        <f t="shared" si="104"/>
        <v>0</v>
      </c>
      <c r="DJ88" s="2">
        <f t="shared" si="104"/>
        <v>0</v>
      </c>
      <c r="DK88" s="2">
        <f t="shared" si="104"/>
        <v>0</v>
      </c>
      <c r="DL88" s="2">
        <f t="shared" si="104"/>
        <v>0</v>
      </c>
      <c r="DM88" s="2">
        <f t="shared" si="104"/>
        <v>0</v>
      </c>
      <c r="DN88" s="2">
        <f t="shared" si="104"/>
        <v>0</v>
      </c>
      <c r="DO88" s="2">
        <f t="shared" si="104"/>
        <v>0</v>
      </c>
      <c r="DP88" s="2">
        <f t="shared" si="104"/>
        <v>0</v>
      </c>
      <c r="DQ88" s="2">
        <f t="shared" si="104"/>
        <v>0</v>
      </c>
      <c r="DR88" s="2">
        <f t="shared" si="108"/>
        <v>0</v>
      </c>
      <c r="DS88" s="2">
        <f t="shared" si="105"/>
        <v>0</v>
      </c>
      <c r="DT88" s="2">
        <f t="shared" si="105"/>
        <v>0</v>
      </c>
      <c r="DU88" s="2">
        <f t="shared" si="105"/>
        <v>0</v>
      </c>
      <c r="DV88" s="2">
        <f t="shared" si="105"/>
        <v>0</v>
      </c>
      <c r="DW88" s="2">
        <f t="shared" si="105"/>
        <v>0</v>
      </c>
      <c r="DX88" s="2">
        <f t="shared" si="105"/>
        <v>0</v>
      </c>
      <c r="DY88" s="2">
        <f t="shared" si="105"/>
        <v>0</v>
      </c>
      <c r="DZ88" s="2">
        <f t="shared" si="105"/>
        <v>0</v>
      </c>
      <c r="EA88" s="2">
        <f t="shared" si="105"/>
        <v>0</v>
      </c>
      <c r="EB88" s="2">
        <f t="shared" si="105"/>
        <v>0</v>
      </c>
      <c r="EC88" s="2">
        <f t="shared" si="105"/>
        <v>0</v>
      </c>
      <c r="ED88" s="2">
        <f t="shared" si="105"/>
        <v>0</v>
      </c>
      <c r="EE88" s="2">
        <f t="shared" si="105"/>
        <v>0</v>
      </c>
      <c r="EF88" s="2">
        <f t="shared" si="105"/>
        <v>0</v>
      </c>
      <c r="EG88" s="2">
        <f t="shared" si="105"/>
        <v>0</v>
      </c>
      <c r="EH88" s="2">
        <f t="shared" si="105"/>
        <v>0</v>
      </c>
      <c r="EI88" s="2">
        <f t="shared" si="105"/>
        <v>0</v>
      </c>
      <c r="EJ88" s="2">
        <f t="shared" si="105"/>
        <v>0</v>
      </c>
      <c r="EK88" s="2">
        <f t="shared" si="105"/>
        <v>0</v>
      </c>
      <c r="EL88" s="2">
        <f t="shared" si="105"/>
        <v>0</v>
      </c>
    </row>
    <row r="89" spans="22:142" ht="14.4" customHeight="1" x14ac:dyDescent="0.3">
      <c r="V89" s="55"/>
      <c r="W89" s="56"/>
      <c r="X89" s="56"/>
      <c r="Y89" s="56"/>
      <c r="Z89" s="56"/>
      <c r="AP89" s="22"/>
      <c r="AQ89" s="37" t="str">
        <f>IF(ISBLANK(V63),"",V63)</f>
        <v/>
      </c>
      <c r="AR89" s="38" t="str" cm="1">
        <f t="array" ref="AR89">IF(AT62="", "", IF(AND(AT62&lt;=MIN(AZ62:BK62,AQ75:BK75),AU62&gt;=MAX(AZ62:BK62,AQ75:BK75)),"ACCEPT",IF(AND(AZ62:BK62,AQ75:BK75="OK"),"ACCEPT","REJECT")))</f>
        <v/>
      </c>
      <c r="AS89" s="38" t="str">
        <f>IF(TRIM(AR89)="", "", MAX(AZ62:BK62,AQ75:BK75))</f>
        <v/>
      </c>
      <c r="AT89" s="38" t="str">
        <f t="shared" ref="AT89:AT94" si="109">IF(TRIM(AR89)="", "", MIN(AZ62:BK62,AQ75:BK75))</f>
        <v/>
      </c>
      <c r="AU89" s="38">
        <f>IF(COUNT(AZ62:BK62,AQ75:BK75)=0,0,AVERAGE(AZ62:BK62,AQ75:BK75))</f>
        <v>0</v>
      </c>
      <c r="AV89" s="38">
        <f>MAX(AZ62:BK62,AQ75:BK75)-MIN(AZ62:BK62,AQ75:BK75)</f>
        <v>0</v>
      </c>
      <c r="AW89" s="38">
        <f>IF(COUNT(AZ62:BK62,AQ75:BK75)=0,0,_xlfn.STDEV.S(AZ62:BK62,AQ75:BK75))</f>
        <v>0</v>
      </c>
      <c r="AX89" s="57" t="str">
        <f t="shared" ref="AX89:AX94" si="110">IF(AU89=0,"-",IF(AU89-AT62&lt;AU62-AU89,AU89-AT62,AU62-AU89)/(AW89*3))</f>
        <v>-</v>
      </c>
      <c r="AY89" s="49" t="str">
        <f>IF(ISBLANK(V69),"",V69)</f>
        <v/>
      </c>
      <c r="AZ89" s="38" t="str" cm="1">
        <f t="array" ref="AZ89">IF(AT68="", "", IF(AND(Y69&lt;=MIN(AZ68:BK68,AQ81:BK81),AU68&gt;=MAX(AZ68:BK68,AQ81:BK81)),"ACCEPT",IF(AND(AZ68:BK68,AQ81:BK81="OK"),"ACCEPT","REJECT")))</f>
        <v/>
      </c>
      <c r="BA89" s="38" t="str">
        <f t="shared" ref="BA89:BA94" si="111">IF(TRIM(AZ89)="", "", MAX(AZ68:BK68,AQ81:BK81))</f>
        <v/>
      </c>
      <c r="BB89" s="38" t="str">
        <f t="shared" ref="BB89:BB94" si="112">IF(TRIM(AZ89)="", "", MIN(AZ68:BK68,AQ81:BK81))</f>
        <v/>
      </c>
      <c r="BC89" s="38">
        <f t="shared" ref="BC89:BC94" si="113">IF(COUNT(AZ68:BK68,AQ81:BK81)=0,0,AVERAGE(AZ68:BK68,AQ81:BK81))</f>
        <v>0</v>
      </c>
      <c r="BD89" s="38">
        <f t="shared" ref="BD89:BD94" si="114">MAX(AZ68:BK68,AQ81:BK81)-MIN(AZ68:BK68,AQ81:BK81)</f>
        <v>0</v>
      </c>
      <c r="BE89" s="38">
        <f t="shared" ref="BE89:BE94" si="115">IF(COUNT(AZ68:BK68,AQ81:BK81)=0,0,_xlfn.STDEV.S(AZ68:BK68,AQ81:BK81))</f>
        <v>0</v>
      </c>
      <c r="BF89" s="57" t="str">
        <f t="shared" ref="BF89:BF94" si="116">IF(BC89=0,"-",IF(BC89-AT68&lt;AU68-BC89,BC89-AT68,AU68-BC89)/(BE89*3))</f>
        <v>-</v>
      </c>
      <c r="BK89" s="22"/>
      <c r="BL89" s="173"/>
      <c r="BM89" s="174"/>
      <c r="BN89" s="175"/>
      <c r="BO89" s="180"/>
      <c r="BP89" s="174"/>
      <c r="BQ89" s="175"/>
      <c r="BR89" s="180"/>
      <c r="BS89" s="174"/>
      <c r="BT89" s="174"/>
      <c r="BU89" s="174"/>
      <c r="BV89" s="174"/>
      <c r="BW89" s="174"/>
      <c r="BX89" s="175"/>
      <c r="BY89" s="122"/>
      <c r="BZ89" s="123"/>
      <c r="CA89" s="123"/>
      <c r="CB89" s="124"/>
      <c r="CC89" s="122"/>
      <c r="CD89" s="123"/>
      <c r="CE89" s="123"/>
      <c r="CF89" s="215"/>
      <c r="CG89" s="2">
        <f t="shared" si="106"/>
        <v>0</v>
      </c>
      <c r="CH89" s="2">
        <f t="shared" si="101"/>
        <v>0</v>
      </c>
      <c r="CI89" s="2">
        <f t="shared" si="102"/>
        <v>0</v>
      </c>
      <c r="CJ89" s="2">
        <f t="shared" si="102"/>
        <v>0</v>
      </c>
      <c r="CK89" s="2">
        <f t="shared" si="102"/>
        <v>0</v>
      </c>
      <c r="CL89" s="2" t="str">
        <f t="shared" si="102"/>
        <v/>
      </c>
      <c r="CM89" s="2" t="str">
        <f t="shared" si="102"/>
        <v/>
      </c>
      <c r="CN89" s="2">
        <f t="shared" si="102"/>
        <v>0</v>
      </c>
      <c r="CO89" s="2">
        <f t="shared" si="103"/>
        <v>0</v>
      </c>
      <c r="CP89" s="2">
        <f t="shared" si="103"/>
        <v>0</v>
      </c>
      <c r="CQ89" s="2">
        <f t="shared" si="103"/>
        <v>0</v>
      </c>
      <c r="CR89" s="2">
        <f t="shared" si="103"/>
        <v>0</v>
      </c>
      <c r="CS89" s="2">
        <f t="shared" si="103"/>
        <v>0</v>
      </c>
      <c r="CT89" s="2">
        <f t="shared" si="103"/>
        <v>0</v>
      </c>
      <c r="CU89" s="2">
        <f t="shared" si="103"/>
        <v>0</v>
      </c>
      <c r="CV89" s="2">
        <f t="shared" si="103"/>
        <v>0</v>
      </c>
      <c r="CW89" s="2">
        <f t="shared" si="103"/>
        <v>0</v>
      </c>
      <c r="CX89" s="2">
        <f t="shared" si="103"/>
        <v>0</v>
      </c>
      <c r="DF89" s="2">
        <f t="shared" si="107"/>
        <v>0</v>
      </c>
      <c r="DG89" s="2">
        <f t="shared" si="104"/>
        <v>0</v>
      </c>
      <c r="DH89" s="2">
        <f t="shared" si="104"/>
        <v>0</v>
      </c>
      <c r="DI89" s="2">
        <f t="shared" si="104"/>
        <v>0</v>
      </c>
      <c r="DJ89" s="2">
        <f t="shared" si="104"/>
        <v>0</v>
      </c>
      <c r="DK89" s="2">
        <f t="shared" si="104"/>
        <v>0</v>
      </c>
      <c r="DL89" s="2">
        <f t="shared" si="104"/>
        <v>0</v>
      </c>
      <c r="DM89" s="2">
        <f t="shared" si="104"/>
        <v>0</v>
      </c>
      <c r="DN89" s="2">
        <f t="shared" si="104"/>
        <v>0</v>
      </c>
      <c r="DO89" s="2">
        <f t="shared" si="104"/>
        <v>0</v>
      </c>
      <c r="DP89" s="2">
        <f t="shared" si="104"/>
        <v>0</v>
      </c>
      <c r="DQ89" s="2">
        <f t="shared" si="104"/>
        <v>0</v>
      </c>
      <c r="DR89" s="2">
        <f t="shared" si="108"/>
        <v>0</v>
      </c>
      <c r="DS89" s="2">
        <f t="shared" si="105"/>
        <v>0</v>
      </c>
      <c r="DT89" s="2">
        <f t="shared" si="105"/>
        <v>0</v>
      </c>
      <c r="DU89" s="2">
        <f t="shared" si="105"/>
        <v>0</v>
      </c>
      <c r="DV89" s="2">
        <f t="shared" si="105"/>
        <v>0</v>
      </c>
      <c r="DW89" s="2">
        <f t="shared" si="105"/>
        <v>0</v>
      </c>
      <c r="DX89" s="2">
        <f t="shared" si="105"/>
        <v>0</v>
      </c>
      <c r="DY89" s="2">
        <f t="shared" si="105"/>
        <v>0</v>
      </c>
      <c r="DZ89" s="2">
        <f t="shared" si="105"/>
        <v>0</v>
      </c>
      <c r="EA89" s="2">
        <f t="shared" si="105"/>
        <v>0</v>
      </c>
      <c r="EB89" s="2">
        <f t="shared" si="105"/>
        <v>0</v>
      </c>
      <c r="EC89" s="2">
        <f t="shared" si="105"/>
        <v>0</v>
      </c>
      <c r="ED89" s="2">
        <f t="shared" si="105"/>
        <v>0</v>
      </c>
      <c r="EE89" s="2">
        <f t="shared" si="105"/>
        <v>0</v>
      </c>
      <c r="EF89" s="2">
        <f t="shared" si="105"/>
        <v>0</v>
      </c>
      <c r="EG89" s="2">
        <f t="shared" si="105"/>
        <v>0</v>
      </c>
      <c r="EH89" s="2">
        <f t="shared" si="105"/>
        <v>0</v>
      </c>
      <c r="EI89" s="2">
        <f t="shared" si="105"/>
        <v>0</v>
      </c>
      <c r="EJ89" s="2">
        <f t="shared" si="105"/>
        <v>0</v>
      </c>
      <c r="EK89" s="2">
        <f t="shared" si="105"/>
        <v>0</v>
      </c>
      <c r="EL89" s="2">
        <f t="shared" si="105"/>
        <v>0</v>
      </c>
    </row>
    <row r="90" spans="22:142" ht="14.4" customHeight="1" x14ac:dyDescent="0.3">
      <c r="V90" s="58" t="s">
        <v>35</v>
      </c>
      <c r="W90" s="247"/>
      <c r="X90" s="248"/>
      <c r="Y90" s="277" t="s">
        <v>37</v>
      </c>
      <c r="Z90" s="278"/>
      <c r="AB90" s="253" t="s">
        <v>125</v>
      </c>
      <c r="AC90" s="171"/>
      <c r="AD90" s="171"/>
      <c r="AE90" s="172"/>
      <c r="AG90" s="249" t="s">
        <v>126</v>
      </c>
      <c r="AH90" s="250"/>
      <c r="AI90" s="249" t="s">
        <v>9</v>
      </c>
      <c r="AJ90" s="250"/>
      <c r="AL90" s="249" t="s">
        <v>126</v>
      </c>
      <c r="AM90" s="250"/>
      <c r="AN90" s="249" t="s">
        <v>9</v>
      </c>
      <c r="AO90" s="250"/>
      <c r="AP90" s="22"/>
      <c r="AQ90" s="37" t="str">
        <f t="shared" ref="AQ90:AQ94" si="117">IF(ISBLANK(V64),"",V64)</f>
        <v/>
      </c>
      <c r="AR90" s="38" t="str" cm="1">
        <f t="array" ref="AR90">IF(AT63="", "", IF(AND(AT63&lt;=MIN(AZ63:BK63,AQ76:BK76),AU63&gt;=MAX(AZ63:BK63,AQ76:BK76)),"ACCEPT",IF(AND(AZ63:BK63,AQ76:BK76="OK"),"ACCEPT","REJECT")))</f>
        <v/>
      </c>
      <c r="AS90" s="38" t="str">
        <f t="shared" ref="AS90:AS91" si="118">IF(TRIM(AR90)="", "", MAX(AZ63:BK63,AQ76:BK76))</f>
        <v/>
      </c>
      <c r="AT90" s="38" t="str">
        <f t="shared" si="109"/>
        <v/>
      </c>
      <c r="AU90" s="38">
        <f t="shared" ref="AU90:AU94" si="119">IF(COUNT(AZ63:BK63,AQ76:BK76)=0,0,AVERAGE(AZ63:BK63,AQ76:BK76))</f>
        <v>0</v>
      </c>
      <c r="AV90" s="38">
        <f t="shared" ref="AV90:AV94" si="120">MAX(AZ63:BK63,AQ76:BK76)-MIN(AZ63:BK63,AQ76:BK76)</f>
        <v>0</v>
      </c>
      <c r="AW90" s="38">
        <f t="shared" ref="AW90:AW94" si="121">IF(COUNT(AZ63:BK63,AQ76:BK76)=0,0,_xlfn.STDEV.S(AZ63:BK63,AQ76:BK76))</f>
        <v>0</v>
      </c>
      <c r="AX90" s="57" t="str">
        <f t="shared" si="110"/>
        <v>-</v>
      </c>
      <c r="AY90" s="49" t="str">
        <f t="shared" ref="AY90:AY94" si="122">IF(ISBLANK(V70),"",V70)</f>
        <v/>
      </c>
      <c r="AZ90" s="38" t="str" cm="1">
        <f t="array" ref="AZ90">IF(AT69="", "", IF(AND(Y70&lt;=MIN(AZ69:BK69,AQ82:BK82),AU69&gt;=MAX(AZ69:BK69,AQ82:BK82)),"ACCEPT",IF(AND(AZ69:BK69,AQ82:BK82="OK"),"ACCEPT","REJECT")))</f>
        <v/>
      </c>
      <c r="BA90" s="38" t="str">
        <f t="shared" si="111"/>
        <v/>
      </c>
      <c r="BB90" s="38" t="str">
        <f t="shared" si="112"/>
        <v/>
      </c>
      <c r="BC90" s="38">
        <f t="shared" si="113"/>
        <v>0</v>
      </c>
      <c r="BD90" s="38">
        <f t="shared" si="114"/>
        <v>0</v>
      </c>
      <c r="BE90" s="38">
        <f t="shared" si="115"/>
        <v>0</v>
      </c>
      <c r="BF90" s="57" t="str">
        <f t="shared" si="116"/>
        <v>-</v>
      </c>
      <c r="BG90" s="61" t="s">
        <v>126</v>
      </c>
      <c r="BH90" s="60"/>
      <c r="BI90" s="59" t="s">
        <v>9</v>
      </c>
      <c r="BJ90" s="60"/>
      <c r="BK90" s="22"/>
      <c r="BL90" s="173"/>
      <c r="BM90" s="174"/>
      <c r="BN90" s="175"/>
      <c r="BO90" s="180"/>
      <c r="BP90" s="174"/>
      <c r="BQ90" s="175"/>
      <c r="BR90" s="180"/>
      <c r="BS90" s="174"/>
      <c r="BT90" s="174"/>
      <c r="BU90" s="174"/>
      <c r="BV90" s="174"/>
      <c r="BW90" s="174"/>
      <c r="BX90" s="175"/>
      <c r="BY90" s="122"/>
      <c r="BZ90" s="123"/>
      <c r="CA90" s="123"/>
      <c r="CB90" s="124"/>
      <c r="CC90" s="122"/>
      <c r="CD90" s="123"/>
      <c r="CE90" s="123"/>
      <c r="CF90" s="215"/>
      <c r="CG90" s="2">
        <f t="shared" si="106"/>
        <v>0</v>
      </c>
      <c r="CH90" s="2">
        <f t="shared" si="101"/>
        <v>0</v>
      </c>
      <c r="CI90" s="2">
        <f t="shared" si="102"/>
        <v>0</v>
      </c>
      <c r="CJ90" s="2">
        <f t="shared" si="102"/>
        <v>0</v>
      </c>
      <c r="CK90" s="2">
        <f t="shared" si="102"/>
        <v>0</v>
      </c>
      <c r="CL90" s="2" t="str">
        <f t="shared" si="102"/>
        <v/>
      </c>
      <c r="CM90" s="2" t="str">
        <f t="shared" si="102"/>
        <v/>
      </c>
      <c r="CN90" s="2">
        <f t="shared" si="102"/>
        <v>0</v>
      </c>
      <c r="CO90" s="2">
        <f t="shared" si="103"/>
        <v>0</v>
      </c>
      <c r="CP90" s="2">
        <f t="shared" si="103"/>
        <v>0</v>
      </c>
      <c r="CQ90" s="2">
        <f t="shared" si="103"/>
        <v>0</v>
      </c>
      <c r="CR90" s="2">
        <f t="shared" si="103"/>
        <v>0</v>
      </c>
      <c r="CS90" s="2">
        <f t="shared" si="103"/>
        <v>0</v>
      </c>
      <c r="CT90" s="2">
        <f t="shared" si="103"/>
        <v>0</v>
      </c>
      <c r="CU90" s="2">
        <f t="shared" si="103"/>
        <v>0</v>
      </c>
      <c r="CV90" s="2">
        <f t="shared" si="103"/>
        <v>0</v>
      </c>
      <c r="CW90" s="2">
        <f t="shared" si="103"/>
        <v>0</v>
      </c>
      <c r="CX90" s="2">
        <f t="shared" si="103"/>
        <v>0</v>
      </c>
      <c r="DF90" s="2">
        <f t="shared" si="107"/>
        <v>0</v>
      </c>
      <c r="DG90" s="2">
        <f t="shared" si="104"/>
        <v>0</v>
      </c>
      <c r="DH90" s="2">
        <f t="shared" si="104"/>
        <v>0</v>
      </c>
      <c r="DI90" s="2">
        <f t="shared" si="104"/>
        <v>0</v>
      </c>
      <c r="DJ90" s="2">
        <f t="shared" si="104"/>
        <v>0</v>
      </c>
      <c r="DK90" s="2">
        <f t="shared" si="104"/>
        <v>0</v>
      </c>
      <c r="DL90" s="2">
        <f t="shared" si="104"/>
        <v>0</v>
      </c>
      <c r="DM90" s="2">
        <f t="shared" si="104"/>
        <v>0</v>
      </c>
      <c r="DN90" s="2">
        <f t="shared" si="104"/>
        <v>0</v>
      </c>
      <c r="DO90" s="2">
        <f t="shared" si="104"/>
        <v>0</v>
      </c>
      <c r="DP90" s="2">
        <f t="shared" si="104"/>
        <v>0</v>
      </c>
      <c r="DQ90" s="2">
        <f t="shared" si="104"/>
        <v>0</v>
      </c>
      <c r="DR90" s="2">
        <f t="shared" si="108"/>
        <v>0</v>
      </c>
      <c r="DS90" s="2">
        <f t="shared" si="105"/>
        <v>0</v>
      </c>
      <c r="DT90" s="2">
        <f t="shared" si="105"/>
        <v>0</v>
      </c>
      <c r="DU90" s="2">
        <f t="shared" si="105"/>
        <v>0</v>
      </c>
      <c r="DV90" s="2">
        <f t="shared" si="105"/>
        <v>0</v>
      </c>
      <c r="DW90" s="2">
        <f t="shared" si="105"/>
        <v>0</v>
      </c>
      <c r="DX90" s="2">
        <f t="shared" si="105"/>
        <v>0</v>
      </c>
      <c r="DY90" s="2">
        <f t="shared" si="105"/>
        <v>0</v>
      </c>
      <c r="DZ90" s="2">
        <f t="shared" si="105"/>
        <v>0</v>
      </c>
      <c r="EA90" s="2">
        <f t="shared" si="105"/>
        <v>0</v>
      </c>
      <c r="EB90" s="2">
        <f t="shared" si="105"/>
        <v>0</v>
      </c>
      <c r="EC90" s="2">
        <f t="shared" si="105"/>
        <v>0</v>
      </c>
      <c r="ED90" s="2">
        <f t="shared" si="105"/>
        <v>0</v>
      </c>
      <c r="EE90" s="2">
        <f t="shared" si="105"/>
        <v>0</v>
      </c>
      <c r="EF90" s="2">
        <f t="shared" si="105"/>
        <v>0</v>
      </c>
      <c r="EG90" s="2">
        <f t="shared" si="105"/>
        <v>0</v>
      </c>
      <c r="EH90" s="2">
        <f t="shared" si="105"/>
        <v>0</v>
      </c>
      <c r="EI90" s="2">
        <f t="shared" si="105"/>
        <v>0</v>
      </c>
      <c r="EJ90" s="2">
        <f t="shared" si="105"/>
        <v>0</v>
      </c>
      <c r="EK90" s="2">
        <f t="shared" si="105"/>
        <v>0</v>
      </c>
      <c r="EL90" s="2">
        <f t="shared" si="105"/>
        <v>0</v>
      </c>
    </row>
    <row r="91" spans="22:142" ht="14.4" customHeight="1" x14ac:dyDescent="0.3">
      <c r="V91" s="33"/>
      <c r="Y91" s="279"/>
      <c r="Z91" s="280"/>
      <c r="AB91" s="259"/>
      <c r="AC91" s="177"/>
      <c r="AD91" s="177"/>
      <c r="AE91" s="178"/>
      <c r="AG91" s="179"/>
      <c r="AH91" s="172"/>
      <c r="AI91" s="179"/>
      <c r="AJ91" s="172"/>
      <c r="AL91" s="179"/>
      <c r="AM91" s="172"/>
      <c r="AN91" s="179"/>
      <c r="AO91" s="172"/>
      <c r="AP91" s="22"/>
      <c r="AQ91" s="37" t="str">
        <f t="shared" si="117"/>
        <v/>
      </c>
      <c r="AR91" s="38" t="str" cm="1">
        <f t="array" ref="AR91">IF(AT64="", "", IF(AND(AT64&lt;=MIN(AZ64:BK64,AQ77:BK77),AU64&gt;=MAX(AZ64:BK64,AQ77:BK77)),"ACCEPT",IF(AND(AZ64:BK64,AQ77:BK77="OK"),"ACCEPT","REJECT")))</f>
        <v/>
      </c>
      <c r="AS91" s="38" t="str">
        <f t="shared" si="118"/>
        <v/>
      </c>
      <c r="AT91" s="38" t="str">
        <f t="shared" si="109"/>
        <v/>
      </c>
      <c r="AU91" s="38">
        <f t="shared" si="119"/>
        <v>0</v>
      </c>
      <c r="AV91" s="38">
        <f t="shared" si="120"/>
        <v>0</v>
      </c>
      <c r="AW91" s="38">
        <f t="shared" si="121"/>
        <v>0</v>
      </c>
      <c r="AX91" s="57" t="str">
        <f t="shared" si="110"/>
        <v>-</v>
      </c>
      <c r="AY91" s="49" t="str">
        <f t="shared" si="122"/>
        <v/>
      </c>
      <c r="AZ91" s="38" t="str" cm="1">
        <f t="array" ref="AZ91">IF(AT70="", "", IF(AND(Y71&lt;=MIN(AZ70:BK70,AQ83:BK83),AU70&gt;=MAX(AZ70:BK70,AQ83:BK83)),"ACCEPT",IF(AND(AZ70:BK70,AQ83:BK83="OK"),"ACCEPT","REJECT")))</f>
        <v/>
      </c>
      <c r="BA91" s="38" t="str">
        <f t="shared" si="111"/>
        <v/>
      </c>
      <c r="BB91" s="38" t="str">
        <f t="shared" si="112"/>
        <v/>
      </c>
      <c r="BC91" s="38">
        <f t="shared" si="113"/>
        <v>0</v>
      </c>
      <c r="BD91" s="38">
        <f t="shared" si="114"/>
        <v>0</v>
      </c>
      <c r="BE91" s="38">
        <f t="shared" si="115"/>
        <v>0</v>
      </c>
      <c r="BF91" s="57" t="str">
        <f t="shared" si="116"/>
        <v>-</v>
      </c>
      <c r="BG91" s="170"/>
      <c r="BH91" s="172"/>
      <c r="BI91" s="179"/>
      <c r="BJ91" s="172"/>
      <c r="BK91" s="22"/>
      <c r="BL91" s="173"/>
      <c r="BM91" s="174"/>
      <c r="BN91" s="175"/>
      <c r="BO91" s="180"/>
      <c r="BP91" s="174"/>
      <c r="BQ91" s="175"/>
      <c r="BR91" s="180"/>
      <c r="BS91" s="174"/>
      <c r="BT91" s="174"/>
      <c r="BU91" s="174"/>
      <c r="BV91" s="174"/>
      <c r="BW91" s="174"/>
      <c r="BX91" s="175"/>
      <c r="BY91" s="122"/>
      <c r="BZ91" s="123"/>
      <c r="CA91" s="123"/>
      <c r="CB91" s="124"/>
      <c r="CC91" s="122"/>
      <c r="CD91" s="123"/>
      <c r="CE91" s="123"/>
      <c r="CF91" s="215"/>
      <c r="CG91" s="2">
        <f t="shared" si="106"/>
        <v>0</v>
      </c>
      <c r="CH91" s="2">
        <f t="shared" si="101"/>
        <v>0</v>
      </c>
      <c r="CI91" s="2">
        <f t="shared" si="102"/>
        <v>0</v>
      </c>
      <c r="CJ91" s="2">
        <f t="shared" si="102"/>
        <v>0</v>
      </c>
      <c r="CK91" s="2">
        <f t="shared" si="102"/>
        <v>0</v>
      </c>
      <c r="CL91" s="2" t="str">
        <f t="shared" si="102"/>
        <v/>
      </c>
      <c r="CM91" s="2" t="str">
        <f t="shared" si="102"/>
        <v/>
      </c>
      <c r="CN91" s="2">
        <f t="shared" si="102"/>
        <v>0</v>
      </c>
      <c r="CO91" s="2">
        <f t="shared" si="103"/>
        <v>0</v>
      </c>
      <c r="CP91" s="2">
        <f t="shared" si="103"/>
        <v>0</v>
      </c>
      <c r="CQ91" s="2">
        <f t="shared" si="103"/>
        <v>0</v>
      </c>
      <c r="CR91" s="2">
        <f t="shared" si="103"/>
        <v>0</v>
      </c>
      <c r="CS91" s="2">
        <f t="shared" si="103"/>
        <v>0</v>
      </c>
      <c r="CT91" s="2">
        <f t="shared" si="103"/>
        <v>0</v>
      </c>
      <c r="CU91" s="2">
        <f t="shared" si="103"/>
        <v>0</v>
      </c>
      <c r="CV91" s="2">
        <f t="shared" si="103"/>
        <v>0</v>
      </c>
      <c r="CW91" s="2">
        <f t="shared" si="103"/>
        <v>0</v>
      </c>
      <c r="CX91" s="2">
        <f t="shared" si="103"/>
        <v>0</v>
      </c>
      <c r="DF91" s="2">
        <f t="shared" si="107"/>
        <v>0</v>
      </c>
      <c r="DG91" s="2">
        <f t="shared" si="104"/>
        <v>0</v>
      </c>
      <c r="DH91" s="2">
        <f t="shared" si="104"/>
        <v>0</v>
      </c>
      <c r="DI91" s="2">
        <f t="shared" si="104"/>
        <v>0</v>
      </c>
      <c r="DJ91" s="2">
        <f t="shared" si="104"/>
        <v>0</v>
      </c>
      <c r="DK91" s="2">
        <f t="shared" si="104"/>
        <v>0</v>
      </c>
      <c r="DL91" s="2">
        <f t="shared" si="104"/>
        <v>0</v>
      </c>
      <c r="DM91" s="2">
        <f t="shared" si="104"/>
        <v>0</v>
      </c>
      <c r="DN91" s="2">
        <f t="shared" si="104"/>
        <v>0</v>
      </c>
      <c r="DO91" s="2">
        <f t="shared" si="104"/>
        <v>0</v>
      </c>
      <c r="DP91" s="2">
        <f t="shared" si="104"/>
        <v>0</v>
      </c>
      <c r="DQ91" s="2">
        <f t="shared" si="104"/>
        <v>0</v>
      </c>
      <c r="DR91" s="2">
        <f t="shared" si="108"/>
        <v>0</v>
      </c>
      <c r="DS91" s="2">
        <f t="shared" si="105"/>
        <v>0</v>
      </c>
      <c r="DT91" s="2">
        <f t="shared" si="105"/>
        <v>0</v>
      </c>
      <c r="DU91" s="2">
        <f t="shared" si="105"/>
        <v>0</v>
      </c>
      <c r="DV91" s="2">
        <f t="shared" si="105"/>
        <v>0</v>
      </c>
      <c r="DW91" s="2">
        <f t="shared" si="105"/>
        <v>0</v>
      </c>
      <c r="DX91" s="2">
        <f t="shared" si="105"/>
        <v>0</v>
      </c>
      <c r="DY91" s="2">
        <f t="shared" si="105"/>
        <v>0</v>
      </c>
      <c r="DZ91" s="2">
        <f t="shared" si="105"/>
        <v>0</v>
      </c>
      <c r="EA91" s="2">
        <f t="shared" si="105"/>
        <v>0</v>
      </c>
      <c r="EB91" s="2">
        <f t="shared" si="105"/>
        <v>0</v>
      </c>
      <c r="EC91" s="2">
        <f t="shared" si="105"/>
        <v>0</v>
      </c>
      <c r="ED91" s="2">
        <f t="shared" si="105"/>
        <v>0</v>
      </c>
      <c r="EE91" s="2">
        <f t="shared" si="105"/>
        <v>0</v>
      </c>
      <c r="EF91" s="2">
        <f t="shared" si="105"/>
        <v>0</v>
      </c>
      <c r="EG91" s="2">
        <f t="shared" si="105"/>
        <v>0</v>
      </c>
      <c r="EH91" s="2">
        <f t="shared" si="105"/>
        <v>0</v>
      </c>
      <c r="EI91" s="2">
        <f t="shared" si="105"/>
        <v>0</v>
      </c>
      <c r="EJ91" s="2">
        <f t="shared" si="105"/>
        <v>0</v>
      </c>
      <c r="EK91" s="2">
        <f t="shared" si="105"/>
        <v>0</v>
      </c>
      <c r="EL91" s="2">
        <f t="shared" si="105"/>
        <v>0</v>
      </c>
    </row>
    <row r="92" spans="22:142" ht="14.4" customHeight="1" x14ac:dyDescent="0.3">
      <c r="V92" s="33" t="s">
        <v>36</v>
      </c>
      <c r="W92" s="247"/>
      <c r="X92" s="248"/>
      <c r="Y92" s="281"/>
      <c r="Z92" s="282"/>
      <c r="AB92" s="273" t="s">
        <v>141</v>
      </c>
      <c r="AC92" s="48" t="s">
        <v>127</v>
      </c>
      <c r="AD92" s="276" t="s">
        <v>128</v>
      </c>
      <c r="AE92" s="276"/>
      <c r="AG92" s="180"/>
      <c r="AH92" s="175"/>
      <c r="AI92" s="180"/>
      <c r="AJ92" s="175"/>
      <c r="AL92" s="180"/>
      <c r="AM92" s="175"/>
      <c r="AN92" s="180"/>
      <c r="AO92" s="175"/>
      <c r="AP92" s="22"/>
      <c r="AQ92" s="37" t="str">
        <f t="shared" si="117"/>
        <v/>
      </c>
      <c r="AR92" s="38" t="str" cm="1">
        <f t="array" ref="AR92">IF(AT65="", "", IF(AND(AT65&lt;=MIN(AZ65:BK65,AQ78:BK78),AU65&gt;=MAX(AZ65:BK65,AQ78:BK78)),"ACCEPT",IF(AND(AZ65:BK65,AQ78:BK78="OK"),"ACCEPT","REJECT")))</f>
        <v/>
      </c>
      <c r="AS92" s="38" t="str">
        <f>IF(TRIM(AR92)="", "", MAX(AZ65:BK65,AR78:BK78))</f>
        <v/>
      </c>
      <c r="AT92" s="38" t="str">
        <f t="shared" si="109"/>
        <v/>
      </c>
      <c r="AU92" s="38">
        <f t="shared" si="119"/>
        <v>0</v>
      </c>
      <c r="AV92" s="38">
        <f t="shared" si="120"/>
        <v>0</v>
      </c>
      <c r="AW92" s="38">
        <f t="shared" si="121"/>
        <v>0</v>
      </c>
      <c r="AX92" s="57" t="str">
        <f t="shared" si="110"/>
        <v>-</v>
      </c>
      <c r="AY92" s="49" t="str">
        <f t="shared" si="122"/>
        <v/>
      </c>
      <c r="AZ92" s="38" t="str" cm="1">
        <f t="array" ref="AZ92">IF(AT71="", "", IF(AND(Y72&lt;=MIN(AZ71:BK71,AQ84:BK84),AU71&gt;=MAX(AZ71:BK71,AQ84:BK84)),"ACCEPT",IF(AND(AZ71:BK71,AQ84:BK84="OK"),"ACCEPT","REJECT")))</f>
        <v/>
      </c>
      <c r="BA92" s="38" t="str">
        <f t="shared" si="111"/>
        <v/>
      </c>
      <c r="BB92" s="38" t="str">
        <f t="shared" si="112"/>
        <v/>
      </c>
      <c r="BC92" s="38">
        <f t="shared" si="113"/>
        <v>0</v>
      </c>
      <c r="BD92" s="38">
        <f t="shared" si="114"/>
        <v>0</v>
      </c>
      <c r="BE92" s="38">
        <f t="shared" si="115"/>
        <v>0</v>
      </c>
      <c r="BF92" s="57" t="str">
        <f t="shared" si="116"/>
        <v>-</v>
      </c>
      <c r="BG92" s="173"/>
      <c r="BH92" s="175"/>
      <c r="BI92" s="180"/>
      <c r="BJ92" s="175"/>
      <c r="BK92" s="22"/>
      <c r="BL92" s="173"/>
      <c r="BM92" s="174"/>
      <c r="BN92" s="175"/>
      <c r="BO92" s="180"/>
      <c r="BP92" s="174"/>
      <c r="BQ92" s="175"/>
      <c r="BR92" s="180"/>
      <c r="BS92" s="174"/>
      <c r="BT92" s="174"/>
      <c r="BU92" s="174"/>
      <c r="BV92" s="174"/>
      <c r="BW92" s="174"/>
      <c r="BX92" s="175"/>
      <c r="BY92" s="122"/>
      <c r="BZ92" s="123"/>
      <c r="CA92" s="123"/>
      <c r="CB92" s="124"/>
      <c r="CC92" s="122"/>
      <c r="CD92" s="123"/>
      <c r="CE92" s="123"/>
      <c r="CF92" s="215"/>
      <c r="CG92" s="2">
        <f t="shared" si="106"/>
        <v>0</v>
      </c>
      <c r="CH92" s="2">
        <f t="shared" si="101"/>
        <v>0</v>
      </c>
      <c r="CI92" s="2">
        <f t="shared" si="102"/>
        <v>0</v>
      </c>
      <c r="CJ92" s="2">
        <f t="shared" si="102"/>
        <v>0</v>
      </c>
      <c r="CK92" s="2">
        <f t="shared" si="102"/>
        <v>0</v>
      </c>
      <c r="CL92" s="2" t="str">
        <f t="shared" si="102"/>
        <v/>
      </c>
      <c r="CM92" s="2" t="str">
        <f t="shared" si="102"/>
        <v/>
      </c>
      <c r="CN92" s="2">
        <f t="shared" si="102"/>
        <v>0</v>
      </c>
      <c r="CO92" s="2">
        <f t="shared" si="103"/>
        <v>0</v>
      </c>
      <c r="CP92" s="2">
        <f t="shared" si="103"/>
        <v>0</v>
      </c>
      <c r="CQ92" s="2">
        <f t="shared" si="103"/>
        <v>0</v>
      </c>
      <c r="CR92" s="2">
        <f t="shared" si="103"/>
        <v>0</v>
      </c>
      <c r="CS92" s="2">
        <f t="shared" si="103"/>
        <v>0</v>
      </c>
      <c r="CT92" s="2">
        <f t="shared" si="103"/>
        <v>0</v>
      </c>
      <c r="CU92" s="2">
        <f t="shared" si="103"/>
        <v>0</v>
      </c>
      <c r="CV92" s="2">
        <f t="shared" si="103"/>
        <v>0</v>
      </c>
      <c r="CW92" s="2">
        <f t="shared" si="103"/>
        <v>0</v>
      </c>
      <c r="CX92" s="2">
        <f t="shared" si="103"/>
        <v>0</v>
      </c>
      <c r="DF92" s="2">
        <f t="shared" si="107"/>
        <v>0</v>
      </c>
      <c r="DG92" s="2">
        <f t="shared" si="104"/>
        <v>0</v>
      </c>
      <c r="DH92" s="2">
        <f t="shared" si="104"/>
        <v>0</v>
      </c>
      <c r="DI92" s="2">
        <f t="shared" si="104"/>
        <v>0</v>
      </c>
      <c r="DJ92" s="2">
        <f t="shared" si="104"/>
        <v>0</v>
      </c>
      <c r="DK92" s="2">
        <f t="shared" si="104"/>
        <v>0</v>
      </c>
      <c r="DL92" s="2">
        <f t="shared" si="104"/>
        <v>0</v>
      </c>
      <c r="DM92" s="2">
        <f t="shared" si="104"/>
        <v>0</v>
      </c>
      <c r="DN92" s="2">
        <f t="shared" si="104"/>
        <v>0</v>
      </c>
      <c r="DO92" s="2">
        <f t="shared" si="104"/>
        <v>0</v>
      </c>
      <c r="DP92" s="2">
        <f t="shared" si="104"/>
        <v>0</v>
      </c>
      <c r="DQ92" s="2">
        <f t="shared" si="104"/>
        <v>0</v>
      </c>
      <c r="DR92" s="2">
        <f t="shared" si="108"/>
        <v>0</v>
      </c>
      <c r="DS92" s="2">
        <f t="shared" si="105"/>
        <v>0</v>
      </c>
      <c r="DT92" s="2">
        <f t="shared" si="105"/>
        <v>0</v>
      </c>
      <c r="DU92" s="2">
        <f t="shared" si="105"/>
        <v>0</v>
      </c>
      <c r="DV92" s="2">
        <f t="shared" si="105"/>
        <v>0</v>
      </c>
      <c r="DW92" s="2">
        <f t="shared" si="105"/>
        <v>0</v>
      </c>
      <c r="DX92" s="2">
        <f t="shared" si="105"/>
        <v>0</v>
      </c>
      <c r="DY92" s="2">
        <f t="shared" si="105"/>
        <v>0</v>
      </c>
      <c r="DZ92" s="2">
        <f t="shared" si="105"/>
        <v>0</v>
      </c>
      <c r="EA92" s="2">
        <f t="shared" si="105"/>
        <v>0</v>
      </c>
      <c r="EB92" s="2">
        <f t="shared" si="105"/>
        <v>0</v>
      </c>
      <c r="EC92" s="2">
        <f t="shared" si="105"/>
        <v>0</v>
      </c>
      <c r="ED92" s="2">
        <f t="shared" si="105"/>
        <v>0</v>
      </c>
      <c r="EE92" s="2">
        <f t="shared" si="105"/>
        <v>0</v>
      </c>
      <c r="EF92" s="2">
        <f t="shared" si="105"/>
        <v>0</v>
      </c>
      <c r="EG92" s="2">
        <f t="shared" si="105"/>
        <v>0</v>
      </c>
      <c r="EH92" s="2">
        <f t="shared" si="105"/>
        <v>0</v>
      </c>
      <c r="EI92" s="2">
        <f t="shared" si="105"/>
        <v>0</v>
      </c>
      <c r="EJ92" s="2">
        <f t="shared" si="105"/>
        <v>0</v>
      </c>
      <c r="EK92" s="2">
        <f t="shared" si="105"/>
        <v>0</v>
      </c>
      <c r="EL92" s="2">
        <f t="shared" si="105"/>
        <v>0</v>
      </c>
    </row>
    <row r="93" spans="22:142" ht="14.4" customHeight="1" x14ac:dyDescent="0.3">
      <c r="V93" s="33"/>
      <c r="Y93" s="283"/>
      <c r="Z93" s="284"/>
      <c r="AB93" s="274"/>
      <c r="AC93" s="48" t="s">
        <v>129</v>
      </c>
      <c r="AD93" s="276" t="s">
        <v>130</v>
      </c>
      <c r="AE93" s="276"/>
      <c r="AG93" s="181"/>
      <c r="AH93" s="178"/>
      <c r="AI93" s="181"/>
      <c r="AJ93" s="178"/>
      <c r="AL93" s="181"/>
      <c r="AM93" s="178"/>
      <c r="AN93" s="181"/>
      <c r="AO93" s="178"/>
      <c r="AP93" s="22"/>
      <c r="AQ93" s="37" t="str">
        <f t="shared" si="117"/>
        <v/>
      </c>
      <c r="AR93" s="38" t="str" cm="1">
        <f t="array" ref="AR93">IF(AT66="", "", IF(AND(AT66&lt;=MIN(AZ66:BK66,AQ79:BK79),AU66&gt;=MAX(AZ66:BK66,AQ79:BK79)),"ACCEPT",IF(AND(AZ66:BK66,AQ79:BK79="OK"),"ACCEPT","REJECT")))</f>
        <v/>
      </c>
      <c r="AS93" s="38" t="str">
        <f>IF(TRIM(AR93)="", "", MAX(AZ66:BK66,AR79:BK79))</f>
        <v/>
      </c>
      <c r="AT93" s="38" t="str">
        <f t="shared" si="109"/>
        <v/>
      </c>
      <c r="AU93" s="38">
        <f t="shared" si="119"/>
        <v>0</v>
      </c>
      <c r="AV93" s="38">
        <f t="shared" si="120"/>
        <v>0</v>
      </c>
      <c r="AW93" s="38">
        <f t="shared" si="121"/>
        <v>0</v>
      </c>
      <c r="AX93" s="57" t="str">
        <f t="shared" si="110"/>
        <v>-</v>
      </c>
      <c r="AY93" s="49" t="str">
        <f t="shared" si="122"/>
        <v/>
      </c>
      <c r="AZ93" s="38" t="str" cm="1">
        <f t="array" ref="AZ93">IF(AT72="", "", IF(AND(Y73&lt;=MIN(AZ72:BK72,AQ85:BK85),AU72&gt;=MAX(AZ72:BK72,AQ85:BK85)),"ACCEPT",IF(AND(AZ72:BK72,AQ85:BK85="OK"),"ACCEPT","REJECT")))</f>
        <v/>
      </c>
      <c r="BA93" s="38" t="str">
        <f t="shared" si="111"/>
        <v/>
      </c>
      <c r="BB93" s="38" t="str">
        <f t="shared" si="112"/>
        <v/>
      </c>
      <c r="BC93" s="38">
        <f t="shared" si="113"/>
        <v>0</v>
      </c>
      <c r="BD93" s="38">
        <f t="shared" si="114"/>
        <v>0</v>
      </c>
      <c r="BE93" s="38">
        <f t="shared" si="115"/>
        <v>0</v>
      </c>
      <c r="BF93" s="57" t="str">
        <f t="shared" si="116"/>
        <v>-</v>
      </c>
      <c r="BG93" s="176"/>
      <c r="BH93" s="178"/>
      <c r="BI93" s="181"/>
      <c r="BJ93" s="178"/>
      <c r="BK93" s="22"/>
      <c r="BL93" s="173"/>
      <c r="BM93" s="174"/>
      <c r="BN93" s="175"/>
      <c r="BO93" s="180"/>
      <c r="BP93" s="174"/>
      <c r="BQ93" s="175"/>
      <c r="BR93" s="180"/>
      <c r="BS93" s="174"/>
      <c r="BT93" s="174"/>
      <c r="BU93" s="174"/>
      <c r="BV93" s="174"/>
      <c r="BW93" s="174"/>
      <c r="BX93" s="175"/>
      <c r="BY93" s="122"/>
      <c r="BZ93" s="123"/>
      <c r="CA93" s="123"/>
      <c r="CB93" s="124"/>
      <c r="CC93" s="125"/>
      <c r="CD93" s="126"/>
      <c r="CE93" s="126"/>
      <c r="CF93" s="216"/>
      <c r="CG93" s="2">
        <f t="shared" si="106"/>
        <v>0</v>
      </c>
      <c r="CH93" s="2">
        <f t="shared" si="101"/>
        <v>0</v>
      </c>
      <c r="CI93" s="2">
        <f t="shared" si="102"/>
        <v>0</v>
      </c>
      <c r="CJ93" s="2">
        <f t="shared" si="102"/>
        <v>0</v>
      </c>
      <c r="CK93" s="2">
        <f t="shared" si="102"/>
        <v>0</v>
      </c>
      <c r="CL93" s="2" t="str">
        <f t="shared" si="102"/>
        <v/>
      </c>
      <c r="CM93" s="2" t="str">
        <f t="shared" si="102"/>
        <v/>
      </c>
      <c r="CN93" s="2">
        <f t="shared" si="102"/>
        <v>0</v>
      </c>
      <c r="CO93" s="2">
        <f t="shared" si="103"/>
        <v>0</v>
      </c>
      <c r="CP93" s="2">
        <f t="shared" si="103"/>
        <v>0</v>
      </c>
      <c r="CQ93" s="2">
        <f t="shared" si="103"/>
        <v>0</v>
      </c>
      <c r="CR93" s="2">
        <f t="shared" si="103"/>
        <v>0</v>
      </c>
      <c r="CS93" s="2">
        <f t="shared" si="103"/>
        <v>0</v>
      </c>
      <c r="CT93" s="2">
        <f t="shared" si="103"/>
        <v>0</v>
      </c>
      <c r="CU93" s="2">
        <f t="shared" si="103"/>
        <v>0</v>
      </c>
      <c r="CV93" s="2">
        <f t="shared" si="103"/>
        <v>0</v>
      </c>
      <c r="CW93" s="2">
        <f t="shared" si="103"/>
        <v>0</v>
      </c>
      <c r="CX93" s="2">
        <f t="shared" si="103"/>
        <v>0</v>
      </c>
      <c r="DF93" s="2">
        <f t="shared" si="107"/>
        <v>0</v>
      </c>
      <c r="DG93" s="2">
        <f t="shared" si="104"/>
        <v>0</v>
      </c>
      <c r="DH93" s="2">
        <f t="shared" si="104"/>
        <v>0</v>
      </c>
      <c r="DI93" s="2">
        <f t="shared" si="104"/>
        <v>0</v>
      </c>
      <c r="DJ93" s="2">
        <f t="shared" si="104"/>
        <v>0</v>
      </c>
      <c r="DK93" s="2">
        <f t="shared" si="104"/>
        <v>0</v>
      </c>
      <c r="DL93" s="2">
        <f t="shared" si="104"/>
        <v>0</v>
      </c>
      <c r="DM93" s="2">
        <f t="shared" si="104"/>
        <v>0</v>
      </c>
      <c r="DN93" s="2">
        <f t="shared" si="104"/>
        <v>0</v>
      </c>
      <c r="DO93" s="2">
        <f t="shared" si="104"/>
        <v>0</v>
      </c>
      <c r="DP93" s="2">
        <f t="shared" si="104"/>
        <v>0</v>
      </c>
      <c r="DQ93" s="2">
        <f t="shared" si="104"/>
        <v>0</v>
      </c>
      <c r="DR93" s="2">
        <f t="shared" si="108"/>
        <v>0</v>
      </c>
      <c r="DS93" s="2">
        <f t="shared" si="105"/>
        <v>0</v>
      </c>
      <c r="DT93" s="2">
        <f t="shared" si="105"/>
        <v>0</v>
      </c>
      <c r="DU93" s="2">
        <f t="shared" si="105"/>
        <v>0</v>
      </c>
      <c r="DV93" s="2">
        <f t="shared" si="105"/>
        <v>0</v>
      </c>
      <c r="DW93" s="2">
        <f t="shared" si="105"/>
        <v>0</v>
      </c>
      <c r="DX93" s="2">
        <f t="shared" si="105"/>
        <v>0</v>
      </c>
      <c r="DY93" s="2">
        <f t="shared" si="105"/>
        <v>0</v>
      </c>
      <c r="DZ93" s="2">
        <f t="shared" si="105"/>
        <v>0</v>
      </c>
      <c r="EA93" s="2">
        <f t="shared" si="105"/>
        <v>0</v>
      </c>
      <c r="EB93" s="2">
        <f t="shared" si="105"/>
        <v>0</v>
      </c>
      <c r="EC93" s="2">
        <f t="shared" si="105"/>
        <v>0</v>
      </c>
      <c r="ED93" s="2">
        <f t="shared" si="105"/>
        <v>0</v>
      </c>
      <c r="EE93" s="2">
        <f t="shared" si="105"/>
        <v>0</v>
      </c>
      <c r="EF93" s="2">
        <f t="shared" si="105"/>
        <v>0</v>
      </c>
      <c r="EG93" s="2">
        <f t="shared" si="105"/>
        <v>0</v>
      </c>
      <c r="EH93" s="2">
        <f t="shared" si="105"/>
        <v>0</v>
      </c>
      <c r="EI93" s="2">
        <f t="shared" si="105"/>
        <v>0</v>
      </c>
      <c r="EJ93" s="2">
        <f t="shared" si="105"/>
        <v>0</v>
      </c>
      <c r="EK93" s="2">
        <f t="shared" si="105"/>
        <v>0</v>
      </c>
      <c r="EL93" s="2">
        <f t="shared" si="105"/>
        <v>0</v>
      </c>
    </row>
    <row r="94" spans="22:142" ht="14.4" customHeight="1" thickBot="1" x14ac:dyDescent="0.35">
      <c r="V94" s="55"/>
      <c r="W94" s="56"/>
      <c r="X94" s="56"/>
      <c r="Y94" s="8" t="s">
        <v>48</v>
      </c>
      <c r="Z94" s="62"/>
      <c r="AB94" s="275"/>
      <c r="AC94" s="48" t="s">
        <v>131</v>
      </c>
      <c r="AD94" s="276" t="s">
        <v>132</v>
      </c>
      <c r="AE94" s="276"/>
      <c r="AG94" s="83" t="s">
        <v>48</v>
      </c>
      <c r="AH94" s="35"/>
      <c r="AI94" s="83" t="s">
        <v>48</v>
      </c>
      <c r="AJ94" s="35"/>
      <c r="AL94" s="83" t="s">
        <v>48</v>
      </c>
      <c r="AM94" s="35"/>
      <c r="AN94" s="83" t="s">
        <v>48</v>
      </c>
      <c r="AO94" s="35"/>
      <c r="AP94" s="22"/>
      <c r="AQ94" s="37" t="str">
        <f t="shared" si="117"/>
        <v/>
      </c>
      <c r="AR94" s="38" t="str" cm="1">
        <f t="array" ref="AR94">IF(AT67="", "", IF(AND(AT67&lt;=MIN(AZ67:BK67,AQ80:BK80),AU67&gt;=MAX(AZ67:BK67,AQ80:BK80)),"ACCEPT",IF(AND(AZ67:BK67,AQ80:BK80="OK"),"ACCEPT","REJECT")))</f>
        <v/>
      </c>
      <c r="AS94" s="63" t="str">
        <f t="shared" ref="AS94" si="123">IF(TRIM(AR94)="", "", MAX(AZ67:BK67,AQ80:BK80))</f>
        <v/>
      </c>
      <c r="AT94" s="38" t="str">
        <f t="shared" si="109"/>
        <v/>
      </c>
      <c r="AU94" s="38">
        <f t="shared" si="119"/>
        <v>0</v>
      </c>
      <c r="AV94" s="38">
        <f t="shared" si="120"/>
        <v>0</v>
      </c>
      <c r="AW94" s="38">
        <f t="shared" si="121"/>
        <v>0</v>
      </c>
      <c r="AX94" s="57" t="str">
        <f t="shared" si="110"/>
        <v>-</v>
      </c>
      <c r="AY94" s="49" t="str">
        <f t="shared" si="122"/>
        <v/>
      </c>
      <c r="AZ94" s="38" t="str" cm="1">
        <f t="array" ref="AZ94">IF(AT73="", "", IF(AND(Y74&lt;=MIN(AZ73:BK73,AQ86:BK86),AU73&gt;=MAX(AZ73:BK73,AQ86:BK86)),"ACCEPT",IF(AND(AZ73:BK73,AQ86:BK86="OK"),"ACCEPT","REJECT")))</f>
        <v/>
      </c>
      <c r="BA94" s="63" t="str">
        <f t="shared" si="111"/>
        <v/>
      </c>
      <c r="BB94" s="63" t="str">
        <f t="shared" si="112"/>
        <v/>
      </c>
      <c r="BC94" s="63">
        <f t="shared" si="113"/>
        <v>0</v>
      </c>
      <c r="BD94" s="63">
        <f t="shared" si="114"/>
        <v>0</v>
      </c>
      <c r="BE94" s="63">
        <f t="shared" si="115"/>
        <v>0</v>
      </c>
      <c r="BF94" s="64" t="str">
        <f t="shared" si="116"/>
        <v>-</v>
      </c>
      <c r="BG94" s="61" t="s">
        <v>48</v>
      </c>
      <c r="BH94" s="35"/>
      <c r="BI94" s="59" t="s">
        <v>48</v>
      </c>
      <c r="BJ94" s="35"/>
      <c r="BK94" s="22"/>
      <c r="BL94" s="173"/>
      <c r="BM94" s="174"/>
      <c r="BN94" s="175"/>
      <c r="BO94" s="180"/>
      <c r="BP94" s="174"/>
      <c r="BQ94" s="175"/>
      <c r="BR94" s="180"/>
      <c r="BS94" s="174"/>
      <c r="BT94" s="174"/>
      <c r="BU94" s="174"/>
      <c r="BV94" s="174"/>
      <c r="BW94" s="174"/>
      <c r="BX94" s="175"/>
      <c r="BY94" s="122"/>
      <c r="BZ94" s="123"/>
      <c r="CA94" s="123"/>
      <c r="CB94" s="124"/>
      <c r="CC94" s="150" t="s">
        <v>123</v>
      </c>
      <c r="CD94" s="151"/>
      <c r="CE94" s="151"/>
      <c r="CF94" s="152"/>
      <c r="CG94" s="2">
        <f>V314</f>
        <v>0</v>
      </c>
      <c r="CH94" s="2">
        <f t="shared" si="101"/>
        <v>0</v>
      </c>
      <c r="CI94" s="2">
        <f t="shared" si="102"/>
        <v>0</v>
      </c>
      <c r="CJ94" s="2">
        <f t="shared" si="102"/>
        <v>0</v>
      </c>
      <c r="CK94" s="2">
        <f t="shared" si="102"/>
        <v>0</v>
      </c>
      <c r="CL94" s="2" t="str">
        <f t="shared" si="102"/>
        <v/>
      </c>
      <c r="CM94" s="2" t="str">
        <f t="shared" si="102"/>
        <v/>
      </c>
      <c r="CN94" s="2">
        <f t="shared" si="102"/>
        <v>0</v>
      </c>
      <c r="CO94" s="2">
        <f t="shared" si="103"/>
        <v>0</v>
      </c>
      <c r="CP94" s="2">
        <f t="shared" si="103"/>
        <v>0</v>
      </c>
      <c r="CQ94" s="2">
        <f t="shared" si="103"/>
        <v>0</v>
      </c>
      <c r="CR94" s="2">
        <f t="shared" si="103"/>
        <v>0</v>
      </c>
      <c r="CS94" s="2">
        <f t="shared" si="103"/>
        <v>0</v>
      </c>
      <c r="CT94" s="2">
        <f t="shared" si="103"/>
        <v>0</v>
      </c>
      <c r="CU94" s="2">
        <f t="shared" si="103"/>
        <v>0</v>
      </c>
      <c r="CV94" s="2">
        <f t="shared" si="103"/>
        <v>0</v>
      </c>
      <c r="CW94" s="2">
        <f t="shared" si="103"/>
        <v>0</v>
      </c>
      <c r="CX94" s="2">
        <f t="shared" si="103"/>
        <v>0</v>
      </c>
      <c r="DF94" s="2">
        <f t="shared" si="107"/>
        <v>0</v>
      </c>
      <c r="DG94" s="2">
        <f t="shared" si="104"/>
        <v>0</v>
      </c>
      <c r="DH94" s="2">
        <f t="shared" si="104"/>
        <v>0</v>
      </c>
      <c r="DI94" s="2">
        <f t="shared" si="104"/>
        <v>0</v>
      </c>
      <c r="DJ94" s="2">
        <f t="shared" si="104"/>
        <v>0</v>
      </c>
      <c r="DK94" s="2">
        <f t="shared" si="104"/>
        <v>0</v>
      </c>
      <c r="DL94" s="2">
        <f t="shared" si="104"/>
        <v>0</v>
      </c>
      <c r="DM94" s="2">
        <f t="shared" si="104"/>
        <v>0</v>
      </c>
      <c r="DN94" s="2">
        <f t="shared" si="104"/>
        <v>0</v>
      </c>
      <c r="DO94" s="2">
        <f t="shared" si="104"/>
        <v>0</v>
      </c>
      <c r="DP94" s="2">
        <f t="shared" si="104"/>
        <v>0</v>
      </c>
      <c r="DQ94" s="2">
        <f t="shared" si="104"/>
        <v>0</v>
      </c>
      <c r="DR94" s="2">
        <f t="shared" si="108"/>
        <v>0</v>
      </c>
      <c r="DS94" s="2">
        <f t="shared" si="105"/>
        <v>0</v>
      </c>
      <c r="DT94" s="2">
        <f t="shared" si="105"/>
        <v>0</v>
      </c>
      <c r="DU94" s="2">
        <f t="shared" si="105"/>
        <v>0</v>
      </c>
      <c r="DV94" s="2">
        <f t="shared" si="105"/>
        <v>0</v>
      </c>
      <c r="DW94" s="2">
        <f t="shared" si="105"/>
        <v>0</v>
      </c>
      <c r="DX94" s="2">
        <f t="shared" si="105"/>
        <v>0</v>
      </c>
      <c r="DY94" s="2">
        <f t="shared" si="105"/>
        <v>0</v>
      </c>
      <c r="DZ94" s="2">
        <f t="shared" si="105"/>
        <v>0</v>
      </c>
      <c r="EA94" s="2">
        <f t="shared" si="105"/>
        <v>0</v>
      </c>
      <c r="EB94" s="2">
        <f t="shared" si="105"/>
        <v>0</v>
      </c>
      <c r="EC94" s="2">
        <f t="shared" si="105"/>
        <v>0</v>
      </c>
      <c r="ED94" s="2">
        <f t="shared" si="105"/>
        <v>0</v>
      </c>
      <c r="EE94" s="2">
        <f t="shared" si="105"/>
        <v>0</v>
      </c>
      <c r="EF94" s="2">
        <f t="shared" si="105"/>
        <v>0</v>
      </c>
      <c r="EG94" s="2">
        <f t="shared" si="105"/>
        <v>0</v>
      </c>
      <c r="EH94" s="2">
        <f t="shared" si="105"/>
        <v>0</v>
      </c>
      <c r="EI94" s="2">
        <f t="shared" si="105"/>
        <v>0</v>
      </c>
      <c r="EJ94" s="2">
        <f t="shared" si="105"/>
        <v>0</v>
      </c>
      <c r="EK94" s="2">
        <f t="shared" si="105"/>
        <v>0</v>
      </c>
      <c r="EL94" s="2">
        <f t="shared" si="105"/>
        <v>0</v>
      </c>
    </row>
    <row r="95" spans="22:142" ht="14.4" customHeight="1" thickBot="1" x14ac:dyDescent="0.35">
      <c r="V95" s="55"/>
      <c r="W95" s="56"/>
      <c r="X95" s="56"/>
      <c r="Y95" s="56"/>
      <c r="Z95" s="56"/>
      <c r="AA95" s="56"/>
      <c r="AB95" s="56"/>
      <c r="AC95" s="56"/>
      <c r="AD95" s="56"/>
      <c r="AE95" s="56"/>
      <c r="AF95" s="56"/>
      <c r="AG95" s="56"/>
      <c r="AH95" s="56"/>
      <c r="AI95" s="56"/>
      <c r="AJ95" s="56"/>
      <c r="AK95" s="56"/>
      <c r="AL95" s="56"/>
      <c r="AM95" s="56"/>
      <c r="AN95" s="56"/>
      <c r="AO95" s="56"/>
      <c r="AP95" s="65"/>
      <c r="AQ95" s="56"/>
      <c r="AR95" s="66"/>
      <c r="AS95" s="56"/>
      <c r="AT95" s="56"/>
      <c r="AU95" s="56"/>
      <c r="AV95" s="56"/>
      <c r="AW95" s="56"/>
      <c r="AX95" s="56"/>
      <c r="AY95" s="56"/>
      <c r="AZ95" s="56"/>
      <c r="BA95" s="56"/>
      <c r="BB95" s="56"/>
      <c r="BC95" s="56"/>
      <c r="BD95" s="56"/>
      <c r="BE95" s="56"/>
      <c r="BF95" s="56"/>
      <c r="BG95" s="56"/>
      <c r="BH95" s="56"/>
      <c r="BI95" s="56"/>
      <c r="BJ95" s="56"/>
      <c r="BK95" s="65"/>
      <c r="BL95" s="176"/>
      <c r="BM95" s="177"/>
      <c r="BN95" s="178"/>
      <c r="BO95" s="181"/>
      <c r="BP95" s="177"/>
      <c r="BQ95" s="178"/>
      <c r="BR95" s="181"/>
      <c r="BS95" s="177"/>
      <c r="BT95" s="177"/>
      <c r="BU95" s="177"/>
      <c r="BV95" s="177"/>
      <c r="BW95" s="177"/>
      <c r="BX95" s="178"/>
      <c r="BY95" s="125"/>
      <c r="BZ95" s="126"/>
      <c r="CA95" s="126"/>
      <c r="CB95" s="127"/>
      <c r="CC95" s="153"/>
      <c r="CD95" s="154"/>
      <c r="CE95" s="154"/>
      <c r="CF95" s="155"/>
      <c r="CG95" s="2">
        <f>V351</f>
        <v>0</v>
      </c>
      <c r="CH95" s="2">
        <f t="shared" ref="CH95:CH106" si="124">W351</f>
        <v>0</v>
      </c>
      <c r="CI95" s="2">
        <f t="shared" ref="CI95:CN106" si="125">Y351</f>
        <v>0</v>
      </c>
      <c r="CJ95" s="2">
        <f t="shared" si="125"/>
        <v>0</v>
      </c>
      <c r="CK95" s="2">
        <f t="shared" si="125"/>
        <v>0</v>
      </c>
      <c r="CL95" s="2" t="str">
        <f t="shared" si="125"/>
        <v/>
      </c>
      <c r="CM95" s="2" t="str">
        <f t="shared" si="125"/>
        <v/>
      </c>
      <c r="CN95" s="2">
        <f t="shared" si="125"/>
        <v>0</v>
      </c>
      <c r="CO95" s="2">
        <f t="shared" ref="CO95:CX106" si="126">AF351</f>
        <v>0</v>
      </c>
      <c r="CP95" s="2">
        <f t="shared" si="126"/>
        <v>0</v>
      </c>
      <c r="CQ95" s="2">
        <f t="shared" si="126"/>
        <v>0</v>
      </c>
      <c r="CR95" s="2">
        <f t="shared" si="126"/>
        <v>0</v>
      </c>
      <c r="CS95" s="2">
        <f t="shared" si="126"/>
        <v>0</v>
      </c>
      <c r="CT95" s="2">
        <f t="shared" si="126"/>
        <v>0</v>
      </c>
      <c r="CU95" s="2">
        <f t="shared" si="126"/>
        <v>0</v>
      </c>
      <c r="CV95" s="2">
        <f t="shared" si="126"/>
        <v>0</v>
      </c>
      <c r="CW95" s="2">
        <f t="shared" si="126"/>
        <v>0</v>
      </c>
      <c r="CX95" s="2">
        <f t="shared" si="126"/>
        <v>0</v>
      </c>
      <c r="DF95" s="2">
        <f>AZ350</f>
        <v>0</v>
      </c>
      <c r="DG95" s="2">
        <f t="shared" ref="DG95:DQ106" si="127">BA350</f>
        <v>0</v>
      </c>
      <c r="DH95" s="2">
        <f t="shared" si="127"/>
        <v>0</v>
      </c>
      <c r="DI95" s="2">
        <f t="shared" si="127"/>
        <v>0</v>
      </c>
      <c r="DJ95" s="2">
        <f t="shared" si="127"/>
        <v>0</v>
      </c>
      <c r="DK95" s="2">
        <f t="shared" si="127"/>
        <v>0</v>
      </c>
      <c r="DL95" s="2">
        <f t="shared" si="127"/>
        <v>0</v>
      </c>
      <c r="DM95" s="2">
        <f t="shared" si="127"/>
        <v>0</v>
      </c>
      <c r="DN95" s="2">
        <f t="shared" si="127"/>
        <v>0</v>
      </c>
      <c r="DO95" s="2">
        <f t="shared" si="127"/>
        <v>0</v>
      </c>
      <c r="DP95" s="2">
        <f t="shared" si="127"/>
        <v>0</v>
      </c>
      <c r="DQ95" s="2">
        <f t="shared" si="127"/>
        <v>0</v>
      </c>
      <c r="DR95" s="2">
        <f>AQ363</f>
        <v>0</v>
      </c>
      <c r="DS95" s="2">
        <f t="shared" ref="DS95:EL106" si="128">AR363</f>
        <v>0</v>
      </c>
      <c r="DT95" s="2">
        <f t="shared" si="128"/>
        <v>0</v>
      </c>
      <c r="DU95" s="2">
        <f t="shared" si="128"/>
        <v>0</v>
      </c>
      <c r="DV95" s="2">
        <f t="shared" si="128"/>
        <v>0</v>
      </c>
      <c r="DW95" s="2">
        <f t="shared" si="128"/>
        <v>0</v>
      </c>
      <c r="DX95" s="2">
        <f t="shared" si="128"/>
        <v>0</v>
      </c>
      <c r="DY95" s="2">
        <f t="shared" si="128"/>
        <v>0</v>
      </c>
      <c r="DZ95" s="2">
        <f t="shared" si="128"/>
        <v>0</v>
      </c>
      <c r="EA95" s="2">
        <f t="shared" si="128"/>
        <v>0</v>
      </c>
      <c r="EB95" s="2">
        <f t="shared" si="128"/>
        <v>0</v>
      </c>
      <c r="EC95" s="2">
        <f t="shared" si="128"/>
        <v>0</v>
      </c>
      <c r="ED95" s="2">
        <f t="shared" si="128"/>
        <v>0</v>
      </c>
      <c r="EE95" s="2">
        <f t="shared" si="128"/>
        <v>0</v>
      </c>
      <c r="EF95" s="2">
        <f t="shared" si="128"/>
        <v>0</v>
      </c>
      <c r="EG95" s="2">
        <f t="shared" si="128"/>
        <v>0</v>
      </c>
      <c r="EH95" s="2">
        <f t="shared" si="128"/>
        <v>0</v>
      </c>
      <c r="EI95" s="2">
        <f t="shared" si="128"/>
        <v>0</v>
      </c>
      <c r="EJ95" s="2">
        <f t="shared" si="128"/>
        <v>0</v>
      </c>
      <c r="EK95" s="2">
        <f t="shared" si="128"/>
        <v>0</v>
      </c>
      <c r="EL95" s="2">
        <f t="shared" si="128"/>
        <v>0</v>
      </c>
    </row>
    <row r="96" spans="22:142" ht="14.4" customHeight="1" thickBot="1" x14ac:dyDescent="0.35">
      <c r="V96" s="67"/>
      <c r="W96" s="68"/>
      <c r="X96" s="68"/>
      <c r="Y96" s="68"/>
      <c r="Z96" s="68"/>
      <c r="AA96" s="68"/>
      <c r="AB96" s="68"/>
      <c r="AC96" s="68"/>
      <c r="AD96" s="68"/>
      <c r="AE96" s="68"/>
      <c r="AF96" s="68"/>
      <c r="AG96" s="233" t="s">
        <v>140</v>
      </c>
      <c r="AH96" s="233"/>
      <c r="AI96" s="233"/>
      <c r="AJ96" s="234" t="s">
        <v>139</v>
      </c>
      <c r="AK96" s="234"/>
      <c r="AL96" s="234"/>
      <c r="AM96" s="234"/>
      <c r="AN96" s="234" t="s">
        <v>138</v>
      </c>
      <c r="AO96" s="234"/>
      <c r="AP96" s="235"/>
      <c r="AQ96" s="68"/>
      <c r="AR96" s="68"/>
      <c r="AS96" s="68"/>
      <c r="AT96" s="68"/>
      <c r="AU96" s="68"/>
      <c r="AV96" s="68"/>
      <c r="AW96" s="68"/>
      <c r="AX96" s="68"/>
      <c r="AY96" s="68"/>
      <c r="AZ96" s="68"/>
      <c r="BA96" s="68"/>
      <c r="BB96" s="233" t="s">
        <v>140</v>
      </c>
      <c r="BC96" s="233"/>
      <c r="BD96" s="233"/>
      <c r="BE96" s="234" t="s">
        <v>139</v>
      </c>
      <c r="BF96" s="234"/>
      <c r="BG96" s="234"/>
      <c r="BH96" s="234"/>
      <c r="BI96" s="234" t="s">
        <v>142</v>
      </c>
      <c r="BJ96" s="234"/>
      <c r="BK96" s="235"/>
      <c r="BL96" s="67"/>
      <c r="BM96" s="68"/>
      <c r="BN96" s="68"/>
      <c r="BO96" s="68"/>
      <c r="BP96" s="68"/>
      <c r="BQ96" s="68"/>
      <c r="BR96" s="68"/>
      <c r="BS96" s="68"/>
      <c r="BT96" s="68"/>
      <c r="BU96" s="68"/>
      <c r="BV96" s="68"/>
      <c r="BW96" s="68"/>
      <c r="BX96" s="68"/>
      <c r="BY96" s="68"/>
      <c r="BZ96" s="71" t="s">
        <v>133</v>
      </c>
      <c r="CA96" s="68"/>
      <c r="CB96" s="68"/>
      <c r="CC96" s="68"/>
      <c r="CD96" s="68"/>
      <c r="CE96" s="68"/>
      <c r="CF96" s="69"/>
      <c r="CG96" s="2">
        <f t="shared" ref="CG96:CG106" si="129">V352</f>
        <v>0</v>
      </c>
      <c r="CH96" s="2">
        <f t="shared" si="124"/>
        <v>0</v>
      </c>
      <c r="CI96" s="2">
        <f t="shared" si="125"/>
        <v>0</v>
      </c>
      <c r="CJ96" s="2">
        <f t="shared" si="125"/>
        <v>0</v>
      </c>
      <c r="CK96" s="2">
        <f t="shared" si="125"/>
        <v>0</v>
      </c>
      <c r="CL96" s="2" t="str">
        <f t="shared" si="125"/>
        <v/>
      </c>
      <c r="CM96" s="2" t="str">
        <f t="shared" si="125"/>
        <v/>
      </c>
      <c r="CN96" s="2">
        <f t="shared" si="125"/>
        <v>0</v>
      </c>
      <c r="CO96" s="2">
        <f t="shared" si="126"/>
        <v>0</v>
      </c>
      <c r="CP96" s="2">
        <f t="shared" si="126"/>
        <v>0</v>
      </c>
      <c r="CQ96" s="2">
        <f t="shared" si="126"/>
        <v>0</v>
      </c>
      <c r="CR96" s="2">
        <f t="shared" si="126"/>
        <v>0</v>
      </c>
      <c r="CS96" s="2">
        <f t="shared" si="126"/>
        <v>0</v>
      </c>
      <c r="CT96" s="2">
        <f t="shared" si="126"/>
        <v>0</v>
      </c>
      <c r="CU96" s="2">
        <f t="shared" si="126"/>
        <v>0</v>
      </c>
      <c r="CV96" s="2">
        <f t="shared" si="126"/>
        <v>0</v>
      </c>
      <c r="CW96" s="2">
        <f t="shared" si="126"/>
        <v>0</v>
      </c>
      <c r="CX96" s="2">
        <f t="shared" si="126"/>
        <v>0</v>
      </c>
      <c r="DF96" s="2">
        <f t="shared" ref="DF96:DF106" si="130">AZ351</f>
        <v>0</v>
      </c>
      <c r="DG96" s="2">
        <f t="shared" si="127"/>
        <v>0</v>
      </c>
      <c r="DH96" s="2">
        <f t="shared" si="127"/>
        <v>0</v>
      </c>
      <c r="DI96" s="2">
        <f t="shared" si="127"/>
        <v>0</v>
      </c>
      <c r="DJ96" s="2">
        <f t="shared" si="127"/>
        <v>0</v>
      </c>
      <c r="DK96" s="2">
        <f t="shared" si="127"/>
        <v>0</v>
      </c>
      <c r="DL96" s="2">
        <f t="shared" si="127"/>
        <v>0</v>
      </c>
      <c r="DM96" s="2">
        <f t="shared" si="127"/>
        <v>0</v>
      </c>
      <c r="DN96" s="2">
        <f t="shared" si="127"/>
        <v>0</v>
      </c>
      <c r="DO96" s="2">
        <f t="shared" si="127"/>
        <v>0</v>
      </c>
      <c r="DP96" s="2">
        <f t="shared" si="127"/>
        <v>0</v>
      </c>
      <c r="DQ96" s="2">
        <f t="shared" si="127"/>
        <v>0</v>
      </c>
      <c r="DR96" s="2">
        <f t="shared" ref="DR96:DR106" si="131">AQ364</f>
        <v>0</v>
      </c>
      <c r="DS96" s="2">
        <f t="shared" si="128"/>
        <v>0</v>
      </c>
      <c r="DT96" s="2">
        <f t="shared" si="128"/>
        <v>0</v>
      </c>
      <c r="DU96" s="2">
        <f t="shared" si="128"/>
        <v>0</v>
      </c>
      <c r="DV96" s="2">
        <f t="shared" si="128"/>
        <v>0</v>
      </c>
      <c r="DW96" s="2">
        <f t="shared" si="128"/>
        <v>0</v>
      </c>
      <c r="DX96" s="2">
        <f t="shared" si="128"/>
        <v>0</v>
      </c>
      <c r="DY96" s="2">
        <f t="shared" si="128"/>
        <v>0</v>
      </c>
      <c r="DZ96" s="2">
        <f t="shared" si="128"/>
        <v>0</v>
      </c>
      <c r="EA96" s="2">
        <f t="shared" si="128"/>
        <v>0</v>
      </c>
      <c r="EB96" s="2">
        <f t="shared" si="128"/>
        <v>0</v>
      </c>
      <c r="EC96" s="2">
        <f t="shared" si="128"/>
        <v>0</v>
      </c>
      <c r="ED96" s="2">
        <f t="shared" si="128"/>
        <v>0</v>
      </c>
      <c r="EE96" s="2">
        <f t="shared" si="128"/>
        <v>0</v>
      </c>
      <c r="EF96" s="2">
        <f t="shared" si="128"/>
        <v>0</v>
      </c>
      <c r="EG96" s="2">
        <f t="shared" si="128"/>
        <v>0</v>
      </c>
      <c r="EH96" s="2">
        <f t="shared" si="128"/>
        <v>0</v>
      </c>
      <c r="EI96" s="2">
        <f t="shared" si="128"/>
        <v>0</v>
      </c>
      <c r="EJ96" s="2">
        <f t="shared" si="128"/>
        <v>0</v>
      </c>
      <c r="EK96" s="2">
        <f t="shared" si="128"/>
        <v>0</v>
      </c>
      <c r="EL96" s="2">
        <f t="shared" si="128"/>
        <v>0</v>
      </c>
    </row>
    <row r="97" spans="22:142" ht="14.4" customHeight="1" x14ac:dyDescent="0.3">
      <c r="V97" s="183" t="e" vm="1">
        <v>#VALUE!</v>
      </c>
      <c r="W97" s="184"/>
      <c r="X97" s="189" t="s">
        <v>1</v>
      </c>
      <c r="Y97" s="189"/>
      <c r="Z97" s="189"/>
      <c r="AA97" s="189"/>
      <c r="AB97" s="189"/>
      <c r="AC97" s="189"/>
      <c r="AD97" s="189"/>
      <c r="AE97" s="189"/>
      <c r="AF97" s="291" t="s">
        <v>2</v>
      </c>
      <c r="AG97" s="191"/>
      <c r="AH97" s="191"/>
      <c r="AI97" s="191"/>
      <c r="AJ97" s="191"/>
      <c r="AK97" s="191"/>
      <c r="AL97" s="191"/>
      <c r="AM97" s="191"/>
      <c r="AN97" s="191" t="e" vm="4">
        <v>#VALUE!</v>
      </c>
      <c r="AO97" s="191"/>
      <c r="AP97" s="192"/>
      <c r="AQ97" s="183" t="e" vm="1">
        <v>#VALUE!</v>
      </c>
      <c r="AR97" s="184"/>
      <c r="AS97" s="190" t="s">
        <v>1</v>
      </c>
      <c r="AT97" s="190"/>
      <c r="AU97" s="190"/>
      <c r="AV97" s="190"/>
      <c r="AW97" s="190"/>
      <c r="AX97" s="190"/>
      <c r="AY97" s="190"/>
      <c r="AZ97" s="190"/>
      <c r="BA97" s="190" t="s">
        <v>3</v>
      </c>
      <c r="BB97" s="190"/>
      <c r="BC97" s="190"/>
      <c r="BD97" s="190"/>
      <c r="BE97" s="190"/>
      <c r="BF97" s="190"/>
      <c r="BG97" s="190"/>
      <c r="BH97" s="190"/>
      <c r="BI97" s="191" t="e" vm="4">
        <v>#VALUE!</v>
      </c>
      <c r="BJ97" s="191"/>
      <c r="BK97" s="192"/>
      <c r="BL97" s="183" t="e" vm="1">
        <v>#VALUE!</v>
      </c>
      <c r="BM97" s="184"/>
      <c r="BN97" s="189" t="s">
        <v>1</v>
      </c>
      <c r="BO97" s="189"/>
      <c r="BP97" s="189"/>
      <c r="BQ97" s="189"/>
      <c r="BR97" s="189"/>
      <c r="BS97" s="189"/>
      <c r="BT97" s="189"/>
      <c r="BU97" s="189"/>
      <c r="BV97" s="189" t="s">
        <v>4</v>
      </c>
      <c r="BW97" s="189"/>
      <c r="BX97" s="189"/>
      <c r="BY97" s="189"/>
      <c r="BZ97" s="189"/>
      <c r="CA97" s="189"/>
      <c r="CB97" s="189"/>
      <c r="CC97" s="189"/>
      <c r="CD97" s="191" t="e" vm="3">
        <v>#VALUE!</v>
      </c>
      <c r="CE97" s="191"/>
      <c r="CF97" s="192"/>
      <c r="CG97" s="2">
        <f t="shared" si="129"/>
        <v>0</v>
      </c>
      <c r="CH97" s="2">
        <f t="shared" si="124"/>
        <v>0</v>
      </c>
      <c r="CI97" s="2">
        <f t="shared" si="125"/>
        <v>0</v>
      </c>
      <c r="CJ97" s="2">
        <f t="shared" si="125"/>
        <v>0</v>
      </c>
      <c r="CK97" s="2">
        <f t="shared" si="125"/>
        <v>0</v>
      </c>
      <c r="CL97" s="2" t="str">
        <f t="shared" si="125"/>
        <v/>
      </c>
      <c r="CM97" s="2" t="str">
        <f t="shared" si="125"/>
        <v/>
      </c>
      <c r="CN97" s="2">
        <f t="shared" si="125"/>
        <v>0</v>
      </c>
      <c r="CO97" s="2">
        <f t="shared" si="126"/>
        <v>0</v>
      </c>
      <c r="CP97" s="2">
        <f t="shared" si="126"/>
        <v>0</v>
      </c>
      <c r="CQ97" s="2">
        <f t="shared" si="126"/>
        <v>0</v>
      </c>
      <c r="CR97" s="2">
        <f t="shared" si="126"/>
        <v>0</v>
      </c>
      <c r="CS97" s="2">
        <f t="shared" si="126"/>
        <v>0</v>
      </c>
      <c r="CT97" s="2">
        <f t="shared" si="126"/>
        <v>0</v>
      </c>
      <c r="CU97" s="2">
        <f t="shared" si="126"/>
        <v>0</v>
      </c>
      <c r="CV97" s="2">
        <f t="shared" si="126"/>
        <v>0</v>
      </c>
      <c r="CW97" s="2">
        <f t="shared" si="126"/>
        <v>0</v>
      </c>
      <c r="CX97" s="2">
        <f t="shared" si="126"/>
        <v>0</v>
      </c>
      <c r="DF97" s="2">
        <f t="shared" si="130"/>
        <v>0</v>
      </c>
      <c r="DG97" s="2">
        <f t="shared" si="127"/>
        <v>0</v>
      </c>
      <c r="DH97" s="2">
        <f t="shared" si="127"/>
        <v>0</v>
      </c>
      <c r="DI97" s="2">
        <f t="shared" si="127"/>
        <v>0</v>
      </c>
      <c r="DJ97" s="2">
        <f t="shared" si="127"/>
        <v>0</v>
      </c>
      <c r="DK97" s="2">
        <f t="shared" si="127"/>
        <v>0</v>
      </c>
      <c r="DL97" s="2">
        <f t="shared" si="127"/>
        <v>0</v>
      </c>
      <c r="DM97" s="2">
        <f t="shared" si="127"/>
        <v>0</v>
      </c>
      <c r="DN97" s="2">
        <f t="shared" si="127"/>
        <v>0</v>
      </c>
      <c r="DO97" s="2">
        <f t="shared" si="127"/>
        <v>0</v>
      </c>
      <c r="DP97" s="2">
        <f t="shared" si="127"/>
        <v>0</v>
      </c>
      <c r="DQ97" s="2">
        <f t="shared" si="127"/>
        <v>0</v>
      </c>
      <c r="DR97" s="2">
        <f t="shared" si="131"/>
        <v>0</v>
      </c>
      <c r="DS97" s="2">
        <f t="shared" si="128"/>
        <v>0</v>
      </c>
      <c r="DT97" s="2">
        <f t="shared" si="128"/>
        <v>0</v>
      </c>
      <c r="DU97" s="2">
        <f t="shared" si="128"/>
        <v>0</v>
      </c>
      <c r="DV97" s="2">
        <f t="shared" si="128"/>
        <v>0</v>
      </c>
      <c r="DW97" s="2">
        <f t="shared" si="128"/>
        <v>0</v>
      </c>
      <c r="DX97" s="2">
        <f t="shared" si="128"/>
        <v>0</v>
      </c>
      <c r="DY97" s="2">
        <f t="shared" si="128"/>
        <v>0</v>
      </c>
      <c r="DZ97" s="2">
        <f t="shared" si="128"/>
        <v>0</v>
      </c>
      <c r="EA97" s="2">
        <f t="shared" si="128"/>
        <v>0</v>
      </c>
      <c r="EB97" s="2">
        <f t="shared" si="128"/>
        <v>0</v>
      </c>
      <c r="EC97" s="2">
        <f t="shared" si="128"/>
        <v>0</v>
      </c>
      <c r="ED97" s="2">
        <f t="shared" si="128"/>
        <v>0</v>
      </c>
      <c r="EE97" s="2">
        <f t="shared" si="128"/>
        <v>0</v>
      </c>
      <c r="EF97" s="2">
        <f t="shared" si="128"/>
        <v>0</v>
      </c>
      <c r="EG97" s="2">
        <f t="shared" si="128"/>
        <v>0</v>
      </c>
      <c r="EH97" s="2">
        <f t="shared" si="128"/>
        <v>0</v>
      </c>
      <c r="EI97" s="2">
        <f t="shared" si="128"/>
        <v>0</v>
      </c>
      <c r="EJ97" s="2">
        <f t="shared" si="128"/>
        <v>0</v>
      </c>
      <c r="EK97" s="2">
        <f t="shared" si="128"/>
        <v>0</v>
      </c>
      <c r="EL97" s="2">
        <f t="shared" si="128"/>
        <v>0</v>
      </c>
    </row>
    <row r="98" spans="22:142" ht="14.4" customHeight="1" x14ac:dyDescent="0.3">
      <c r="V98" s="185"/>
      <c r="W98" s="186"/>
      <c r="X98" s="190"/>
      <c r="Y98" s="190"/>
      <c r="Z98" s="190"/>
      <c r="AA98" s="190"/>
      <c r="AB98" s="190"/>
      <c r="AC98" s="190"/>
      <c r="AD98" s="190"/>
      <c r="AE98" s="190"/>
      <c r="AF98" s="293"/>
      <c r="AG98" s="193"/>
      <c r="AH98" s="193"/>
      <c r="AI98" s="193"/>
      <c r="AJ98" s="193"/>
      <c r="AK98" s="193"/>
      <c r="AL98" s="193"/>
      <c r="AM98" s="193"/>
      <c r="AN98" s="193"/>
      <c r="AO98" s="193"/>
      <c r="AP98" s="194"/>
      <c r="AQ98" s="185"/>
      <c r="AR98" s="186"/>
      <c r="AS98" s="190"/>
      <c r="AT98" s="190"/>
      <c r="AU98" s="190"/>
      <c r="AV98" s="190"/>
      <c r="AW98" s="190"/>
      <c r="AX98" s="190"/>
      <c r="AY98" s="190"/>
      <c r="AZ98" s="190"/>
      <c r="BA98" s="190"/>
      <c r="BB98" s="190"/>
      <c r="BC98" s="190"/>
      <c r="BD98" s="190"/>
      <c r="BE98" s="190"/>
      <c r="BF98" s="190"/>
      <c r="BG98" s="190"/>
      <c r="BH98" s="190"/>
      <c r="BI98" s="193"/>
      <c r="BJ98" s="193"/>
      <c r="BK98" s="194"/>
      <c r="BL98" s="185"/>
      <c r="BM98" s="186"/>
      <c r="BN98" s="190"/>
      <c r="BO98" s="190"/>
      <c r="BP98" s="190"/>
      <c r="BQ98" s="190"/>
      <c r="BR98" s="190"/>
      <c r="BS98" s="190"/>
      <c r="BT98" s="190"/>
      <c r="BU98" s="190"/>
      <c r="BV98" s="190"/>
      <c r="BW98" s="190"/>
      <c r="BX98" s="190"/>
      <c r="BY98" s="190"/>
      <c r="BZ98" s="190"/>
      <c r="CA98" s="190"/>
      <c r="CB98" s="190"/>
      <c r="CC98" s="190"/>
      <c r="CD98" s="193"/>
      <c r="CE98" s="193"/>
      <c r="CF98" s="194"/>
      <c r="CG98" s="2">
        <f t="shared" si="129"/>
        <v>0</v>
      </c>
      <c r="CH98" s="2">
        <f t="shared" si="124"/>
        <v>0</v>
      </c>
      <c r="CI98" s="2">
        <f t="shared" si="125"/>
        <v>0</v>
      </c>
      <c r="CJ98" s="2">
        <f t="shared" si="125"/>
        <v>0</v>
      </c>
      <c r="CK98" s="2">
        <f t="shared" si="125"/>
        <v>0</v>
      </c>
      <c r="CL98" s="2" t="str">
        <f t="shared" si="125"/>
        <v/>
      </c>
      <c r="CM98" s="2" t="str">
        <f t="shared" si="125"/>
        <v/>
      </c>
      <c r="CN98" s="2">
        <f t="shared" si="125"/>
        <v>0</v>
      </c>
      <c r="CO98" s="2">
        <f t="shared" si="126"/>
        <v>0</v>
      </c>
      <c r="CP98" s="2">
        <f t="shared" si="126"/>
        <v>0</v>
      </c>
      <c r="CQ98" s="2">
        <f t="shared" si="126"/>
        <v>0</v>
      </c>
      <c r="CR98" s="2">
        <f t="shared" si="126"/>
        <v>0</v>
      </c>
      <c r="CS98" s="2">
        <f t="shared" si="126"/>
        <v>0</v>
      </c>
      <c r="CT98" s="2">
        <f t="shared" si="126"/>
        <v>0</v>
      </c>
      <c r="CU98" s="2">
        <f t="shared" si="126"/>
        <v>0</v>
      </c>
      <c r="CV98" s="2">
        <f t="shared" si="126"/>
        <v>0</v>
      </c>
      <c r="CW98" s="2">
        <f t="shared" si="126"/>
        <v>0</v>
      </c>
      <c r="CX98" s="2">
        <f t="shared" si="126"/>
        <v>0</v>
      </c>
      <c r="DF98" s="2">
        <f t="shared" si="130"/>
        <v>0</v>
      </c>
      <c r="DG98" s="2">
        <f t="shared" si="127"/>
        <v>0</v>
      </c>
      <c r="DH98" s="2">
        <f t="shared" si="127"/>
        <v>0</v>
      </c>
      <c r="DI98" s="2">
        <f t="shared" si="127"/>
        <v>0</v>
      </c>
      <c r="DJ98" s="2">
        <f t="shared" si="127"/>
        <v>0</v>
      </c>
      <c r="DK98" s="2">
        <f t="shared" si="127"/>
        <v>0</v>
      </c>
      <c r="DL98" s="2">
        <f t="shared" si="127"/>
        <v>0</v>
      </c>
      <c r="DM98" s="2">
        <f t="shared" si="127"/>
        <v>0</v>
      </c>
      <c r="DN98" s="2">
        <f t="shared" si="127"/>
        <v>0</v>
      </c>
      <c r="DO98" s="2">
        <f t="shared" si="127"/>
        <v>0</v>
      </c>
      <c r="DP98" s="2">
        <f t="shared" si="127"/>
        <v>0</v>
      </c>
      <c r="DQ98" s="2">
        <f t="shared" si="127"/>
        <v>0</v>
      </c>
      <c r="DR98" s="2">
        <f t="shared" si="131"/>
        <v>0</v>
      </c>
      <c r="DS98" s="2">
        <f t="shared" si="128"/>
        <v>0</v>
      </c>
      <c r="DT98" s="2">
        <f t="shared" si="128"/>
        <v>0</v>
      </c>
      <c r="DU98" s="2">
        <f t="shared" si="128"/>
        <v>0</v>
      </c>
      <c r="DV98" s="2">
        <f t="shared" si="128"/>
        <v>0</v>
      </c>
      <c r="DW98" s="2">
        <f t="shared" si="128"/>
        <v>0</v>
      </c>
      <c r="DX98" s="2">
        <f t="shared" si="128"/>
        <v>0</v>
      </c>
      <c r="DY98" s="2">
        <f t="shared" si="128"/>
        <v>0</v>
      </c>
      <c r="DZ98" s="2">
        <f t="shared" si="128"/>
        <v>0</v>
      </c>
      <c r="EA98" s="2">
        <f t="shared" si="128"/>
        <v>0</v>
      </c>
      <c r="EB98" s="2">
        <f t="shared" si="128"/>
        <v>0</v>
      </c>
      <c r="EC98" s="2">
        <f t="shared" si="128"/>
        <v>0</v>
      </c>
      <c r="ED98" s="2">
        <f t="shared" si="128"/>
        <v>0</v>
      </c>
      <c r="EE98" s="2">
        <f t="shared" si="128"/>
        <v>0</v>
      </c>
      <c r="EF98" s="2">
        <f t="shared" si="128"/>
        <v>0</v>
      </c>
      <c r="EG98" s="2">
        <f t="shared" si="128"/>
        <v>0</v>
      </c>
      <c r="EH98" s="2">
        <f t="shared" si="128"/>
        <v>0</v>
      </c>
      <c r="EI98" s="2">
        <f t="shared" si="128"/>
        <v>0</v>
      </c>
      <c r="EJ98" s="2">
        <f t="shared" si="128"/>
        <v>0</v>
      </c>
      <c r="EK98" s="2">
        <f t="shared" si="128"/>
        <v>0</v>
      </c>
      <c r="EL98" s="2">
        <f t="shared" si="128"/>
        <v>0</v>
      </c>
    </row>
    <row r="99" spans="22:142" ht="14.4" customHeight="1" x14ac:dyDescent="0.3">
      <c r="V99" s="187"/>
      <c r="W99" s="188"/>
      <c r="X99" s="190"/>
      <c r="Y99" s="190"/>
      <c r="Z99" s="190"/>
      <c r="AA99" s="190"/>
      <c r="AB99" s="190"/>
      <c r="AC99" s="190"/>
      <c r="AD99" s="190"/>
      <c r="AE99" s="190"/>
      <c r="AF99" s="295"/>
      <c r="AG99" s="195"/>
      <c r="AH99" s="195"/>
      <c r="AI99" s="195"/>
      <c r="AJ99" s="195"/>
      <c r="AK99" s="195"/>
      <c r="AL99" s="195"/>
      <c r="AM99" s="195"/>
      <c r="AN99" s="193"/>
      <c r="AO99" s="193"/>
      <c r="AP99" s="194"/>
      <c r="AQ99" s="187"/>
      <c r="AR99" s="188"/>
      <c r="AS99" s="190"/>
      <c r="AT99" s="190"/>
      <c r="AU99" s="190"/>
      <c r="AV99" s="190"/>
      <c r="AW99" s="190"/>
      <c r="AX99" s="190"/>
      <c r="AY99" s="190"/>
      <c r="AZ99" s="190"/>
      <c r="BA99" s="190"/>
      <c r="BB99" s="190"/>
      <c r="BC99" s="190"/>
      <c r="BD99" s="190"/>
      <c r="BE99" s="190"/>
      <c r="BF99" s="190"/>
      <c r="BG99" s="190"/>
      <c r="BH99" s="190"/>
      <c r="BI99" s="195"/>
      <c r="BJ99" s="195"/>
      <c r="BK99" s="196"/>
      <c r="BL99" s="187"/>
      <c r="BM99" s="188"/>
      <c r="BN99" s="190"/>
      <c r="BO99" s="190"/>
      <c r="BP99" s="190"/>
      <c r="BQ99" s="190"/>
      <c r="BR99" s="190"/>
      <c r="BS99" s="190"/>
      <c r="BT99" s="190"/>
      <c r="BU99" s="190"/>
      <c r="BV99" s="190"/>
      <c r="BW99" s="190"/>
      <c r="BX99" s="190"/>
      <c r="BY99" s="190"/>
      <c r="BZ99" s="190"/>
      <c r="CA99" s="190"/>
      <c r="CB99" s="190"/>
      <c r="CC99" s="190"/>
      <c r="CD99" s="195"/>
      <c r="CE99" s="195"/>
      <c r="CF99" s="196"/>
      <c r="CG99" s="2">
        <f t="shared" si="129"/>
        <v>0</v>
      </c>
      <c r="CH99" s="2">
        <f t="shared" si="124"/>
        <v>0</v>
      </c>
      <c r="CI99" s="2">
        <f t="shared" si="125"/>
        <v>0</v>
      </c>
      <c r="CJ99" s="2">
        <f t="shared" si="125"/>
        <v>0</v>
      </c>
      <c r="CK99" s="2">
        <f t="shared" si="125"/>
        <v>0</v>
      </c>
      <c r="CL99" s="2" t="str">
        <f t="shared" si="125"/>
        <v/>
      </c>
      <c r="CM99" s="2" t="str">
        <f t="shared" si="125"/>
        <v/>
      </c>
      <c r="CN99" s="2">
        <f t="shared" si="125"/>
        <v>0</v>
      </c>
      <c r="CO99" s="2">
        <f t="shared" si="126"/>
        <v>0</v>
      </c>
      <c r="CP99" s="2">
        <f t="shared" si="126"/>
        <v>0</v>
      </c>
      <c r="CQ99" s="2">
        <f t="shared" si="126"/>
        <v>0</v>
      </c>
      <c r="CR99" s="2">
        <f t="shared" si="126"/>
        <v>0</v>
      </c>
      <c r="CS99" s="2">
        <f t="shared" si="126"/>
        <v>0</v>
      </c>
      <c r="CT99" s="2">
        <f t="shared" si="126"/>
        <v>0</v>
      </c>
      <c r="CU99" s="2">
        <f t="shared" si="126"/>
        <v>0</v>
      </c>
      <c r="CV99" s="2">
        <f t="shared" si="126"/>
        <v>0</v>
      </c>
      <c r="CW99" s="2">
        <f t="shared" si="126"/>
        <v>0</v>
      </c>
      <c r="CX99" s="2">
        <f t="shared" si="126"/>
        <v>0</v>
      </c>
      <c r="DF99" s="2">
        <f t="shared" si="130"/>
        <v>0</v>
      </c>
      <c r="DG99" s="2">
        <f t="shared" si="127"/>
        <v>0</v>
      </c>
      <c r="DH99" s="2">
        <f t="shared" si="127"/>
        <v>0</v>
      </c>
      <c r="DI99" s="2">
        <f t="shared" si="127"/>
        <v>0</v>
      </c>
      <c r="DJ99" s="2">
        <f t="shared" si="127"/>
        <v>0</v>
      </c>
      <c r="DK99" s="2">
        <f t="shared" si="127"/>
        <v>0</v>
      </c>
      <c r="DL99" s="2">
        <f t="shared" si="127"/>
        <v>0</v>
      </c>
      <c r="DM99" s="2">
        <f t="shared" si="127"/>
        <v>0</v>
      </c>
      <c r="DN99" s="2">
        <f t="shared" si="127"/>
        <v>0</v>
      </c>
      <c r="DO99" s="2">
        <f t="shared" si="127"/>
        <v>0</v>
      </c>
      <c r="DP99" s="2">
        <f t="shared" si="127"/>
        <v>0</v>
      </c>
      <c r="DQ99" s="2">
        <f t="shared" si="127"/>
        <v>0</v>
      </c>
      <c r="DR99" s="2">
        <f t="shared" si="131"/>
        <v>0</v>
      </c>
      <c r="DS99" s="2">
        <f t="shared" si="128"/>
        <v>0</v>
      </c>
      <c r="DT99" s="2">
        <f t="shared" si="128"/>
        <v>0</v>
      </c>
      <c r="DU99" s="2">
        <f t="shared" si="128"/>
        <v>0</v>
      </c>
      <c r="DV99" s="2">
        <f t="shared" si="128"/>
        <v>0</v>
      </c>
      <c r="DW99" s="2">
        <f t="shared" si="128"/>
        <v>0</v>
      </c>
      <c r="DX99" s="2">
        <f t="shared" si="128"/>
        <v>0</v>
      </c>
      <c r="DY99" s="2">
        <f t="shared" si="128"/>
        <v>0</v>
      </c>
      <c r="DZ99" s="2">
        <f t="shared" si="128"/>
        <v>0</v>
      </c>
      <c r="EA99" s="2">
        <f t="shared" si="128"/>
        <v>0</v>
      </c>
      <c r="EB99" s="2">
        <f t="shared" si="128"/>
        <v>0</v>
      </c>
      <c r="EC99" s="2">
        <f t="shared" si="128"/>
        <v>0</v>
      </c>
      <c r="ED99" s="2">
        <f t="shared" si="128"/>
        <v>0</v>
      </c>
      <c r="EE99" s="2">
        <f t="shared" si="128"/>
        <v>0</v>
      </c>
      <c r="EF99" s="2">
        <f t="shared" si="128"/>
        <v>0</v>
      </c>
      <c r="EG99" s="2">
        <f t="shared" si="128"/>
        <v>0</v>
      </c>
      <c r="EH99" s="2">
        <f t="shared" si="128"/>
        <v>0</v>
      </c>
      <c r="EI99" s="2">
        <f t="shared" si="128"/>
        <v>0</v>
      </c>
      <c r="EJ99" s="2">
        <f t="shared" si="128"/>
        <v>0</v>
      </c>
      <c r="EK99" s="2">
        <f t="shared" si="128"/>
        <v>0</v>
      </c>
      <c r="EL99" s="2">
        <f t="shared" si="128"/>
        <v>0</v>
      </c>
    </row>
    <row r="100" spans="22:142" ht="14.4" customHeight="1" x14ac:dyDescent="0.3">
      <c r="V100" s="107" t="s">
        <v>7</v>
      </c>
      <c r="W100" s="106"/>
      <c r="X100" s="182" t="str">
        <f>IF(ISBLANK($C$4),"",$C$4)</f>
        <v/>
      </c>
      <c r="Y100" s="182"/>
      <c r="Z100" s="182"/>
      <c r="AA100" s="182"/>
      <c r="AB100" s="182"/>
      <c r="AC100" s="105" t="s">
        <v>8</v>
      </c>
      <c r="AD100" s="112"/>
      <c r="AE100" s="106"/>
      <c r="AF100" s="105" t="s">
        <v>9</v>
      </c>
      <c r="AG100" s="112"/>
      <c r="AH100" s="106"/>
      <c r="AI100" s="105" t="s">
        <v>10</v>
      </c>
      <c r="AJ100" s="112"/>
      <c r="AK100" s="106"/>
      <c r="AL100" s="113" t="s">
        <v>11</v>
      </c>
      <c r="AM100" s="117"/>
      <c r="AN100" s="113" t="str">
        <f>IF(ISBLANK($S$4),"",$S$4)</f>
        <v/>
      </c>
      <c r="AO100" s="117"/>
      <c r="AP100" s="114"/>
      <c r="AQ100" s="112" t="s">
        <v>7</v>
      </c>
      <c r="AR100" s="106"/>
      <c r="AS100" s="182" t="str">
        <f>IF(ISBLANK($C$4),"",$C$4)</f>
        <v/>
      </c>
      <c r="AT100" s="182"/>
      <c r="AU100" s="182"/>
      <c r="AV100" s="182"/>
      <c r="AW100" s="182"/>
      <c r="AX100" s="108" t="s">
        <v>8</v>
      </c>
      <c r="AY100" s="109"/>
      <c r="AZ100" s="110"/>
      <c r="BA100" s="108" t="s">
        <v>9</v>
      </c>
      <c r="BB100" s="109"/>
      <c r="BC100" s="110"/>
      <c r="BD100" s="108" t="s">
        <v>10</v>
      </c>
      <c r="BE100" s="109"/>
      <c r="BF100" s="110"/>
      <c r="BG100" s="113" t="s">
        <v>11</v>
      </c>
      <c r="BH100" s="114"/>
      <c r="BI100" s="113" t="str">
        <f>IF(ISBLANK($S$4),"",$S$4)</f>
        <v/>
      </c>
      <c r="BJ100" s="117"/>
      <c r="BK100" s="114"/>
      <c r="BL100" s="112" t="s">
        <v>7</v>
      </c>
      <c r="BM100" s="106"/>
      <c r="BN100" s="182" t="str">
        <f>IF(ISBLANK($C$4),"",$C$4)</f>
        <v/>
      </c>
      <c r="BO100" s="182"/>
      <c r="BP100" s="182"/>
      <c r="BQ100" s="182"/>
      <c r="BR100" s="182"/>
      <c r="BS100" s="108" t="s">
        <v>8</v>
      </c>
      <c r="BT100" s="109"/>
      <c r="BU100" s="110"/>
      <c r="BV100" s="108" t="s">
        <v>9</v>
      </c>
      <c r="BW100" s="109"/>
      <c r="BX100" s="110"/>
      <c r="BY100" s="108" t="s">
        <v>10</v>
      </c>
      <c r="BZ100" s="109"/>
      <c r="CA100" s="110"/>
      <c r="CB100" s="113" t="s">
        <v>11</v>
      </c>
      <c r="CC100" s="114"/>
      <c r="CD100" s="113" t="str">
        <f>IF(ISBLANK($S$4),"",$S$4)</f>
        <v/>
      </c>
      <c r="CE100" s="117"/>
      <c r="CF100" s="114"/>
      <c r="CG100" s="2">
        <f t="shared" si="129"/>
        <v>0</v>
      </c>
      <c r="CH100" s="2">
        <f t="shared" si="124"/>
        <v>0</v>
      </c>
      <c r="CI100" s="2">
        <f t="shared" si="125"/>
        <v>0</v>
      </c>
      <c r="CJ100" s="2">
        <f t="shared" si="125"/>
        <v>0</v>
      </c>
      <c r="CK100" s="2">
        <f t="shared" si="125"/>
        <v>0</v>
      </c>
      <c r="CL100" s="2" t="str">
        <f t="shared" si="125"/>
        <v/>
      </c>
      <c r="CM100" s="2" t="str">
        <f t="shared" si="125"/>
        <v/>
      </c>
      <c r="CN100" s="2">
        <f t="shared" si="125"/>
        <v>0</v>
      </c>
      <c r="CO100" s="2">
        <f t="shared" si="126"/>
        <v>0</v>
      </c>
      <c r="CP100" s="2">
        <f t="shared" si="126"/>
        <v>0</v>
      </c>
      <c r="CQ100" s="2">
        <f t="shared" si="126"/>
        <v>0</v>
      </c>
      <c r="CR100" s="2">
        <f t="shared" si="126"/>
        <v>0</v>
      </c>
      <c r="CS100" s="2">
        <f t="shared" si="126"/>
        <v>0</v>
      </c>
      <c r="CT100" s="2">
        <f t="shared" si="126"/>
        <v>0</v>
      </c>
      <c r="CU100" s="2">
        <f t="shared" si="126"/>
        <v>0</v>
      </c>
      <c r="CV100" s="2">
        <f t="shared" si="126"/>
        <v>0</v>
      </c>
      <c r="CW100" s="2">
        <f t="shared" si="126"/>
        <v>0</v>
      </c>
      <c r="CX100" s="2">
        <f t="shared" si="126"/>
        <v>0</v>
      </c>
      <c r="DF100" s="2">
        <f t="shared" si="130"/>
        <v>0</v>
      </c>
      <c r="DG100" s="2">
        <f t="shared" si="127"/>
        <v>0</v>
      </c>
      <c r="DH100" s="2">
        <f t="shared" si="127"/>
        <v>0</v>
      </c>
      <c r="DI100" s="2">
        <f t="shared" si="127"/>
        <v>0</v>
      </c>
      <c r="DJ100" s="2">
        <f t="shared" si="127"/>
        <v>0</v>
      </c>
      <c r="DK100" s="2">
        <f t="shared" si="127"/>
        <v>0</v>
      </c>
      <c r="DL100" s="2">
        <f t="shared" si="127"/>
        <v>0</v>
      </c>
      <c r="DM100" s="2">
        <f t="shared" si="127"/>
        <v>0</v>
      </c>
      <c r="DN100" s="2">
        <f t="shared" si="127"/>
        <v>0</v>
      </c>
      <c r="DO100" s="2">
        <f t="shared" si="127"/>
        <v>0</v>
      </c>
      <c r="DP100" s="2">
        <f t="shared" si="127"/>
        <v>0</v>
      </c>
      <c r="DQ100" s="2">
        <f t="shared" si="127"/>
        <v>0</v>
      </c>
      <c r="DR100" s="2">
        <f t="shared" si="131"/>
        <v>0</v>
      </c>
      <c r="DS100" s="2">
        <f t="shared" si="128"/>
        <v>0</v>
      </c>
      <c r="DT100" s="2">
        <f t="shared" si="128"/>
        <v>0</v>
      </c>
      <c r="DU100" s="2">
        <f t="shared" si="128"/>
        <v>0</v>
      </c>
      <c r="DV100" s="2">
        <f t="shared" si="128"/>
        <v>0</v>
      </c>
      <c r="DW100" s="2">
        <f t="shared" si="128"/>
        <v>0</v>
      </c>
      <c r="DX100" s="2">
        <f t="shared" si="128"/>
        <v>0</v>
      </c>
      <c r="DY100" s="2">
        <f t="shared" si="128"/>
        <v>0</v>
      </c>
      <c r="DZ100" s="2">
        <f t="shared" si="128"/>
        <v>0</v>
      </c>
      <c r="EA100" s="2">
        <f t="shared" si="128"/>
        <v>0</v>
      </c>
      <c r="EB100" s="2">
        <f t="shared" si="128"/>
        <v>0</v>
      </c>
      <c r="EC100" s="2">
        <f t="shared" si="128"/>
        <v>0</v>
      </c>
      <c r="ED100" s="2">
        <f t="shared" si="128"/>
        <v>0</v>
      </c>
      <c r="EE100" s="2">
        <f t="shared" si="128"/>
        <v>0</v>
      </c>
      <c r="EF100" s="2">
        <f t="shared" si="128"/>
        <v>0</v>
      </c>
      <c r="EG100" s="2">
        <f t="shared" si="128"/>
        <v>0</v>
      </c>
      <c r="EH100" s="2">
        <f t="shared" si="128"/>
        <v>0</v>
      </c>
      <c r="EI100" s="2">
        <f t="shared" si="128"/>
        <v>0</v>
      </c>
      <c r="EJ100" s="2">
        <f t="shared" si="128"/>
        <v>0</v>
      </c>
      <c r="EK100" s="2">
        <f t="shared" si="128"/>
        <v>0</v>
      </c>
      <c r="EL100" s="2">
        <f t="shared" si="128"/>
        <v>0</v>
      </c>
    </row>
    <row r="101" spans="22:142" ht="14.4" customHeight="1" x14ac:dyDescent="0.3">
      <c r="V101" s="107" t="s">
        <v>12</v>
      </c>
      <c r="W101" s="106"/>
      <c r="X101" s="182" t="str">
        <f>IF(ISBLANK($C$5),"",$C$5)</f>
        <v/>
      </c>
      <c r="Y101" s="182"/>
      <c r="Z101" s="182"/>
      <c r="AA101" s="182"/>
      <c r="AB101" s="182"/>
      <c r="AC101" s="105" t="s">
        <v>13</v>
      </c>
      <c r="AD101" s="112"/>
      <c r="AE101" s="106"/>
      <c r="AF101" s="105" t="s">
        <v>14</v>
      </c>
      <c r="AG101" s="112"/>
      <c r="AH101" s="106"/>
      <c r="AI101" s="105" t="s">
        <v>15</v>
      </c>
      <c r="AJ101" s="112"/>
      <c r="AK101" s="106"/>
      <c r="AL101" s="115"/>
      <c r="AM101" s="118"/>
      <c r="AN101" s="115" t="str">
        <f>IF(ISBLANK($S$5),"",$S$5)</f>
        <v/>
      </c>
      <c r="AO101" s="118"/>
      <c r="AP101" s="116"/>
      <c r="AQ101" s="112" t="s">
        <v>12</v>
      </c>
      <c r="AR101" s="106"/>
      <c r="AS101" s="182" t="str">
        <f>IF(ISBLANK($C$5),"",$C$5)</f>
        <v/>
      </c>
      <c r="AT101" s="182"/>
      <c r="AU101" s="182"/>
      <c r="AV101" s="182"/>
      <c r="AW101" s="182"/>
      <c r="AX101" s="108" t="s">
        <v>13</v>
      </c>
      <c r="AY101" s="109"/>
      <c r="AZ101" s="110"/>
      <c r="BA101" s="108" t="s">
        <v>14</v>
      </c>
      <c r="BB101" s="109"/>
      <c r="BC101" s="110"/>
      <c r="BD101" s="108" t="s">
        <v>15</v>
      </c>
      <c r="BE101" s="109"/>
      <c r="BF101" s="110"/>
      <c r="BG101" s="115"/>
      <c r="BH101" s="116"/>
      <c r="BI101" s="115" t="str">
        <f>IF(ISBLANK($S$5),"",$S$5)</f>
        <v/>
      </c>
      <c r="BJ101" s="118"/>
      <c r="BK101" s="116"/>
      <c r="BL101" s="112" t="s">
        <v>12</v>
      </c>
      <c r="BM101" s="106"/>
      <c r="BN101" s="182" t="str">
        <f>IF(ISBLANK($C$5),"",$C$5)</f>
        <v/>
      </c>
      <c r="BO101" s="182"/>
      <c r="BP101" s="182"/>
      <c r="BQ101" s="182"/>
      <c r="BR101" s="182"/>
      <c r="BS101" s="108" t="s">
        <v>143</v>
      </c>
      <c r="BT101" s="109"/>
      <c r="BU101" s="110"/>
      <c r="BV101" s="108" t="s">
        <v>144</v>
      </c>
      <c r="BW101" s="109"/>
      <c r="BX101" s="110"/>
      <c r="BY101" s="108" t="s">
        <v>15</v>
      </c>
      <c r="BZ101" s="109"/>
      <c r="CA101" s="110"/>
      <c r="CB101" s="115"/>
      <c r="CC101" s="116"/>
      <c r="CD101" s="115" t="str">
        <f>IF(ISBLANK($S$5),"",$S$5)</f>
        <v/>
      </c>
      <c r="CE101" s="118"/>
      <c r="CF101" s="116"/>
      <c r="CG101" s="2">
        <f t="shared" si="129"/>
        <v>0</v>
      </c>
      <c r="CH101" s="2">
        <f t="shared" si="124"/>
        <v>0</v>
      </c>
      <c r="CI101" s="2">
        <f t="shared" si="125"/>
        <v>0</v>
      </c>
      <c r="CJ101" s="2">
        <f t="shared" si="125"/>
        <v>0</v>
      </c>
      <c r="CK101" s="2">
        <f t="shared" si="125"/>
        <v>0</v>
      </c>
      <c r="CL101" s="2" t="str">
        <f t="shared" si="125"/>
        <v/>
      </c>
      <c r="CM101" s="2" t="str">
        <f t="shared" si="125"/>
        <v/>
      </c>
      <c r="CN101" s="2">
        <f t="shared" si="125"/>
        <v>0</v>
      </c>
      <c r="CO101" s="2">
        <f t="shared" si="126"/>
        <v>0</v>
      </c>
      <c r="CP101" s="2">
        <f t="shared" si="126"/>
        <v>0</v>
      </c>
      <c r="CQ101" s="2">
        <f t="shared" si="126"/>
        <v>0</v>
      </c>
      <c r="CR101" s="2">
        <f t="shared" si="126"/>
        <v>0</v>
      </c>
      <c r="CS101" s="2">
        <f t="shared" si="126"/>
        <v>0</v>
      </c>
      <c r="CT101" s="2">
        <f t="shared" si="126"/>
        <v>0</v>
      </c>
      <c r="CU101" s="2">
        <f t="shared" si="126"/>
        <v>0</v>
      </c>
      <c r="CV101" s="2">
        <f t="shared" si="126"/>
        <v>0</v>
      </c>
      <c r="CW101" s="2">
        <f t="shared" si="126"/>
        <v>0</v>
      </c>
      <c r="CX101" s="2">
        <f t="shared" si="126"/>
        <v>0</v>
      </c>
      <c r="DF101" s="2">
        <f t="shared" si="130"/>
        <v>0</v>
      </c>
      <c r="DG101" s="2">
        <f t="shared" si="127"/>
        <v>0</v>
      </c>
      <c r="DH101" s="2">
        <f t="shared" si="127"/>
        <v>0</v>
      </c>
      <c r="DI101" s="2">
        <f t="shared" si="127"/>
        <v>0</v>
      </c>
      <c r="DJ101" s="2">
        <f t="shared" si="127"/>
        <v>0</v>
      </c>
      <c r="DK101" s="2">
        <f t="shared" si="127"/>
        <v>0</v>
      </c>
      <c r="DL101" s="2">
        <f t="shared" si="127"/>
        <v>0</v>
      </c>
      <c r="DM101" s="2">
        <f t="shared" si="127"/>
        <v>0</v>
      </c>
      <c r="DN101" s="2">
        <f t="shared" si="127"/>
        <v>0</v>
      </c>
      <c r="DO101" s="2">
        <f t="shared" si="127"/>
        <v>0</v>
      </c>
      <c r="DP101" s="2">
        <f t="shared" si="127"/>
        <v>0</v>
      </c>
      <c r="DQ101" s="2">
        <f t="shared" si="127"/>
        <v>0</v>
      </c>
      <c r="DR101" s="2">
        <f t="shared" si="131"/>
        <v>0</v>
      </c>
      <c r="DS101" s="2">
        <f t="shared" si="128"/>
        <v>0</v>
      </c>
      <c r="DT101" s="2">
        <f t="shared" si="128"/>
        <v>0</v>
      </c>
      <c r="DU101" s="2">
        <f t="shared" si="128"/>
        <v>0</v>
      </c>
      <c r="DV101" s="2">
        <f t="shared" si="128"/>
        <v>0</v>
      </c>
      <c r="DW101" s="2">
        <f t="shared" si="128"/>
        <v>0</v>
      </c>
      <c r="DX101" s="2">
        <f t="shared" si="128"/>
        <v>0</v>
      </c>
      <c r="DY101" s="2">
        <f t="shared" si="128"/>
        <v>0</v>
      </c>
      <c r="DZ101" s="2">
        <f t="shared" si="128"/>
        <v>0</v>
      </c>
      <c r="EA101" s="2">
        <f t="shared" si="128"/>
        <v>0</v>
      </c>
      <c r="EB101" s="2">
        <f t="shared" si="128"/>
        <v>0</v>
      </c>
      <c r="EC101" s="2">
        <f t="shared" si="128"/>
        <v>0</v>
      </c>
      <c r="ED101" s="2">
        <f t="shared" si="128"/>
        <v>0</v>
      </c>
      <c r="EE101" s="2">
        <f t="shared" si="128"/>
        <v>0</v>
      </c>
      <c r="EF101" s="2">
        <f t="shared" si="128"/>
        <v>0</v>
      </c>
      <c r="EG101" s="2">
        <f t="shared" si="128"/>
        <v>0</v>
      </c>
      <c r="EH101" s="2">
        <f t="shared" si="128"/>
        <v>0</v>
      </c>
      <c r="EI101" s="2">
        <f t="shared" si="128"/>
        <v>0</v>
      </c>
      <c r="EJ101" s="2">
        <f t="shared" si="128"/>
        <v>0</v>
      </c>
      <c r="EK101" s="2">
        <f t="shared" si="128"/>
        <v>0</v>
      </c>
      <c r="EL101" s="2">
        <f t="shared" si="128"/>
        <v>0</v>
      </c>
    </row>
    <row r="102" spans="22:142" ht="14.4" customHeight="1" x14ac:dyDescent="0.3">
      <c r="V102" s="107" t="s">
        <v>42</v>
      </c>
      <c r="W102" s="106"/>
      <c r="X102" s="182" t="str">
        <f>IF(ISBLANK($C$6),"",$C$6)</f>
        <v/>
      </c>
      <c r="Y102" s="182"/>
      <c r="Z102" s="182"/>
      <c r="AA102" s="182"/>
      <c r="AB102" s="182"/>
      <c r="AC102" s="253"/>
      <c r="AD102" s="254"/>
      <c r="AE102" s="255"/>
      <c r="AF102" s="253"/>
      <c r="AG102" s="254"/>
      <c r="AH102" s="255"/>
      <c r="AI102" s="253"/>
      <c r="AJ102" s="254"/>
      <c r="AK102" s="255"/>
      <c r="AL102" s="105" t="s">
        <v>43</v>
      </c>
      <c r="AM102" s="106"/>
      <c r="AN102" s="115" t="str">
        <f>IF(ISBLANK($S$6),"",$S$6)</f>
        <v/>
      </c>
      <c r="AO102" s="118"/>
      <c r="AP102" s="252"/>
      <c r="AQ102" s="107" t="s">
        <v>42</v>
      </c>
      <c r="AR102" s="106"/>
      <c r="AS102" s="182" t="str">
        <f>IF(ISBLANK($C$6),"",$C$6)</f>
        <v/>
      </c>
      <c r="AT102" s="182"/>
      <c r="AU102" s="182"/>
      <c r="AV102" s="182"/>
      <c r="AW102" s="182"/>
      <c r="AX102" s="253"/>
      <c r="AY102" s="254"/>
      <c r="AZ102" s="255"/>
      <c r="BA102" s="253"/>
      <c r="BB102" s="254"/>
      <c r="BC102" s="255"/>
      <c r="BD102" s="253"/>
      <c r="BE102" s="254"/>
      <c r="BF102" s="255"/>
      <c r="BG102" s="105" t="s">
        <v>43</v>
      </c>
      <c r="BH102" s="106"/>
      <c r="BI102" s="115" t="str">
        <f>IF(ISBLANK($S$6),"",$S$6)</f>
        <v/>
      </c>
      <c r="BJ102" s="118"/>
      <c r="BK102" s="252"/>
      <c r="BL102" s="107" t="s">
        <v>42</v>
      </c>
      <c r="BM102" s="106"/>
      <c r="BN102" s="182" t="str">
        <f>IF(ISBLANK($C$6),"",$C$6)</f>
        <v/>
      </c>
      <c r="BO102" s="182"/>
      <c r="BP102" s="182"/>
      <c r="BQ102" s="182"/>
      <c r="BR102" s="182"/>
      <c r="BS102" s="141"/>
      <c r="BT102" s="142"/>
      <c r="BU102" s="143"/>
      <c r="BV102" s="141"/>
      <c r="BW102" s="142"/>
      <c r="BX102" s="143"/>
      <c r="BY102" s="141"/>
      <c r="BZ102" s="142"/>
      <c r="CA102" s="143"/>
      <c r="CB102" s="105" t="s">
        <v>43</v>
      </c>
      <c r="CC102" s="106"/>
      <c r="CD102" s="115" t="str">
        <f>IF(ISBLANK($S$6),"",$S$6)</f>
        <v/>
      </c>
      <c r="CE102" s="118"/>
      <c r="CF102" s="252"/>
      <c r="CG102" s="2">
        <f t="shared" si="129"/>
        <v>0</v>
      </c>
      <c r="CH102" s="2">
        <f t="shared" si="124"/>
        <v>0</v>
      </c>
      <c r="CI102" s="2">
        <f t="shared" si="125"/>
        <v>0</v>
      </c>
      <c r="CJ102" s="2">
        <f t="shared" si="125"/>
        <v>0</v>
      </c>
      <c r="CK102" s="2">
        <f t="shared" si="125"/>
        <v>0</v>
      </c>
      <c r="CL102" s="2" t="str">
        <f t="shared" si="125"/>
        <v/>
      </c>
      <c r="CM102" s="2" t="str">
        <f t="shared" si="125"/>
        <v/>
      </c>
      <c r="CN102" s="2">
        <f t="shared" si="125"/>
        <v>0</v>
      </c>
      <c r="CO102" s="2">
        <f t="shared" si="126"/>
        <v>0</v>
      </c>
      <c r="CP102" s="2">
        <f t="shared" si="126"/>
        <v>0</v>
      </c>
      <c r="CQ102" s="2">
        <f t="shared" si="126"/>
        <v>0</v>
      </c>
      <c r="CR102" s="2">
        <f t="shared" si="126"/>
        <v>0</v>
      </c>
      <c r="CS102" s="2">
        <f t="shared" si="126"/>
        <v>0</v>
      </c>
      <c r="CT102" s="2">
        <f t="shared" si="126"/>
        <v>0</v>
      </c>
      <c r="CU102" s="2">
        <f t="shared" si="126"/>
        <v>0</v>
      </c>
      <c r="CV102" s="2">
        <f t="shared" si="126"/>
        <v>0</v>
      </c>
      <c r="CW102" s="2">
        <f t="shared" si="126"/>
        <v>0</v>
      </c>
      <c r="CX102" s="2">
        <f t="shared" si="126"/>
        <v>0</v>
      </c>
      <c r="DF102" s="2">
        <f t="shared" si="130"/>
        <v>0</v>
      </c>
      <c r="DG102" s="2">
        <f t="shared" si="127"/>
        <v>0</v>
      </c>
      <c r="DH102" s="2">
        <f t="shared" si="127"/>
        <v>0</v>
      </c>
      <c r="DI102" s="2">
        <f t="shared" si="127"/>
        <v>0</v>
      </c>
      <c r="DJ102" s="2">
        <f t="shared" si="127"/>
        <v>0</v>
      </c>
      <c r="DK102" s="2">
        <f t="shared" si="127"/>
        <v>0</v>
      </c>
      <c r="DL102" s="2">
        <f t="shared" si="127"/>
        <v>0</v>
      </c>
      <c r="DM102" s="2">
        <f t="shared" si="127"/>
        <v>0</v>
      </c>
      <c r="DN102" s="2">
        <f t="shared" si="127"/>
        <v>0</v>
      </c>
      <c r="DO102" s="2">
        <f t="shared" si="127"/>
        <v>0</v>
      </c>
      <c r="DP102" s="2">
        <f t="shared" si="127"/>
        <v>0</v>
      </c>
      <c r="DQ102" s="2">
        <f t="shared" si="127"/>
        <v>0</v>
      </c>
      <c r="DR102" s="2">
        <f t="shared" si="131"/>
        <v>0</v>
      </c>
      <c r="DS102" s="2">
        <f t="shared" si="128"/>
        <v>0</v>
      </c>
      <c r="DT102" s="2">
        <f t="shared" si="128"/>
        <v>0</v>
      </c>
      <c r="DU102" s="2">
        <f t="shared" si="128"/>
        <v>0</v>
      </c>
      <c r="DV102" s="2">
        <f t="shared" si="128"/>
        <v>0</v>
      </c>
      <c r="DW102" s="2">
        <f t="shared" si="128"/>
        <v>0</v>
      </c>
      <c r="DX102" s="2">
        <f t="shared" si="128"/>
        <v>0</v>
      </c>
      <c r="DY102" s="2">
        <f t="shared" si="128"/>
        <v>0</v>
      </c>
      <c r="DZ102" s="2">
        <f t="shared" si="128"/>
        <v>0</v>
      </c>
      <c r="EA102" s="2">
        <f t="shared" si="128"/>
        <v>0</v>
      </c>
      <c r="EB102" s="2">
        <f t="shared" si="128"/>
        <v>0</v>
      </c>
      <c r="EC102" s="2">
        <f t="shared" si="128"/>
        <v>0</v>
      </c>
      <c r="ED102" s="2">
        <f t="shared" si="128"/>
        <v>0</v>
      </c>
      <c r="EE102" s="2">
        <f t="shared" si="128"/>
        <v>0</v>
      </c>
      <c r="EF102" s="2">
        <f t="shared" si="128"/>
        <v>0</v>
      </c>
      <c r="EG102" s="2">
        <f t="shared" si="128"/>
        <v>0</v>
      </c>
      <c r="EH102" s="2">
        <f t="shared" si="128"/>
        <v>0</v>
      </c>
      <c r="EI102" s="2">
        <f t="shared" si="128"/>
        <v>0</v>
      </c>
      <c r="EJ102" s="2">
        <f t="shared" si="128"/>
        <v>0</v>
      </c>
      <c r="EK102" s="2">
        <f t="shared" si="128"/>
        <v>0</v>
      </c>
      <c r="EL102" s="2">
        <f t="shared" si="128"/>
        <v>0</v>
      </c>
    </row>
    <row r="103" spans="22:142" ht="14.4" customHeight="1" x14ac:dyDescent="0.3">
      <c r="V103" s="107" t="s">
        <v>16</v>
      </c>
      <c r="W103" s="106"/>
      <c r="X103" s="182" t="str">
        <f>IF(ISBLANK($C$7),"",$C$7)</f>
        <v/>
      </c>
      <c r="Y103" s="182"/>
      <c r="Z103" s="182"/>
      <c r="AA103" s="182"/>
      <c r="AB103" s="182"/>
      <c r="AC103" s="256"/>
      <c r="AD103" s="257"/>
      <c r="AE103" s="258"/>
      <c r="AF103" s="256"/>
      <c r="AG103" s="257"/>
      <c r="AH103" s="258"/>
      <c r="AI103" s="256"/>
      <c r="AJ103" s="257"/>
      <c r="AK103" s="258"/>
      <c r="AL103" s="105" t="s">
        <v>44</v>
      </c>
      <c r="AM103" s="106"/>
      <c r="AN103" s="313" t="str">
        <f>IF(AJ105&lt;&gt;"", AJ105+7, "")</f>
        <v/>
      </c>
      <c r="AO103" s="314"/>
      <c r="AP103" s="315"/>
      <c r="AQ103" s="107" t="s">
        <v>16</v>
      </c>
      <c r="AR103" s="106"/>
      <c r="AS103" s="182" t="str">
        <f>IF(ISBLANK($C$7),"",$C$7)</f>
        <v/>
      </c>
      <c r="AT103" s="182"/>
      <c r="AU103" s="182"/>
      <c r="AV103" s="182"/>
      <c r="AW103" s="182"/>
      <c r="AX103" s="256"/>
      <c r="AY103" s="257"/>
      <c r="AZ103" s="258"/>
      <c r="BA103" s="256"/>
      <c r="BB103" s="257"/>
      <c r="BC103" s="258"/>
      <c r="BD103" s="256"/>
      <c r="BE103" s="257"/>
      <c r="BF103" s="258"/>
      <c r="BG103" s="105" t="s">
        <v>44</v>
      </c>
      <c r="BH103" s="106"/>
      <c r="BI103" s="313" t="str">
        <f>IF(BE105&lt;&gt;"", BE105+7, "")</f>
        <v/>
      </c>
      <c r="BJ103" s="314"/>
      <c r="BK103" s="315"/>
      <c r="BL103" s="107" t="s">
        <v>16</v>
      </c>
      <c r="BM103" s="106"/>
      <c r="BN103" s="182" t="str">
        <f>IF(ISBLANK($C$7),"",$C$7)</f>
        <v/>
      </c>
      <c r="BO103" s="182"/>
      <c r="BP103" s="182"/>
      <c r="BQ103" s="182"/>
      <c r="BR103" s="182"/>
      <c r="BS103" s="144"/>
      <c r="BT103" s="145"/>
      <c r="BU103" s="146"/>
      <c r="BV103" s="144"/>
      <c r="BW103" s="145"/>
      <c r="BX103" s="146"/>
      <c r="BY103" s="144"/>
      <c r="BZ103" s="145"/>
      <c r="CA103" s="146"/>
      <c r="CB103" s="105" t="s">
        <v>44</v>
      </c>
      <c r="CC103" s="106"/>
      <c r="CD103" s="105" t="str">
        <f>IF(ISBLANK($S$7),"",$S$7)</f>
        <v/>
      </c>
      <c r="CE103" s="112"/>
      <c r="CF103" s="311"/>
      <c r="CG103" s="2">
        <f t="shared" si="129"/>
        <v>0</v>
      </c>
      <c r="CH103" s="2">
        <f t="shared" si="124"/>
        <v>0</v>
      </c>
      <c r="CI103" s="2">
        <f t="shared" si="125"/>
        <v>0</v>
      </c>
      <c r="CJ103" s="2">
        <f t="shared" si="125"/>
        <v>0</v>
      </c>
      <c r="CK103" s="2">
        <f t="shared" si="125"/>
        <v>0</v>
      </c>
      <c r="CL103" s="2" t="str">
        <f t="shared" si="125"/>
        <v/>
      </c>
      <c r="CM103" s="2" t="str">
        <f t="shared" si="125"/>
        <v/>
      </c>
      <c r="CN103" s="2">
        <f t="shared" si="125"/>
        <v>0</v>
      </c>
      <c r="CO103" s="2">
        <f t="shared" si="126"/>
        <v>0</v>
      </c>
      <c r="CP103" s="2">
        <f t="shared" si="126"/>
        <v>0</v>
      </c>
      <c r="CQ103" s="2">
        <f t="shared" si="126"/>
        <v>0</v>
      </c>
      <c r="CR103" s="2">
        <f t="shared" si="126"/>
        <v>0</v>
      </c>
      <c r="CS103" s="2">
        <f t="shared" si="126"/>
        <v>0</v>
      </c>
      <c r="CT103" s="2">
        <f t="shared" si="126"/>
        <v>0</v>
      </c>
      <c r="CU103" s="2">
        <f t="shared" si="126"/>
        <v>0</v>
      </c>
      <c r="CV103" s="2">
        <f t="shared" si="126"/>
        <v>0</v>
      </c>
      <c r="CW103" s="2">
        <f t="shared" si="126"/>
        <v>0</v>
      </c>
      <c r="CX103" s="2">
        <f t="shared" si="126"/>
        <v>0</v>
      </c>
      <c r="DF103" s="2">
        <f t="shared" si="130"/>
        <v>0</v>
      </c>
      <c r="DG103" s="2">
        <f t="shared" si="127"/>
        <v>0</v>
      </c>
      <c r="DH103" s="2">
        <f t="shared" si="127"/>
        <v>0</v>
      </c>
      <c r="DI103" s="2">
        <f t="shared" si="127"/>
        <v>0</v>
      </c>
      <c r="DJ103" s="2">
        <f t="shared" si="127"/>
        <v>0</v>
      </c>
      <c r="DK103" s="2">
        <f t="shared" si="127"/>
        <v>0</v>
      </c>
      <c r="DL103" s="2">
        <f t="shared" si="127"/>
        <v>0</v>
      </c>
      <c r="DM103" s="2">
        <f t="shared" si="127"/>
        <v>0</v>
      </c>
      <c r="DN103" s="2">
        <f t="shared" si="127"/>
        <v>0</v>
      </c>
      <c r="DO103" s="2">
        <f t="shared" si="127"/>
        <v>0</v>
      </c>
      <c r="DP103" s="2">
        <f t="shared" si="127"/>
        <v>0</v>
      </c>
      <c r="DQ103" s="2">
        <f t="shared" si="127"/>
        <v>0</v>
      </c>
      <c r="DR103" s="2">
        <f t="shared" si="131"/>
        <v>0</v>
      </c>
      <c r="DS103" s="2">
        <f t="shared" si="128"/>
        <v>0</v>
      </c>
      <c r="DT103" s="2">
        <f t="shared" si="128"/>
        <v>0</v>
      </c>
      <c r="DU103" s="2">
        <f t="shared" si="128"/>
        <v>0</v>
      </c>
      <c r="DV103" s="2">
        <f t="shared" si="128"/>
        <v>0</v>
      </c>
      <c r="DW103" s="2">
        <f t="shared" si="128"/>
        <v>0</v>
      </c>
      <c r="DX103" s="2">
        <f t="shared" si="128"/>
        <v>0</v>
      </c>
      <c r="DY103" s="2">
        <f t="shared" si="128"/>
        <v>0</v>
      </c>
      <c r="DZ103" s="2">
        <f t="shared" si="128"/>
        <v>0</v>
      </c>
      <c r="EA103" s="2">
        <f t="shared" si="128"/>
        <v>0</v>
      </c>
      <c r="EB103" s="2">
        <f t="shared" si="128"/>
        <v>0</v>
      </c>
      <c r="EC103" s="2">
        <f t="shared" si="128"/>
        <v>0</v>
      </c>
      <c r="ED103" s="2">
        <f t="shared" si="128"/>
        <v>0</v>
      </c>
      <c r="EE103" s="2">
        <f t="shared" si="128"/>
        <v>0</v>
      </c>
      <c r="EF103" s="2">
        <f t="shared" si="128"/>
        <v>0</v>
      </c>
      <c r="EG103" s="2">
        <f t="shared" si="128"/>
        <v>0</v>
      </c>
      <c r="EH103" s="2">
        <f t="shared" si="128"/>
        <v>0</v>
      </c>
      <c r="EI103" s="2">
        <f t="shared" si="128"/>
        <v>0</v>
      </c>
      <c r="EJ103" s="2">
        <f t="shared" si="128"/>
        <v>0</v>
      </c>
      <c r="EK103" s="2">
        <f t="shared" si="128"/>
        <v>0</v>
      </c>
      <c r="EL103" s="2">
        <f t="shared" si="128"/>
        <v>0</v>
      </c>
    </row>
    <row r="104" spans="22:142" ht="14.4" customHeight="1" x14ac:dyDescent="0.3">
      <c r="V104" s="107" t="s">
        <v>17</v>
      </c>
      <c r="W104" s="106"/>
      <c r="X104" s="182" t="str">
        <f>IF(ISBLANK($C$8),"",$C$8)</f>
        <v/>
      </c>
      <c r="Y104" s="182"/>
      <c r="Z104" s="182"/>
      <c r="AA104" s="182"/>
      <c r="AB104" s="182"/>
      <c r="AC104" s="259"/>
      <c r="AD104" s="257"/>
      <c r="AE104" s="260"/>
      <c r="AF104" s="259"/>
      <c r="AG104" s="261"/>
      <c r="AH104" s="260"/>
      <c r="AI104" s="259"/>
      <c r="AJ104" s="261"/>
      <c r="AK104" s="260"/>
      <c r="AL104" s="105" t="s">
        <v>46</v>
      </c>
      <c r="AM104" s="106"/>
      <c r="AN104" s="78">
        <v>3</v>
      </c>
      <c r="AO104" s="78" t="s">
        <v>47</v>
      </c>
      <c r="AP104" s="82">
        <f>COUNTA(V15,V63,V111,V159,V207,V255,V303,V351,V399,V447)</f>
        <v>0</v>
      </c>
      <c r="AQ104" s="107" t="s">
        <v>17</v>
      </c>
      <c r="AR104" s="106"/>
      <c r="AS104" s="182" t="str">
        <f>IF(ISBLANK($C$8),"",$C$8)</f>
        <v/>
      </c>
      <c r="AT104" s="182"/>
      <c r="AU104" s="182"/>
      <c r="AV104" s="182"/>
      <c r="AW104" s="182"/>
      <c r="AX104" s="259"/>
      <c r="AY104" s="257"/>
      <c r="AZ104" s="260"/>
      <c r="BA104" s="259"/>
      <c r="BB104" s="261"/>
      <c r="BC104" s="260"/>
      <c r="BD104" s="259"/>
      <c r="BE104" s="261"/>
      <c r="BF104" s="260"/>
      <c r="BG104" s="105" t="s">
        <v>46</v>
      </c>
      <c r="BH104" s="106"/>
      <c r="BI104" s="78">
        <v>3</v>
      </c>
      <c r="BJ104" s="78" t="s">
        <v>47</v>
      </c>
      <c r="BK104" s="82">
        <f>IF(ISBLANK(AP8),"",AP8)</f>
        <v>0</v>
      </c>
      <c r="BL104" s="107" t="s">
        <v>17</v>
      </c>
      <c r="BM104" s="106"/>
      <c r="BN104" s="182" t="str">
        <f>IF(ISBLANK($C$8),"",$C$8)</f>
        <v/>
      </c>
      <c r="BO104" s="182"/>
      <c r="BP104" s="182"/>
      <c r="BQ104" s="182"/>
      <c r="BR104" s="182"/>
      <c r="BS104" s="147"/>
      <c r="BT104" s="148"/>
      <c r="BU104" s="149"/>
      <c r="BV104" s="147"/>
      <c r="BW104" s="148"/>
      <c r="BX104" s="149"/>
      <c r="BY104" s="147"/>
      <c r="BZ104" s="148"/>
      <c r="CA104" s="149"/>
      <c r="CB104" s="18" t="s">
        <v>46</v>
      </c>
      <c r="CC104" s="11"/>
      <c r="CD104" s="14">
        <v>3</v>
      </c>
      <c r="CE104" s="14" t="s">
        <v>47</v>
      </c>
      <c r="CF104" s="19">
        <f>COUNT(BN109,BN157,BN205,BN253,BN301,BN349,BN397,BN445,BN493,BN541)</f>
        <v>0</v>
      </c>
      <c r="CG104" s="2">
        <f t="shared" si="129"/>
        <v>0</v>
      </c>
      <c r="CH104" s="2">
        <f t="shared" si="124"/>
        <v>0</v>
      </c>
      <c r="CI104" s="2">
        <f t="shared" si="125"/>
        <v>0</v>
      </c>
      <c r="CJ104" s="2">
        <f t="shared" si="125"/>
        <v>0</v>
      </c>
      <c r="CK104" s="2">
        <f t="shared" si="125"/>
        <v>0</v>
      </c>
      <c r="CL104" s="2" t="str">
        <f t="shared" si="125"/>
        <v/>
      </c>
      <c r="CM104" s="2" t="str">
        <f t="shared" si="125"/>
        <v/>
      </c>
      <c r="CN104" s="2">
        <f t="shared" si="125"/>
        <v>0</v>
      </c>
      <c r="CO104" s="2">
        <f t="shared" si="126"/>
        <v>0</v>
      </c>
      <c r="CP104" s="2">
        <f t="shared" si="126"/>
        <v>0</v>
      </c>
      <c r="CQ104" s="2">
        <f t="shared" si="126"/>
        <v>0</v>
      </c>
      <c r="CR104" s="2">
        <f t="shared" si="126"/>
        <v>0</v>
      </c>
      <c r="CS104" s="2">
        <f t="shared" si="126"/>
        <v>0</v>
      </c>
      <c r="CT104" s="2">
        <f t="shared" si="126"/>
        <v>0</v>
      </c>
      <c r="CU104" s="2">
        <f t="shared" si="126"/>
        <v>0</v>
      </c>
      <c r="CV104" s="2">
        <f t="shared" si="126"/>
        <v>0</v>
      </c>
      <c r="CW104" s="2">
        <f t="shared" si="126"/>
        <v>0</v>
      </c>
      <c r="CX104" s="2">
        <f t="shared" si="126"/>
        <v>0</v>
      </c>
      <c r="DF104" s="2">
        <f t="shared" si="130"/>
        <v>0</v>
      </c>
      <c r="DG104" s="2">
        <f t="shared" si="127"/>
        <v>0</v>
      </c>
      <c r="DH104" s="2">
        <f t="shared" si="127"/>
        <v>0</v>
      </c>
      <c r="DI104" s="2">
        <f t="shared" si="127"/>
        <v>0</v>
      </c>
      <c r="DJ104" s="2">
        <f t="shared" si="127"/>
        <v>0</v>
      </c>
      <c r="DK104" s="2">
        <f t="shared" si="127"/>
        <v>0</v>
      </c>
      <c r="DL104" s="2">
        <f t="shared" si="127"/>
        <v>0</v>
      </c>
      <c r="DM104" s="2">
        <f t="shared" si="127"/>
        <v>0</v>
      </c>
      <c r="DN104" s="2">
        <f t="shared" si="127"/>
        <v>0</v>
      </c>
      <c r="DO104" s="2">
        <f t="shared" si="127"/>
        <v>0</v>
      </c>
      <c r="DP104" s="2">
        <f t="shared" si="127"/>
        <v>0</v>
      </c>
      <c r="DQ104" s="2">
        <f t="shared" si="127"/>
        <v>0</v>
      </c>
      <c r="DR104" s="2">
        <f t="shared" si="131"/>
        <v>0</v>
      </c>
      <c r="DS104" s="2">
        <f t="shared" si="128"/>
        <v>0</v>
      </c>
      <c r="DT104" s="2">
        <f t="shared" si="128"/>
        <v>0</v>
      </c>
      <c r="DU104" s="2">
        <f t="shared" si="128"/>
        <v>0</v>
      </c>
      <c r="DV104" s="2">
        <f t="shared" si="128"/>
        <v>0</v>
      </c>
      <c r="DW104" s="2">
        <f t="shared" si="128"/>
        <v>0</v>
      </c>
      <c r="DX104" s="2">
        <f t="shared" si="128"/>
        <v>0</v>
      </c>
      <c r="DY104" s="2">
        <f t="shared" si="128"/>
        <v>0</v>
      </c>
      <c r="DZ104" s="2">
        <f t="shared" si="128"/>
        <v>0</v>
      </c>
      <c r="EA104" s="2">
        <f t="shared" si="128"/>
        <v>0</v>
      </c>
      <c r="EB104" s="2">
        <f t="shared" si="128"/>
        <v>0</v>
      </c>
      <c r="EC104" s="2">
        <f t="shared" si="128"/>
        <v>0</v>
      </c>
      <c r="ED104" s="2">
        <f t="shared" si="128"/>
        <v>0</v>
      </c>
      <c r="EE104" s="2">
        <f t="shared" si="128"/>
        <v>0</v>
      </c>
      <c r="EF104" s="2">
        <f t="shared" si="128"/>
        <v>0</v>
      </c>
      <c r="EG104" s="2">
        <f t="shared" si="128"/>
        <v>0</v>
      </c>
      <c r="EH104" s="2">
        <f t="shared" si="128"/>
        <v>0</v>
      </c>
      <c r="EI104" s="2">
        <f t="shared" si="128"/>
        <v>0</v>
      </c>
      <c r="EJ104" s="2">
        <f t="shared" si="128"/>
        <v>0</v>
      </c>
      <c r="EK104" s="2">
        <f t="shared" si="128"/>
        <v>0</v>
      </c>
      <c r="EL104" s="2">
        <f t="shared" si="128"/>
        <v>0</v>
      </c>
    </row>
    <row r="105" spans="22:142" ht="14.4" customHeight="1" x14ac:dyDescent="0.3">
      <c r="V105" s="107" t="s">
        <v>18</v>
      </c>
      <c r="W105" s="106"/>
      <c r="X105" s="108" t="e">
        <f>IF(ISBLANK($S$10),"",$S$10)</f>
        <v>#N/A</v>
      </c>
      <c r="Y105" s="109"/>
      <c r="Z105" s="110"/>
      <c r="AA105" s="20"/>
      <c r="AB105" s="74"/>
      <c r="AC105" s="103" t="s">
        <v>48</v>
      </c>
      <c r="AD105" s="244"/>
      <c r="AE105" s="236"/>
      <c r="AF105" s="103" t="s">
        <v>48</v>
      </c>
      <c r="AG105" s="236"/>
      <c r="AH105" s="236"/>
      <c r="AI105" s="103" t="s">
        <v>48</v>
      </c>
      <c r="AJ105" s="237"/>
      <c r="AK105" s="238"/>
      <c r="AL105" s="85"/>
      <c r="AM105" s="85"/>
      <c r="AN105" s="85"/>
      <c r="AO105" s="85"/>
      <c r="AP105" s="22"/>
      <c r="AQ105" s="107" t="s">
        <v>18</v>
      </c>
      <c r="AR105" s="106"/>
      <c r="AS105" s="108" t="e">
        <f>IF(ISBLANK($S$10),"",$S$10)</f>
        <v>#N/A</v>
      </c>
      <c r="AT105" s="109"/>
      <c r="AU105" s="110"/>
      <c r="AV105" s="20"/>
      <c r="AW105" s="4"/>
      <c r="AX105" s="104" t="s">
        <v>48</v>
      </c>
      <c r="AY105" s="244"/>
      <c r="AZ105" s="236"/>
      <c r="BA105" s="104" t="s">
        <v>48</v>
      </c>
      <c r="BB105" s="236"/>
      <c r="BC105" s="236"/>
      <c r="BD105" s="104" t="s">
        <v>48</v>
      </c>
      <c r="BE105" s="237"/>
      <c r="BF105" s="238"/>
      <c r="BJ105" s="20"/>
      <c r="BK105" s="23"/>
      <c r="BL105" s="107" t="s">
        <v>18</v>
      </c>
      <c r="BM105" s="106"/>
      <c r="BN105" s="108" t="e">
        <f>IF(ISBLANK($S$10),"",$S$10)</f>
        <v>#N/A</v>
      </c>
      <c r="BO105" s="109"/>
      <c r="BP105" s="110"/>
      <c r="BQ105" s="20"/>
      <c r="BR105" s="4"/>
      <c r="BS105" s="78" t="s">
        <v>48</v>
      </c>
      <c r="BT105" s="197" t="str">
        <f>IF(ISBLANK($I$9),"",$I$9)</f>
        <v/>
      </c>
      <c r="BU105" s="198"/>
      <c r="BV105" s="78" t="s">
        <v>48</v>
      </c>
      <c r="BW105" s="197" t="str">
        <f>IF(ISBLANK($L$9),"",$L$9)</f>
        <v/>
      </c>
      <c r="BX105" s="198"/>
      <c r="BY105" s="78" t="s">
        <v>48</v>
      </c>
      <c r="BZ105" s="197" t="str">
        <f>IF(ISBLANK($O$9),"",$O$9)</f>
        <v/>
      </c>
      <c r="CA105" s="198"/>
      <c r="CB105" s="24"/>
      <c r="CC105" s="24"/>
      <c r="CD105" s="24"/>
      <c r="CE105" s="20"/>
      <c r="CF105" s="23"/>
      <c r="CG105" s="2">
        <f t="shared" si="129"/>
        <v>0</v>
      </c>
      <c r="CH105" s="2">
        <f t="shared" si="124"/>
        <v>0</v>
      </c>
      <c r="CI105" s="2">
        <f t="shared" si="125"/>
        <v>0</v>
      </c>
      <c r="CJ105" s="2">
        <f t="shared" si="125"/>
        <v>0</v>
      </c>
      <c r="CK105" s="2">
        <f t="shared" si="125"/>
        <v>0</v>
      </c>
      <c r="CL105" s="2" t="str">
        <f t="shared" si="125"/>
        <v/>
      </c>
      <c r="CM105" s="2" t="str">
        <f t="shared" si="125"/>
        <v/>
      </c>
      <c r="CN105" s="2">
        <f t="shared" si="125"/>
        <v>0</v>
      </c>
      <c r="CO105" s="2">
        <f t="shared" si="126"/>
        <v>0</v>
      </c>
      <c r="CP105" s="2">
        <f t="shared" si="126"/>
        <v>0</v>
      </c>
      <c r="CQ105" s="2">
        <f t="shared" si="126"/>
        <v>0</v>
      </c>
      <c r="CR105" s="2">
        <f t="shared" si="126"/>
        <v>0</v>
      </c>
      <c r="CS105" s="2">
        <f t="shared" si="126"/>
        <v>0</v>
      </c>
      <c r="CT105" s="2">
        <f t="shared" si="126"/>
        <v>0</v>
      </c>
      <c r="CU105" s="2">
        <f t="shared" si="126"/>
        <v>0</v>
      </c>
      <c r="CV105" s="2">
        <f t="shared" si="126"/>
        <v>0</v>
      </c>
      <c r="CW105" s="2">
        <f t="shared" si="126"/>
        <v>0</v>
      </c>
      <c r="CX105" s="2">
        <f t="shared" si="126"/>
        <v>0</v>
      </c>
      <c r="DF105" s="2">
        <f t="shared" si="130"/>
        <v>0</v>
      </c>
      <c r="DG105" s="2">
        <f t="shared" si="127"/>
        <v>0</v>
      </c>
      <c r="DH105" s="2">
        <f t="shared" si="127"/>
        <v>0</v>
      </c>
      <c r="DI105" s="2">
        <f t="shared" si="127"/>
        <v>0</v>
      </c>
      <c r="DJ105" s="2">
        <f t="shared" si="127"/>
        <v>0</v>
      </c>
      <c r="DK105" s="2">
        <f t="shared" si="127"/>
        <v>0</v>
      </c>
      <c r="DL105" s="2">
        <f t="shared" si="127"/>
        <v>0</v>
      </c>
      <c r="DM105" s="2">
        <f t="shared" si="127"/>
        <v>0</v>
      </c>
      <c r="DN105" s="2">
        <f t="shared" si="127"/>
        <v>0</v>
      </c>
      <c r="DO105" s="2">
        <f t="shared" si="127"/>
        <v>0</v>
      </c>
      <c r="DP105" s="2">
        <f t="shared" si="127"/>
        <v>0</v>
      </c>
      <c r="DQ105" s="2">
        <f t="shared" si="127"/>
        <v>0</v>
      </c>
      <c r="DR105" s="2">
        <f t="shared" si="131"/>
        <v>0</v>
      </c>
      <c r="DS105" s="2">
        <f t="shared" si="128"/>
        <v>0</v>
      </c>
      <c r="DT105" s="2">
        <f t="shared" si="128"/>
        <v>0</v>
      </c>
      <c r="DU105" s="2">
        <f t="shared" si="128"/>
        <v>0</v>
      </c>
      <c r="DV105" s="2">
        <f t="shared" si="128"/>
        <v>0</v>
      </c>
      <c r="DW105" s="2">
        <f t="shared" si="128"/>
        <v>0</v>
      </c>
      <c r="DX105" s="2">
        <f t="shared" si="128"/>
        <v>0</v>
      </c>
      <c r="DY105" s="2">
        <f t="shared" si="128"/>
        <v>0</v>
      </c>
      <c r="DZ105" s="2">
        <f t="shared" si="128"/>
        <v>0</v>
      </c>
      <c r="EA105" s="2">
        <f t="shared" si="128"/>
        <v>0</v>
      </c>
      <c r="EB105" s="2">
        <f t="shared" si="128"/>
        <v>0</v>
      </c>
      <c r="EC105" s="2">
        <f t="shared" si="128"/>
        <v>0</v>
      </c>
      <c r="ED105" s="2">
        <f t="shared" si="128"/>
        <v>0</v>
      </c>
      <c r="EE105" s="2">
        <f t="shared" si="128"/>
        <v>0</v>
      </c>
      <c r="EF105" s="2">
        <f t="shared" si="128"/>
        <v>0</v>
      </c>
      <c r="EG105" s="2">
        <f t="shared" si="128"/>
        <v>0</v>
      </c>
      <c r="EH105" s="2">
        <f t="shared" si="128"/>
        <v>0</v>
      </c>
      <c r="EI105" s="2">
        <f t="shared" si="128"/>
        <v>0</v>
      </c>
      <c r="EJ105" s="2">
        <f t="shared" si="128"/>
        <v>0</v>
      </c>
      <c r="EK105" s="2">
        <f t="shared" si="128"/>
        <v>0</v>
      </c>
      <c r="EL105" s="2">
        <f t="shared" si="128"/>
        <v>0</v>
      </c>
    </row>
    <row r="106" spans="22:142" ht="14.4" customHeight="1" x14ac:dyDescent="0.3">
      <c r="V106" s="107" t="s">
        <v>19</v>
      </c>
      <c r="W106" s="106"/>
      <c r="X106" s="14" t="str">
        <f>IF(ISBLANK($S$11),"",$S$11)</f>
        <v/>
      </c>
      <c r="Y106" s="14" t="s">
        <v>47</v>
      </c>
      <c r="Z106" s="14">
        <f>IF(ISBLANK($U$11),"",$U$11)</f>
        <v>0</v>
      </c>
      <c r="AB106" s="269" t="s">
        <v>58</v>
      </c>
      <c r="AC106" s="87" t="s">
        <v>59</v>
      </c>
      <c r="AD106" s="270"/>
      <c r="AE106" s="271"/>
      <c r="AF106" s="84" t="s">
        <v>60</v>
      </c>
      <c r="AG106" s="88"/>
      <c r="AH106" s="85"/>
      <c r="AI106" s="335" t="s">
        <v>61</v>
      </c>
      <c r="AJ106" s="78" t="s">
        <v>62</v>
      </c>
      <c r="AK106" s="81"/>
      <c r="AL106" s="85"/>
      <c r="AM106" s="85"/>
      <c r="AN106" s="85"/>
      <c r="AO106" s="85"/>
      <c r="AP106" s="22"/>
      <c r="AQ106" s="107" t="s">
        <v>19</v>
      </c>
      <c r="AR106" s="106"/>
      <c r="AS106" s="14" t="str">
        <f>IF(ISBLANK($S$11),"",$S$11)</f>
        <v/>
      </c>
      <c r="AT106" s="14" t="s">
        <v>47</v>
      </c>
      <c r="AU106" s="14">
        <f>IF(ISBLANK($U$11),"",$U$11)</f>
        <v>0</v>
      </c>
      <c r="AW106" s="20"/>
      <c r="AX106" s="30"/>
      <c r="AY106" s="30"/>
      <c r="BC106" s="30"/>
      <c r="BD106" s="335" t="s">
        <v>61</v>
      </c>
      <c r="BE106" s="29" t="s">
        <v>62</v>
      </c>
      <c r="BF106" s="29" t="str">
        <f>IF(ISBLANK($BF$10),"",$BF$10)</f>
        <v/>
      </c>
      <c r="BG106" s="266" t="s">
        <v>63</v>
      </c>
      <c r="BH106" s="266"/>
      <c r="BI106" s="14" t="str">
        <f>IF(ISBLANK($BI$10),"",BI58)</f>
        <v/>
      </c>
      <c r="BJ106" s="20"/>
      <c r="BK106" s="23"/>
      <c r="BL106" s="111" t="s">
        <v>19</v>
      </c>
      <c r="BM106" s="110"/>
      <c r="BN106" s="14" t="str">
        <f>IF(ISBLANK($S$11),"",$S$11)</f>
        <v/>
      </c>
      <c r="BO106" s="14" t="s">
        <v>47</v>
      </c>
      <c r="BP106" s="14">
        <f>IF(ISBLANK($U$11),"",$U$11)</f>
        <v>0</v>
      </c>
      <c r="BR106" s="20"/>
      <c r="BS106" s="30"/>
      <c r="BT106" s="30"/>
      <c r="BU106" s="30"/>
      <c r="BV106" s="30"/>
      <c r="BW106" s="30"/>
      <c r="BX106" s="30"/>
      <c r="BY106" s="30"/>
      <c r="BZ106" s="30"/>
      <c r="CA106" s="30"/>
      <c r="CB106" s="30"/>
      <c r="CC106" s="30"/>
      <c r="CD106" s="30"/>
      <c r="CE106" s="20"/>
      <c r="CF106" s="23"/>
      <c r="CG106" s="2">
        <f t="shared" si="129"/>
        <v>0</v>
      </c>
      <c r="CH106" s="2">
        <f t="shared" si="124"/>
        <v>0</v>
      </c>
      <c r="CI106" s="2">
        <f t="shared" si="125"/>
        <v>0</v>
      </c>
      <c r="CJ106" s="2">
        <f t="shared" si="125"/>
        <v>0</v>
      </c>
      <c r="CK106" s="2">
        <f t="shared" si="125"/>
        <v>0</v>
      </c>
      <c r="CL106" s="2" t="str">
        <f t="shared" si="125"/>
        <v/>
      </c>
      <c r="CM106" s="2" t="str">
        <f t="shared" si="125"/>
        <v/>
      </c>
      <c r="CN106" s="2">
        <f t="shared" si="125"/>
        <v>0</v>
      </c>
      <c r="CO106" s="2">
        <f t="shared" si="126"/>
        <v>0</v>
      </c>
      <c r="CP106" s="2">
        <f t="shared" si="126"/>
        <v>0</v>
      </c>
      <c r="CQ106" s="2">
        <f t="shared" si="126"/>
        <v>0</v>
      </c>
      <c r="CR106" s="2">
        <f t="shared" si="126"/>
        <v>0</v>
      </c>
      <c r="CS106" s="2">
        <f t="shared" si="126"/>
        <v>0</v>
      </c>
      <c r="CT106" s="2">
        <f t="shared" si="126"/>
        <v>0</v>
      </c>
      <c r="CU106" s="2">
        <f t="shared" si="126"/>
        <v>0</v>
      </c>
      <c r="CV106" s="2">
        <f t="shared" si="126"/>
        <v>0</v>
      </c>
      <c r="CW106" s="2">
        <f t="shared" si="126"/>
        <v>0</v>
      </c>
      <c r="CX106" s="2">
        <f t="shared" si="126"/>
        <v>0</v>
      </c>
      <c r="DF106" s="2">
        <f t="shared" si="130"/>
        <v>0</v>
      </c>
      <c r="DG106" s="2">
        <f t="shared" si="127"/>
        <v>0</v>
      </c>
      <c r="DH106" s="2">
        <f t="shared" si="127"/>
        <v>0</v>
      </c>
      <c r="DI106" s="2">
        <f t="shared" si="127"/>
        <v>0</v>
      </c>
      <c r="DJ106" s="2">
        <f t="shared" si="127"/>
        <v>0</v>
      </c>
      <c r="DK106" s="2">
        <f t="shared" si="127"/>
        <v>0</v>
      </c>
      <c r="DL106" s="2">
        <f t="shared" si="127"/>
        <v>0</v>
      </c>
      <c r="DM106" s="2">
        <f t="shared" si="127"/>
        <v>0</v>
      </c>
      <c r="DN106" s="2">
        <f t="shared" si="127"/>
        <v>0</v>
      </c>
      <c r="DO106" s="2">
        <f t="shared" si="127"/>
        <v>0</v>
      </c>
      <c r="DP106" s="2">
        <f t="shared" si="127"/>
        <v>0</v>
      </c>
      <c r="DQ106" s="2">
        <f t="shared" si="127"/>
        <v>0</v>
      </c>
      <c r="DR106" s="2">
        <f t="shared" si="131"/>
        <v>0</v>
      </c>
      <c r="DS106" s="2">
        <f t="shared" si="128"/>
        <v>0</v>
      </c>
      <c r="DT106" s="2">
        <f t="shared" si="128"/>
        <v>0</v>
      </c>
      <c r="DU106" s="2">
        <f t="shared" si="128"/>
        <v>0</v>
      </c>
      <c r="DV106" s="2">
        <f t="shared" si="128"/>
        <v>0</v>
      </c>
      <c r="DW106" s="2">
        <f t="shared" si="128"/>
        <v>0</v>
      </c>
      <c r="DX106" s="2">
        <f t="shared" si="128"/>
        <v>0</v>
      </c>
      <c r="DY106" s="2">
        <f t="shared" si="128"/>
        <v>0</v>
      </c>
      <c r="DZ106" s="2">
        <f t="shared" si="128"/>
        <v>0</v>
      </c>
      <c r="EA106" s="2">
        <f t="shared" si="128"/>
        <v>0</v>
      </c>
      <c r="EB106" s="2">
        <f t="shared" si="128"/>
        <v>0</v>
      </c>
      <c r="EC106" s="2">
        <f t="shared" si="128"/>
        <v>0</v>
      </c>
      <c r="ED106" s="2">
        <f t="shared" si="128"/>
        <v>0</v>
      </c>
      <c r="EE106" s="2">
        <f t="shared" si="128"/>
        <v>0</v>
      </c>
      <c r="EF106" s="2">
        <f t="shared" si="128"/>
        <v>0</v>
      </c>
      <c r="EG106" s="2">
        <f t="shared" si="128"/>
        <v>0</v>
      </c>
      <c r="EH106" s="2">
        <f t="shared" si="128"/>
        <v>0</v>
      </c>
      <c r="EI106" s="2">
        <f t="shared" si="128"/>
        <v>0</v>
      </c>
      <c r="EJ106" s="2">
        <f t="shared" si="128"/>
        <v>0</v>
      </c>
      <c r="EK106" s="2">
        <f t="shared" si="128"/>
        <v>0</v>
      </c>
      <c r="EL106" s="2">
        <f t="shared" si="128"/>
        <v>0</v>
      </c>
    </row>
    <row r="107" spans="22:142" ht="14.4" customHeight="1" x14ac:dyDescent="0.3">
      <c r="V107" s="33"/>
      <c r="AB107" s="269"/>
      <c r="AC107" s="87" t="s">
        <v>80</v>
      </c>
      <c r="AD107" s="245"/>
      <c r="AE107" s="246"/>
      <c r="AF107" s="90" t="s">
        <v>81</v>
      </c>
      <c r="AG107" s="88"/>
      <c r="AH107" s="85"/>
      <c r="AI107" s="335"/>
      <c r="AJ107" s="78" t="s">
        <v>82</v>
      </c>
      <c r="AK107" s="88"/>
      <c r="AL107" s="267" t="s">
        <v>83</v>
      </c>
      <c r="AM107" s="268"/>
      <c r="AN107" s="81"/>
      <c r="AO107" s="85"/>
      <c r="AP107" s="22"/>
      <c r="AQ107" s="34"/>
      <c r="AR107" s="20"/>
      <c r="AS107" s="20"/>
      <c r="AT107" s="20"/>
      <c r="AU107" s="20"/>
      <c r="AV107" s="20"/>
      <c r="AW107" s="20"/>
      <c r="AX107" s="20"/>
      <c r="AY107" s="20"/>
      <c r="BC107" s="20"/>
      <c r="BD107" s="335"/>
      <c r="BE107" s="29" t="s">
        <v>82</v>
      </c>
      <c r="BF107" s="29" t="str">
        <f>IF(ISBLANK($BF$11),"",$BF$11)</f>
        <v/>
      </c>
      <c r="BG107" s="20"/>
      <c r="BH107" s="20"/>
      <c r="BI107" s="20"/>
      <c r="BJ107" s="20"/>
      <c r="BK107" s="23"/>
      <c r="BL107" s="33"/>
      <c r="CF107" s="22"/>
      <c r="CG107" s="2">
        <f>V399</f>
        <v>0</v>
      </c>
      <c r="CH107" s="2">
        <f t="shared" ref="CH107:CH118" si="132">W399</f>
        <v>0</v>
      </c>
      <c r="CI107" s="2">
        <f t="shared" ref="CI107:CN118" si="133">Y399</f>
        <v>0</v>
      </c>
      <c r="CJ107" s="2">
        <f t="shared" si="133"/>
        <v>0</v>
      </c>
      <c r="CK107" s="2">
        <f t="shared" si="133"/>
        <v>0</v>
      </c>
      <c r="CL107" s="2" t="str">
        <f t="shared" si="133"/>
        <v/>
      </c>
      <c r="CM107" s="2" t="str">
        <f t="shared" si="133"/>
        <v/>
      </c>
      <c r="CN107" s="2">
        <f t="shared" si="133"/>
        <v>0</v>
      </c>
      <c r="CO107" s="2">
        <f t="shared" ref="CO107:CX118" si="134">AF399</f>
        <v>0</v>
      </c>
      <c r="CP107" s="2">
        <f t="shared" si="134"/>
        <v>0</v>
      </c>
      <c r="CQ107" s="2">
        <f t="shared" si="134"/>
        <v>0</v>
      </c>
      <c r="CR107" s="2">
        <f t="shared" si="134"/>
        <v>0</v>
      </c>
      <c r="CS107" s="2">
        <f t="shared" si="134"/>
        <v>0</v>
      </c>
      <c r="CT107" s="2">
        <f t="shared" si="134"/>
        <v>0</v>
      </c>
      <c r="CU107" s="2">
        <f t="shared" si="134"/>
        <v>0</v>
      </c>
      <c r="CV107" s="2">
        <f t="shared" si="134"/>
        <v>0</v>
      </c>
      <c r="CW107" s="2">
        <f t="shared" si="134"/>
        <v>0</v>
      </c>
      <c r="CX107" s="2">
        <f t="shared" si="134"/>
        <v>0</v>
      </c>
      <c r="DF107" s="2">
        <f>AZ398</f>
        <v>0</v>
      </c>
      <c r="DG107" s="2">
        <f t="shared" ref="DG107:DQ118" si="135">BA398</f>
        <v>0</v>
      </c>
      <c r="DH107" s="2">
        <f t="shared" si="135"/>
        <v>0</v>
      </c>
      <c r="DI107" s="2">
        <f t="shared" si="135"/>
        <v>0</v>
      </c>
      <c r="DJ107" s="2">
        <f t="shared" si="135"/>
        <v>0</v>
      </c>
      <c r="DK107" s="2">
        <f t="shared" si="135"/>
        <v>0</v>
      </c>
      <c r="DL107" s="2">
        <f t="shared" si="135"/>
        <v>0</v>
      </c>
      <c r="DM107" s="2">
        <f t="shared" si="135"/>
        <v>0</v>
      </c>
      <c r="DN107" s="2">
        <f t="shared" si="135"/>
        <v>0</v>
      </c>
      <c r="DO107" s="2">
        <f t="shared" si="135"/>
        <v>0</v>
      </c>
      <c r="DP107" s="2">
        <f t="shared" si="135"/>
        <v>0</v>
      </c>
      <c r="DQ107" s="2">
        <f t="shared" si="135"/>
        <v>0</v>
      </c>
      <c r="DR107" s="2">
        <f>AQ411</f>
        <v>0</v>
      </c>
      <c r="DS107" s="2">
        <f t="shared" ref="DS107:EL118" si="136">AR411</f>
        <v>0</v>
      </c>
      <c r="DT107" s="2">
        <f t="shared" si="136"/>
        <v>0</v>
      </c>
      <c r="DU107" s="2">
        <f t="shared" si="136"/>
        <v>0</v>
      </c>
      <c r="DV107" s="2">
        <f t="shared" si="136"/>
        <v>0</v>
      </c>
      <c r="DW107" s="2">
        <f t="shared" si="136"/>
        <v>0</v>
      </c>
      <c r="DX107" s="2">
        <f t="shared" si="136"/>
        <v>0</v>
      </c>
      <c r="DY107" s="2">
        <f t="shared" si="136"/>
        <v>0</v>
      </c>
      <c r="DZ107" s="2">
        <f t="shared" si="136"/>
        <v>0</v>
      </c>
      <c r="EA107" s="2">
        <f t="shared" si="136"/>
        <v>0</v>
      </c>
      <c r="EB107" s="2">
        <f t="shared" si="136"/>
        <v>0</v>
      </c>
      <c r="EC107" s="2">
        <f t="shared" si="136"/>
        <v>0</v>
      </c>
      <c r="ED107" s="2">
        <f t="shared" si="136"/>
        <v>0</v>
      </c>
      <c r="EE107" s="2">
        <f t="shared" si="136"/>
        <v>0</v>
      </c>
      <c r="EF107" s="2">
        <f t="shared" si="136"/>
        <v>0</v>
      </c>
      <c r="EG107" s="2">
        <f t="shared" si="136"/>
        <v>0</v>
      </c>
      <c r="EH107" s="2">
        <f t="shared" si="136"/>
        <v>0</v>
      </c>
      <c r="EI107" s="2">
        <f t="shared" si="136"/>
        <v>0</v>
      </c>
      <c r="EJ107" s="2">
        <f t="shared" si="136"/>
        <v>0</v>
      </c>
      <c r="EK107" s="2">
        <f t="shared" si="136"/>
        <v>0</v>
      </c>
      <c r="EL107" s="2">
        <f t="shared" si="136"/>
        <v>0</v>
      </c>
    </row>
    <row r="108" spans="22:142" ht="14.4" customHeight="1" x14ac:dyDescent="0.3">
      <c r="V108" s="33"/>
      <c r="AP108" s="22"/>
      <c r="AQ108" s="356" t="s">
        <v>49</v>
      </c>
      <c r="AR108" s="342" t="s">
        <v>85</v>
      </c>
      <c r="AS108" s="342"/>
      <c r="AT108" s="14" t="s">
        <v>51</v>
      </c>
      <c r="AU108" s="14" t="s">
        <v>86</v>
      </c>
      <c r="AV108" s="10"/>
      <c r="AW108" s="14" t="s">
        <v>87</v>
      </c>
      <c r="AX108" s="272" t="s">
        <v>54</v>
      </c>
      <c r="AY108" s="272"/>
      <c r="AZ108" s="20"/>
      <c r="BA108" s="20"/>
      <c r="BB108" s="20"/>
      <c r="BC108" s="20"/>
      <c r="BD108" s="20"/>
      <c r="BE108" s="20"/>
      <c r="BF108" s="20"/>
      <c r="BG108" s="20"/>
      <c r="BH108" s="20"/>
      <c r="BI108" s="20"/>
      <c r="BJ108" s="20"/>
      <c r="BK108" s="23"/>
      <c r="BL108" s="128" t="s">
        <v>88</v>
      </c>
      <c r="BM108" s="129"/>
      <c r="BN108" s="130"/>
      <c r="BO108" s="131" t="s">
        <v>89</v>
      </c>
      <c r="BP108" s="132"/>
      <c r="BQ108" s="133"/>
      <c r="BR108" s="131" t="s">
        <v>90</v>
      </c>
      <c r="BS108" s="132"/>
      <c r="BT108" s="132"/>
      <c r="BU108" s="132"/>
      <c r="BV108" s="132"/>
      <c r="BW108" s="132"/>
      <c r="BX108" s="133"/>
      <c r="BY108" s="131" t="s">
        <v>91</v>
      </c>
      <c r="BZ108" s="132"/>
      <c r="CA108" s="132"/>
      <c r="CB108" s="133"/>
      <c r="CC108" s="131" t="s">
        <v>92</v>
      </c>
      <c r="CD108" s="132"/>
      <c r="CE108" s="132"/>
      <c r="CF108" s="156"/>
      <c r="CG108" s="2">
        <f t="shared" ref="CG108:CG115" si="137">V400</f>
        <v>0</v>
      </c>
      <c r="CH108" s="2">
        <f t="shared" si="132"/>
        <v>0</v>
      </c>
      <c r="CI108" s="2">
        <f t="shared" si="133"/>
        <v>0</v>
      </c>
      <c r="CJ108" s="2">
        <f t="shared" si="133"/>
        <v>0</v>
      </c>
      <c r="CK108" s="2">
        <f t="shared" si="133"/>
        <v>0</v>
      </c>
      <c r="CL108" s="2" t="str">
        <f t="shared" si="133"/>
        <v/>
      </c>
      <c r="CM108" s="2" t="str">
        <f t="shared" si="133"/>
        <v/>
      </c>
      <c r="CN108" s="2">
        <f t="shared" si="133"/>
        <v>0</v>
      </c>
      <c r="CO108" s="2">
        <f t="shared" si="134"/>
        <v>0</v>
      </c>
      <c r="CP108" s="2">
        <f t="shared" si="134"/>
        <v>0</v>
      </c>
      <c r="CQ108" s="2">
        <f t="shared" si="134"/>
        <v>0</v>
      </c>
      <c r="CR108" s="2">
        <f t="shared" si="134"/>
        <v>0</v>
      </c>
      <c r="CS108" s="2">
        <f t="shared" si="134"/>
        <v>0</v>
      </c>
      <c r="CT108" s="2">
        <f t="shared" si="134"/>
        <v>0</v>
      </c>
      <c r="CU108" s="2">
        <f t="shared" si="134"/>
        <v>0</v>
      </c>
      <c r="CV108" s="2">
        <f t="shared" si="134"/>
        <v>0</v>
      </c>
      <c r="CW108" s="2">
        <f t="shared" si="134"/>
        <v>0</v>
      </c>
      <c r="CX108" s="2">
        <f t="shared" si="134"/>
        <v>0</v>
      </c>
      <c r="DF108" s="2">
        <f t="shared" ref="DF108:DF118" si="138">AZ399</f>
        <v>0</v>
      </c>
      <c r="DG108" s="2">
        <f t="shared" si="135"/>
        <v>0</v>
      </c>
      <c r="DH108" s="2">
        <f t="shared" si="135"/>
        <v>0</v>
      </c>
      <c r="DI108" s="2">
        <f t="shared" si="135"/>
        <v>0</v>
      </c>
      <c r="DJ108" s="2">
        <f t="shared" si="135"/>
        <v>0</v>
      </c>
      <c r="DK108" s="2">
        <f t="shared" si="135"/>
        <v>0</v>
      </c>
      <c r="DL108" s="2">
        <f t="shared" si="135"/>
        <v>0</v>
      </c>
      <c r="DM108" s="2">
        <f t="shared" si="135"/>
        <v>0</v>
      </c>
      <c r="DN108" s="2">
        <f t="shared" si="135"/>
        <v>0</v>
      </c>
      <c r="DO108" s="2">
        <f t="shared" si="135"/>
        <v>0</v>
      </c>
      <c r="DP108" s="2">
        <f t="shared" si="135"/>
        <v>0</v>
      </c>
      <c r="DQ108" s="2">
        <f t="shared" si="135"/>
        <v>0</v>
      </c>
      <c r="DR108" s="2">
        <f t="shared" ref="DR108:DR118" si="139">AQ412</f>
        <v>0</v>
      </c>
      <c r="DS108" s="2">
        <f t="shared" si="136"/>
        <v>0</v>
      </c>
      <c r="DT108" s="2">
        <f t="shared" si="136"/>
        <v>0</v>
      </c>
      <c r="DU108" s="2">
        <f t="shared" si="136"/>
        <v>0</v>
      </c>
      <c r="DV108" s="2">
        <f t="shared" si="136"/>
        <v>0</v>
      </c>
      <c r="DW108" s="2">
        <f t="shared" si="136"/>
        <v>0</v>
      </c>
      <c r="DX108" s="2">
        <f t="shared" si="136"/>
        <v>0</v>
      </c>
      <c r="DY108" s="2">
        <f t="shared" si="136"/>
        <v>0</v>
      </c>
      <c r="DZ108" s="2">
        <f t="shared" si="136"/>
        <v>0</v>
      </c>
      <c r="EA108" s="2">
        <f t="shared" si="136"/>
        <v>0</v>
      </c>
      <c r="EB108" s="2">
        <f t="shared" si="136"/>
        <v>0</v>
      </c>
      <c r="EC108" s="2">
        <f t="shared" si="136"/>
        <v>0</v>
      </c>
      <c r="ED108" s="2">
        <f t="shared" si="136"/>
        <v>0</v>
      </c>
      <c r="EE108" s="2">
        <f t="shared" si="136"/>
        <v>0</v>
      </c>
      <c r="EF108" s="2">
        <f t="shared" si="136"/>
        <v>0</v>
      </c>
      <c r="EG108" s="2">
        <f t="shared" si="136"/>
        <v>0</v>
      </c>
      <c r="EH108" s="2">
        <f t="shared" si="136"/>
        <v>0</v>
      </c>
      <c r="EI108" s="2">
        <f t="shared" si="136"/>
        <v>0</v>
      </c>
      <c r="EJ108" s="2">
        <f t="shared" si="136"/>
        <v>0</v>
      </c>
      <c r="EK108" s="2">
        <f t="shared" si="136"/>
        <v>0</v>
      </c>
      <c r="EL108" s="2">
        <f t="shared" si="136"/>
        <v>0</v>
      </c>
    </row>
    <row r="109" spans="22:142" ht="14.4" customHeight="1" x14ac:dyDescent="0.3">
      <c r="V109" s="262" t="s">
        <v>49</v>
      </c>
      <c r="W109" s="264" t="s">
        <v>94</v>
      </c>
      <c r="X109" s="264"/>
      <c r="Y109" s="31" t="s">
        <v>51</v>
      </c>
      <c r="Z109" s="14" t="s">
        <v>52</v>
      </c>
      <c r="AA109" s="14" t="s">
        <v>53</v>
      </c>
      <c r="AB109" s="108" t="s">
        <v>54</v>
      </c>
      <c r="AC109" s="110"/>
      <c r="AD109" s="363" t="s">
        <v>145</v>
      </c>
      <c r="AE109" s="364"/>
      <c r="AF109" s="108" t="s">
        <v>56</v>
      </c>
      <c r="AG109" s="109"/>
      <c r="AH109" s="109"/>
      <c r="AI109" s="109"/>
      <c r="AJ109" s="110"/>
      <c r="AK109" s="108" t="s">
        <v>57</v>
      </c>
      <c r="AL109" s="109"/>
      <c r="AM109" s="109"/>
      <c r="AN109" s="109"/>
      <c r="AO109" s="110"/>
      <c r="AP109" s="22"/>
      <c r="AQ109" s="357"/>
      <c r="AR109" s="342"/>
      <c r="AS109" s="342"/>
      <c r="AT109" s="14" t="s">
        <v>64</v>
      </c>
      <c r="AU109" s="14" t="s">
        <v>65</v>
      </c>
      <c r="AV109" s="14" t="s">
        <v>95</v>
      </c>
      <c r="AW109" s="14" t="s">
        <v>66</v>
      </c>
      <c r="AX109" s="14" t="s">
        <v>67</v>
      </c>
      <c r="AY109" s="14" t="s">
        <v>68</v>
      </c>
      <c r="AZ109" s="239" t="s">
        <v>69</v>
      </c>
      <c r="BA109" s="239"/>
      <c r="BB109" s="239"/>
      <c r="BC109" s="239" t="s">
        <v>70</v>
      </c>
      <c r="BD109" s="239"/>
      <c r="BE109" s="239"/>
      <c r="BF109" s="239" t="s">
        <v>71</v>
      </c>
      <c r="BG109" s="239"/>
      <c r="BH109" s="239"/>
      <c r="BI109" s="239" t="s">
        <v>72</v>
      </c>
      <c r="BJ109" s="239"/>
      <c r="BK109" s="240"/>
      <c r="BL109" s="158" t="s">
        <v>96</v>
      </c>
      <c r="BM109" s="159"/>
      <c r="BN109" s="35"/>
      <c r="BO109" s="134"/>
      <c r="BP109" s="135"/>
      <c r="BQ109" s="136"/>
      <c r="BR109" s="134"/>
      <c r="BS109" s="135"/>
      <c r="BT109" s="135"/>
      <c r="BU109" s="135"/>
      <c r="BV109" s="135"/>
      <c r="BW109" s="135"/>
      <c r="BX109" s="136"/>
      <c r="BY109" s="134"/>
      <c r="BZ109" s="135"/>
      <c r="CA109" s="135"/>
      <c r="CB109" s="136"/>
      <c r="CC109" s="134"/>
      <c r="CD109" s="135"/>
      <c r="CE109" s="135"/>
      <c r="CF109" s="157"/>
      <c r="CG109" s="2">
        <f t="shared" si="137"/>
        <v>0</v>
      </c>
      <c r="CH109" s="2">
        <f t="shared" si="132"/>
        <v>0</v>
      </c>
      <c r="CI109" s="2">
        <f t="shared" si="133"/>
        <v>0</v>
      </c>
      <c r="CJ109" s="2">
        <f t="shared" si="133"/>
        <v>0</v>
      </c>
      <c r="CK109" s="2">
        <f t="shared" si="133"/>
        <v>0</v>
      </c>
      <c r="CL109" s="2" t="str">
        <f t="shared" si="133"/>
        <v/>
      </c>
      <c r="CM109" s="2" t="str">
        <f t="shared" si="133"/>
        <v/>
      </c>
      <c r="CN109" s="2">
        <f t="shared" si="133"/>
        <v>0</v>
      </c>
      <c r="CO109" s="2">
        <f t="shared" si="134"/>
        <v>0</v>
      </c>
      <c r="CP109" s="2">
        <f t="shared" si="134"/>
        <v>0</v>
      </c>
      <c r="CQ109" s="2">
        <f t="shared" si="134"/>
        <v>0</v>
      </c>
      <c r="CR109" s="2">
        <f t="shared" si="134"/>
        <v>0</v>
      </c>
      <c r="CS109" s="2">
        <f t="shared" si="134"/>
        <v>0</v>
      </c>
      <c r="CT109" s="2">
        <f t="shared" si="134"/>
        <v>0</v>
      </c>
      <c r="CU109" s="2">
        <f t="shared" si="134"/>
        <v>0</v>
      </c>
      <c r="CV109" s="2">
        <f t="shared" si="134"/>
        <v>0</v>
      </c>
      <c r="CW109" s="2">
        <f t="shared" si="134"/>
        <v>0</v>
      </c>
      <c r="CX109" s="2">
        <f t="shared" si="134"/>
        <v>0</v>
      </c>
      <c r="DF109" s="2">
        <f t="shared" si="138"/>
        <v>0</v>
      </c>
      <c r="DG109" s="2">
        <f t="shared" si="135"/>
        <v>0</v>
      </c>
      <c r="DH109" s="2">
        <f t="shared" si="135"/>
        <v>0</v>
      </c>
      <c r="DI109" s="2">
        <f t="shared" si="135"/>
        <v>0</v>
      </c>
      <c r="DJ109" s="2">
        <f t="shared" si="135"/>
        <v>0</v>
      </c>
      <c r="DK109" s="2">
        <f t="shared" si="135"/>
        <v>0</v>
      </c>
      <c r="DL109" s="2">
        <f t="shared" si="135"/>
        <v>0</v>
      </c>
      <c r="DM109" s="2">
        <f t="shared" si="135"/>
        <v>0</v>
      </c>
      <c r="DN109" s="2">
        <f t="shared" si="135"/>
        <v>0</v>
      </c>
      <c r="DO109" s="2">
        <f t="shared" si="135"/>
        <v>0</v>
      </c>
      <c r="DP109" s="2">
        <f t="shared" si="135"/>
        <v>0</v>
      </c>
      <c r="DQ109" s="2">
        <f t="shared" si="135"/>
        <v>0</v>
      </c>
      <c r="DR109" s="2">
        <f t="shared" si="139"/>
        <v>0</v>
      </c>
      <c r="DS109" s="2">
        <f t="shared" si="136"/>
        <v>0</v>
      </c>
      <c r="DT109" s="2">
        <f t="shared" si="136"/>
        <v>0</v>
      </c>
      <c r="DU109" s="2">
        <f t="shared" si="136"/>
        <v>0</v>
      </c>
      <c r="DV109" s="2">
        <f t="shared" si="136"/>
        <v>0</v>
      </c>
      <c r="DW109" s="2">
        <f t="shared" si="136"/>
        <v>0</v>
      </c>
      <c r="DX109" s="2">
        <f t="shared" si="136"/>
        <v>0</v>
      </c>
      <c r="DY109" s="2">
        <f t="shared" si="136"/>
        <v>0</v>
      </c>
      <c r="DZ109" s="2">
        <f t="shared" si="136"/>
        <v>0</v>
      </c>
      <c r="EA109" s="2">
        <f t="shared" si="136"/>
        <v>0</v>
      </c>
      <c r="EB109" s="2">
        <f t="shared" si="136"/>
        <v>0</v>
      </c>
      <c r="EC109" s="2">
        <f t="shared" si="136"/>
        <v>0</v>
      </c>
      <c r="ED109" s="2">
        <f t="shared" si="136"/>
        <v>0</v>
      </c>
      <c r="EE109" s="2">
        <f t="shared" si="136"/>
        <v>0</v>
      </c>
      <c r="EF109" s="2">
        <f t="shared" si="136"/>
        <v>0</v>
      </c>
      <c r="EG109" s="2">
        <f t="shared" si="136"/>
        <v>0</v>
      </c>
      <c r="EH109" s="2">
        <f t="shared" si="136"/>
        <v>0</v>
      </c>
      <c r="EI109" s="2">
        <f t="shared" si="136"/>
        <v>0</v>
      </c>
      <c r="EJ109" s="2">
        <f t="shared" si="136"/>
        <v>0</v>
      </c>
      <c r="EK109" s="2">
        <f t="shared" si="136"/>
        <v>0</v>
      </c>
      <c r="EL109" s="2">
        <f t="shared" si="136"/>
        <v>0</v>
      </c>
    </row>
    <row r="110" spans="22:142" ht="14.4" customHeight="1" x14ac:dyDescent="0.3">
      <c r="V110" s="263"/>
      <c r="W110" s="264"/>
      <c r="X110" s="264"/>
      <c r="Y110" s="31" t="s">
        <v>64</v>
      </c>
      <c r="Z110" s="14" t="s">
        <v>65</v>
      </c>
      <c r="AA110" s="14" t="s">
        <v>66</v>
      </c>
      <c r="AB110" s="14" t="s">
        <v>67</v>
      </c>
      <c r="AC110" s="14" t="s">
        <v>68</v>
      </c>
      <c r="AD110" s="365"/>
      <c r="AE110" s="366"/>
      <c r="AF110" s="14">
        <v>1</v>
      </c>
      <c r="AG110" s="14">
        <v>2</v>
      </c>
      <c r="AH110" s="14">
        <v>3</v>
      </c>
      <c r="AI110" s="14">
        <v>4</v>
      </c>
      <c r="AJ110" s="14">
        <v>5</v>
      </c>
      <c r="AK110" s="14">
        <v>1</v>
      </c>
      <c r="AL110" s="14">
        <v>2</v>
      </c>
      <c r="AM110" s="14">
        <v>3</v>
      </c>
      <c r="AN110" s="14">
        <v>4</v>
      </c>
      <c r="AO110" s="14">
        <v>5</v>
      </c>
      <c r="AP110" s="22"/>
      <c r="AQ110" s="36" t="str">
        <f>IF(ISBLANK(V111),"",V111)</f>
        <v/>
      </c>
      <c r="AR110" s="287" t="str">
        <f>IF(OR(AW110="QC",ISTEXT(Y111)), W111, "")</f>
        <v/>
      </c>
      <c r="AS110" s="288"/>
      <c r="AT110" s="37" t="str">
        <f>IF(OR(AW110="QC",ISTEXT(Y111)), Y111, "")</f>
        <v/>
      </c>
      <c r="AU110" s="37" t="str">
        <f>IF(OR(AW110="QC",ISTEXT(Y111)), Z111, "")</f>
        <v/>
      </c>
      <c r="AV110" s="37" t="str">
        <f>IF(ISBLANK(Z125),"",Z125)</f>
        <v/>
      </c>
      <c r="AW110" s="38" t="str">
        <f>IF(ISBLANK(AA111),"",AA111)</f>
        <v/>
      </c>
      <c r="AX110" s="38" t="str">
        <f>IF(OR(AW110="QC",ISTEXT(Y111)), AB111, "")</f>
        <v/>
      </c>
      <c r="AY110" s="38" t="str">
        <f>IF(OR(AW110="QC",ISTEXT(Y111)), AC111, "")</f>
        <v/>
      </c>
      <c r="AZ110" s="39"/>
      <c r="BA110" s="39"/>
      <c r="BB110" s="39"/>
      <c r="BC110" s="39"/>
      <c r="BD110" s="39"/>
      <c r="BE110" s="39"/>
      <c r="BF110" s="39"/>
      <c r="BG110" s="39"/>
      <c r="BH110" s="39"/>
      <c r="BI110" s="39"/>
      <c r="BJ110" s="39"/>
      <c r="BK110" s="40"/>
      <c r="BL110" s="158" t="s">
        <v>97</v>
      </c>
      <c r="BM110" s="159"/>
      <c r="BN110" s="41" t="s">
        <v>98</v>
      </c>
      <c r="BO110" s="204" t="s">
        <v>99</v>
      </c>
      <c r="BP110" s="205"/>
      <c r="BQ110" s="206"/>
      <c r="BR110" s="207" t="s">
        <v>100</v>
      </c>
      <c r="BS110" s="208"/>
      <c r="BT110" s="208"/>
      <c r="BU110" s="209"/>
      <c r="BV110" s="217"/>
      <c r="BW110" s="218"/>
      <c r="BX110" s="219"/>
      <c r="BY110" s="119"/>
      <c r="BZ110" s="120"/>
      <c r="CA110" s="120"/>
      <c r="CB110" s="121"/>
      <c r="CC110" s="119"/>
      <c r="CD110" s="120"/>
      <c r="CE110" s="120"/>
      <c r="CF110" s="214"/>
      <c r="CG110" s="2">
        <f t="shared" si="137"/>
        <v>0</v>
      </c>
      <c r="CH110" s="2">
        <f t="shared" si="132"/>
        <v>0</v>
      </c>
      <c r="CI110" s="2">
        <f t="shared" si="133"/>
        <v>0</v>
      </c>
      <c r="CJ110" s="2">
        <f t="shared" si="133"/>
        <v>0</v>
      </c>
      <c r="CK110" s="2">
        <f t="shared" si="133"/>
        <v>0</v>
      </c>
      <c r="CL110" s="2" t="str">
        <f t="shared" si="133"/>
        <v/>
      </c>
      <c r="CM110" s="2" t="str">
        <f t="shared" si="133"/>
        <v/>
      </c>
      <c r="CN110" s="2">
        <f t="shared" si="133"/>
        <v>0</v>
      </c>
      <c r="CO110" s="2">
        <f t="shared" si="134"/>
        <v>0</v>
      </c>
      <c r="CP110" s="2">
        <f t="shared" si="134"/>
        <v>0</v>
      </c>
      <c r="CQ110" s="2">
        <f t="shared" si="134"/>
        <v>0</v>
      </c>
      <c r="CR110" s="2">
        <f t="shared" si="134"/>
        <v>0</v>
      </c>
      <c r="CS110" s="2">
        <f t="shared" si="134"/>
        <v>0</v>
      </c>
      <c r="CT110" s="2">
        <f t="shared" si="134"/>
        <v>0</v>
      </c>
      <c r="CU110" s="2">
        <f t="shared" si="134"/>
        <v>0</v>
      </c>
      <c r="CV110" s="2">
        <f t="shared" si="134"/>
        <v>0</v>
      </c>
      <c r="CW110" s="2">
        <f t="shared" si="134"/>
        <v>0</v>
      </c>
      <c r="CX110" s="2">
        <f t="shared" si="134"/>
        <v>0</v>
      </c>
      <c r="DF110" s="2">
        <f t="shared" si="138"/>
        <v>0</v>
      </c>
      <c r="DG110" s="2">
        <f t="shared" si="135"/>
        <v>0</v>
      </c>
      <c r="DH110" s="2">
        <f t="shared" si="135"/>
        <v>0</v>
      </c>
      <c r="DI110" s="2">
        <f t="shared" si="135"/>
        <v>0</v>
      </c>
      <c r="DJ110" s="2">
        <f t="shared" si="135"/>
        <v>0</v>
      </c>
      <c r="DK110" s="2">
        <f t="shared" si="135"/>
        <v>0</v>
      </c>
      <c r="DL110" s="2">
        <f t="shared" si="135"/>
        <v>0</v>
      </c>
      <c r="DM110" s="2">
        <f t="shared" si="135"/>
        <v>0</v>
      </c>
      <c r="DN110" s="2">
        <f t="shared" si="135"/>
        <v>0</v>
      </c>
      <c r="DO110" s="2">
        <f t="shared" si="135"/>
        <v>0</v>
      </c>
      <c r="DP110" s="2">
        <f t="shared" si="135"/>
        <v>0</v>
      </c>
      <c r="DQ110" s="2">
        <f t="shared" si="135"/>
        <v>0</v>
      </c>
      <c r="DR110" s="2">
        <f t="shared" si="139"/>
        <v>0</v>
      </c>
      <c r="DS110" s="2">
        <f t="shared" si="136"/>
        <v>0</v>
      </c>
      <c r="DT110" s="2">
        <f t="shared" si="136"/>
        <v>0</v>
      </c>
      <c r="DU110" s="2">
        <f t="shared" si="136"/>
        <v>0</v>
      </c>
      <c r="DV110" s="2">
        <f t="shared" si="136"/>
        <v>0</v>
      </c>
      <c r="DW110" s="2">
        <f t="shared" si="136"/>
        <v>0</v>
      </c>
      <c r="DX110" s="2">
        <f t="shared" si="136"/>
        <v>0</v>
      </c>
      <c r="DY110" s="2">
        <f t="shared" si="136"/>
        <v>0</v>
      </c>
      <c r="DZ110" s="2">
        <f t="shared" si="136"/>
        <v>0</v>
      </c>
      <c r="EA110" s="2">
        <f t="shared" si="136"/>
        <v>0</v>
      </c>
      <c r="EB110" s="2">
        <f t="shared" si="136"/>
        <v>0</v>
      </c>
      <c r="EC110" s="2">
        <f t="shared" si="136"/>
        <v>0</v>
      </c>
      <c r="ED110" s="2">
        <f t="shared" si="136"/>
        <v>0</v>
      </c>
      <c r="EE110" s="2">
        <f t="shared" si="136"/>
        <v>0</v>
      </c>
      <c r="EF110" s="2">
        <f t="shared" si="136"/>
        <v>0</v>
      </c>
      <c r="EG110" s="2">
        <f t="shared" si="136"/>
        <v>0</v>
      </c>
      <c r="EH110" s="2">
        <f t="shared" si="136"/>
        <v>0</v>
      </c>
      <c r="EI110" s="2">
        <f t="shared" si="136"/>
        <v>0</v>
      </c>
      <c r="EJ110" s="2">
        <f t="shared" si="136"/>
        <v>0</v>
      </c>
      <c r="EK110" s="2">
        <f t="shared" si="136"/>
        <v>0</v>
      </c>
      <c r="EL110" s="2">
        <f t="shared" si="136"/>
        <v>0</v>
      </c>
    </row>
    <row r="111" spans="22:142" ht="14.4" customHeight="1" x14ac:dyDescent="0.3">
      <c r="V111" s="36"/>
      <c r="W111" s="249"/>
      <c r="X111" s="250"/>
      <c r="Y111" s="37"/>
      <c r="Z111" s="38"/>
      <c r="AA111" s="38"/>
      <c r="AB111" s="38" t="str">
        <f t="shared" ref="AB111:AB122" si="140">IF(ISNUMBER(Y111),(Y111+Z111)/2-3*(Z111 - (Y111+Z111)/2) / (3 * AA125),"")</f>
        <v/>
      </c>
      <c r="AC111" s="38" t="str">
        <f t="shared" ref="AC111:AC122" si="141">IF(ISNUMBER(Z111),(Y111+Z111)/2+3*(Z111 - (Y111+Z111)/2) / (3 * AA125),"")</f>
        <v/>
      </c>
      <c r="AD111" s="247"/>
      <c r="AE111" s="248"/>
      <c r="AF111" s="39"/>
      <c r="AG111" s="39"/>
      <c r="AH111" s="39"/>
      <c r="AI111" s="39"/>
      <c r="AJ111" s="39"/>
      <c r="AK111" s="39"/>
      <c r="AL111" s="39"/>
      <c r="AM111" s="39"/>
      <c r="AN111" s="39"/>
      <c r="AO111" s="39"/>
      <c r="AP111" s="22"/>
      <c r="AQ111" s="36" t="str">
        <f t="shared" ref="AQ111:AQ121" si="142">IF(ISBLANK(V112),"",V112)</f>
        <v/>
      </c>
      <c r="AR111" s="287" t="str">
        <f t="shared" ref="AR111:AR121" si="143">IF(OR(AW111="QC",ISTEXT(Y112)), W112, "")</f>
        <v/>
      </c>
      <c r="AS111" s="288"/>
      <c r="AT111" s="37" t="str">
        <f t="shared" ref="AT111:AT121" si="144">IF(OR(AW111="QC",ISTEXT(Y112)), Y112, "")</f>
        <v/>
      </c>
      <c r="AU111" s="37" t="str">
        <f t="shared" ref="AU111:AU121" si="145">IF(OR(AW111="QC",ISTEXT(Y112)), Z112, "")</f>
        <v/>
      </c>
      <c r="AV111" s="37" t="str">
        <f t="shared" ref="AV111:AV121" si="146">IF(ISBLANK(Z126),"",Z126)</f>
        <v/>
      </c>
      <c r="AW111" s="38" t="str">
        <f t="shared" ref="AW111:AW121" si="147">IF(ISBLANK(AA112),"",AA112)</f>
        <v/>
      </c>
      <c r="AX111" s="38" t="str">
        <f t="shared" ref="AX111:AX121" si="148">IF(OR(AW111="QC",ISTEXT(Y112)), AB112, "")</f>
        <v/>
      </c>
      <c r="AY111" s="38" t="str">
        <f t="shared" ref="AY111:AY121" si="149">IF(OR(AW111="QC",ISTEXT(Y112)), AC112, "")</f>
        <v/>
      </c>
      <c r="AZ111" s="39"/>
      <c r="BA111" s="39"/>
      <c r="BB111" s="39"/>
      <c r="BC111" s="39"/>
      <c r="BD111" s="39"/>
      <c r="BE111" s="39"/>
      <c r="BF111" s="39"/>
      <c r="BG111" s="39"/>
      <c r="BH111" s="39"/>
      <c r="BI111" s="39"/>
      <c r="BJ111" s="39"/>
      <c r="BK111" s="40"/>
      <c r="BL111" s="158" t="s">
        <v>102</v>
      </c>
      <c r="BM111" s="159"/>
      <c r="BN111" s="42" t="s">
        <v>103</v>
      </c>
      <c r="BO111" s="119"/>
      <c r="BP111" s="120"/>
      <c r="BQ111" s="121"/>
      <c r="BR111" s="137" t="s">
        <v>104</v>
      </c>
      <c r="BS111" s="138"/>
      <c r="BT111" s="164"/>
      <c r="BU111" s="165"/>
      <c r="BV111" s="165"/>
      <c r="BW111" s="165"/>
      <c r="BX111" s="166"/>
      <c r="BY111" s="122"/>
      <c r="BZ111" s="123"/>
      <c r="CA111" s="123"/>
      <c r="CB111" s="124"/>
      <c r="CC111" s="122"/>
      <c r="CD111" s="123"/>
      <c r="CE111" s="123"/>
      <c r="CF111" s="215"/>
      <c r="CG111" s="2">
        <f t="shared" si="137"/>
        <v>0</v>
      </c>
      <c r="CH111" s="2">
        <f t="shared" si="132"/>
        <v>0</v>
      </c>
      <c r="CI111" s="2">
        <f t="shared" si="133"/>
        <v>0</v>
      </c>
      <c r="CJ111" s="2">
        <f t="shared" si="133"/>
        <v>0</v>
      </c>
      <c r="CK111" s="2">
        <f t="shared" si="133"/>
        <v>0</v>
      </c>
      <c r="CL111" s="2" t="str">
        <f t="shared" si="133"/>
        <v/>
      </c>
      <c r="CM111" s="2" t="str">
        <f t="shared" si="133"/>
        <v/>
      </c>
      <c r="CN111" s="2">
        <f t="shared" si="133"/>
        <v>0</v>
      </c>
      <c r="CO111" s="2">
        <f t="shared" si="134"/>
        <v>0</v>
      </c>
      <c r="CP111" s="2">
        <f t="shared" si="134"/>
        <v>0</v>
      </c>
      <c r="CQ111" s="2">
        <f t="shared" si="134"/>
        <v>0</v>
      </c>
      <c r="CR111" s="2">
        <f t="shared" si="134"/>
        <v>0</v>
      </c>
      <c r="CS111" s="2">
        <f t="shared" si="134"/>
        <v>0</v>
      </c>
      <c r="CT111" s="2">
        <f t="shared" si="134"/>
        <v>0</v>
      </c>
      <c r="CU111" s="2">
        <f t="shared" si="134"/>
        <v>0</v>
      </c>
      <c r="CV111" s="2">
        <f t="shared" si="134"/>
        <v>0</v>
      </c>
      <c r="CW111" s="2">
        <f t="shared" si="134"/>
        <v>0</v>
      </c>
      <c r="CX111" s="2">
        <f t="shared" si="134"/>
        <v>0</v>
      </c>
      <c r="DF111" s="2">
        <f t="shared" si="138"/>
        <v>0</v>
      </c>
      <c r="DG111" s="2">
        <f t="shared" si="135"/>
        <v>0</v>
      </c>
      <c r="DH111" s="2">
        <f t="shared" si="135"/>
        <v>0</v>
      </c>
      <c r="DI111" s="2">
        <f t="shared" si="135"/>
        <v>0</v>
      </c>
      <c r="DJ111" s="2">
        <f t="shared" si="135"/>
        <v>0</v>
      </c>
      <c r="DK111" s="2">
        <f t="shared" si="135"/>
        <v>0</v>
      </c>
      <c r="DL111" s="2">
        <f t="shared" si="135"/>
        <v>0</v>
      </c>
      <c r="DM111" s="2">
        <f t="shared" si="135"/>
        <v>0</v>
      </c>
      <c r="DN111" s="2">
        <f t="shared" si="135"/>
        <v>0</v>
      </c>
      <c r="DO111" s="2">
        <f t="shared" si="135"/>
        <v>0</v>
      </c>
      <c r="DP111" s="2">
        <f t="shared" si="135"/>
        <v>0</v>
      </c>
      <c r="DQ111" s="2">
        <f t="shared" si="135"/>
        <v>0</v>
      </c>
      <c r="DR111" s="2">
        <f t="shared" si="139"/>
        <v>0</v>
      </c>
      <c r="DS111" s="2">
        <f t="shared" si="136"/>
        <v>0</v>
      </c>
      <c r="DT111" s="2">
        <f t="shared" si="136"/>
        <v>0</v>
      </c>
      <c r="DU111" s="2">
        <f t="shared" si="136"/>
        <v>0</v>
      </c>
      <c r="DV111" s="2">
        <f t="shared" si="136"/>
        <v>0</v>
      </c>
      <c r="DW111" s="2">
        <f t="shared" si="136"/>
        <v>0</v>
      </c>
      <c r="DX111" s="2">
        <f t="shared" si="136"/>
        <v>0</v>
      </c>
      <c r="DY111" s="2">
        <f t="shared" si="136"/>
        <v>0</v>
      </c>
      <c r="DZ111" s="2">
        <f t="shared" si="136"/>
        <v>0</v>
      </c>
      <c r="EA111" s="2">
        <f t="shared" si="136"/>
        <v>0</v>
      </c>
      <c r="EB111" s="2">
        <f t="shared" si="136"/>
        <v>0</v>
      </c>
      <c r="EC111" s="2">
        <f t="shared" si="136"/>
        <v>0</v>
      </c>
      <c r="ED111" s="2">
        <f t="shared" si="136"/>
        <v>0</v>
      </c>
      <c r="EE111" s="2">
        <f t="shared" si="136"/>
        <v>0</v>
      </c>
      <c r="EF111" s="2">
        <f t="shared" si="136"/>
        <v>0</v>
      </c>
      <c r="EG111" s="2">
        <f t="shared" si="136"/>
        <v>0</v>
      </c>
      <c r="EH111" s="2">
        <f t="shared" si="136"/>
        <v>0</v>
      </c>
      <c r="EI111" s="2">
        <f t="shared" si="136"/>
        <v>0</v>
      </c>
      <c r="EJ111" s="2">
        <f t="shared" si="136"/>
        <v>0</v>
      </c>
      <c r="EK111" s="2">
        <f t="shared" si="136"/>
        <v>0</v>
      </c>
      <c r="EL111" s="2">
        <f t="shared" si="136"/>
        <v>0</v>
      </c>
    </row>
    <row r="112" spans="22:142" ht="14.4" customHeight="1" x14ac:dyDescent="0.3">
      <c r="V112" s="36"/>
      <c r="W112" s="249"/>
      <c r="X112" s="250"/>
      <c r="Y112" s="37"/>
      <c r="Z112" s="38"/>
      <c r="AA112" s="38"/>
      <c r="AB112" s="38" t="str">
        <f t="shared" si="140"/>
        <v/>
      </c>
      <c r="AC112" s="38" t="str">
        <f t="shared" si="141"/>
        <v/>
      </c>
      <c r="AD112" s="247"/>
      <c r="AE112" s="248"/>
      <c r="AF112" s="39"/>
      <c r="AG112" s="39"/>
      <c r="AH112" s="39"/>
      <c r="AI112" s="39"/>
      <c r="AJ112" s="39"/>
      <c r="AK112" s="39"/>
      <c r="AL112" s="39"/>
      <c r="AM112" s="39"/>
      <c r="AN112" s="39"/>
      <c r="AO112" s="39"/>
      <c r="AP112" s="22"/>
      <c r="AQ112" s="36" t="str">
        <f t="shared" si="142"/>
        <v/>
      </c>
      <c r="AR112" s="287" t="str">
        <f t="shared" si="143"/>
        <v/>
      </c>
      <c r="AS112" s="288"/>
      <c r="AT112" s="37" t="str">
        <f t="shared" si="144"/>
        <v/>
      </c>
      <c r="AU112" s="37" t="str">
        <f t="shared" si="145"/>
        <v/>
      </c>
      <c r="AV112" s="37" t="str">
        <f t="shared" si="146"/>
        <v/>
      </c>
      <c r="AW112" s="38" t="str">
        <f t="shared" si="147"/>
        <v/>
      </c>
      <c r="AX112" s="38" t="str">
        <f t="shared" si="148"/>
        <v/>
      </c>
      <c r="AY112" s="38" t="str">
        <f t="shared" si="149"/>
        <v/>
      </c>
      <c r="AZ112" s="39"/>
      <c r="BA112" s="39"/>
      <c r="BB112" s="39"/>
      <c r="BC112" s="39"/>
      <c r="BD112" s="39"/>
      <c r="BE112" s="39"/>
      <c r="BF112" s="39"/>
      <c r="BG112" s="39"/>
      <c r="BH112" s="39"/>
      <c r="BI112" s="39"/>
      <c r="BJ112" s="39"/>
      <c r="BK112" s="40"/>
      <c r="BL112" s="210" t="s">
        <v>105</v>
      </c>
      <c r="BM112" s="211"/>
      <c r="BN112" s="28" t="s">
        <v>101</v>
      </c>
      <c r="BO112" s="125"/>
      <c r="BP112" s="126"/>
      <c r="BQ112" s="127"/>
      <c r="BR112" s="139"/>
      <c r="BS112" s="140"/>
      <c r="BT112" s="167"/>
      <c r="BU112" s="168"/>
      <c r="BV112" s="168"/>
      <c r="BW112" s="168"/>
      <c r="BX112" s="169"/>
      <c r="BY112" s="122"/>
      <c r="BZ112" s="123"/>
      <c r="CA112" s="123"/>
      <c r="CB112" s="124"/>
      <c r="CC112" s="122"/>
      <c r="CD112" s="123"/>
      <c r="CE112" s="123"/>
      <c r="CF112" s="215"/>
      <c r="CG112" s="2">
        <f t="shared" si="137"/>
        <v>0</v>
      </c>
      <c r="CH112" s="2">
        <f t="shared" si="132"/>
        <v>0</v>
      </c>
      <c r="CI112" s="2">
        <f t="shared" si="133"/>
        <v>0</v>
      </c>
      <c r="CJ112" s="2">
        <f t="shared" si="133"/>
        <v>0</v>
      </c>
      <c r="CK112" s="2">
        <f t="shared" si="133"/>
        <v>0</v>
      </c>
      <c r="CL112" s="2" t="str">
        <f t="shared" si="133"/>
        <v/>
      </c>
      <c r="CM112" s="2" t="str">
        <f t="shared" si="133"/>
        <v/>
      </c>
      <c r="CN112" s="2">
        <f t="shared" si="133"/>
        <v>0</v>
      </c>
      <c r="CO112" s="2">
        <f t="shared" si="134"/>
        <v>0</v>
      </c>
      <c r="CP112" s="2">
        <f t="shared" si="134"/>
        <v>0</v>
      </c>
      <c r="CQ112" s="2">
        <f t="shared" si="134"/>
        <v>0</v>
      </c>
      <c r="CR112" s="2">
        <f t="shared" si="134"/>
        <v>0</v>
      </c>
      <c r="CS112" s="2">
        <f t="shared" si="134"/>
        <v>0</v>
      </c>
      <c r="CT112" s="2">
        <f t="shared" si="134"/>
        <v>0</v>
      </c>
      <c r="CU112" s="2">
        <f t="shared" si="134"/>
        <v>0</v>
      </c>
      <c r="CV112" s="2">
        <f t="shared" si="134"/>
        <v>0</v>
      </c>
      <c r="CW112" s="2">
        <f t="shared" si="134"/>
        <v>0</v>
      </c>
      <c r="CX112" s="2">
        <f t="shared" si="134"/>
        <v>0</v>
      </c>
      <c r="DF112" s="2">
        <f t="shared" si="138"/>
        <v>0</v>
      </c>
      <c r="DG112" s="2">
        <f t="shared" si="135"/>
        <v>0</v>
      </c>
      <c r="DH112" s="2">
        <f t="shared" si="135"/>
        <v>0</v>
      </c>
      <c r="DI112" s="2">
        <f t="shared" si="135"/>
        <v>0</v>
      </c>
      <c r="DJ112" s="2">
        <f t="shared" si="135"/>
        <v>0</v>
      </c>
      <c r="DK112" s="2">
        <f t="shared" si="135"/>
        <v>0</v>
      </c>
      <c r="DL112" s="2">
        <f t="shared" si="135"/>
        <v>0</v>
      </c>
      <c r="DM112" s="2">
        <f t="shared" si="135"/>
        <v>0</v>
      </c>
      <c r="DN112" s="2">
        <f t="shared" si="135"/>
        <v>0</v>
      </c>
      <c r="DO112" s="2">
        <f t="shared" si="135"/>
        <v>0</v>
      </c>
      <c r="DP112" s="2">
        <f t="shared" si="135"/>
        <v>0</v>
      </c>
      <c r="DQ112" s="2">
        <f t="shared" si="135"/>
        <v>0</v>
      </c>
      <c r="DR112" s="2">
        <f t="shared" si="139"/>
        <v>0</v>
      </c>
      <c r="DS112" s="2">
        <f t="shared" si="136"/>
        <v>0</v>
      </c>
      <c r="DT112" s="2">
        <f t="shared" si="136"/>
        <v>0</v>
      </c>
      <c r="DU112" s="2">
        <f t="shared" si="136"/>
        <v>0</v>
      </c>
      <c r="DV112" s="2">
        <f t="shared" si="136"/>
        <v>0</v>
      </c>
      <c r="DW112" s="2">
        <f t="shared" si="136"/>
        <v>0</v>
      </c>
      <c r="DX112" s="2">
        <f t="shared" si="136"/>
        <v>0</v>
      </c>
      <c r="DY112" s="2">
        <f t="shared" si="136"/>
        <v>0</v>
      </c>
      <c r="DZ112" s="2">
        <f t="shared" si="136"/>
        <v>0</v>
      </c>
      <c r="EA112" s="2">
        <f t="shared" si="136"/>
        <v>0</v>
      </c>
      <c r="EB112" s="2">
        <f t="shared" si="136"/>
        <v>0</v>
      </c>
      <c r="EC112" s="2">
        <f t="shared" si="136"/>
        <v>0</v>
      </c>
      <c r="ED112" s="2">
        <f t="shared" si="136"/>
        <v>0</v>
      </c>
      <c r="EE112" s="2">
        <f t="shared" si="136"/>
        <v>0</v>
      </c>
      <c r="EF112" s="2">
        <f t="shared" si="136"/>
        <v>0</v>
      </c>
      <c r="EG112" s="2">
        <f t="shared" si="136"/>
        <v>0</v>
      </c>
      <c r="EH112" s="2">
        <f t="shared" si="136"/>
        <v>0</v>
      </c>
      <c r="EI112" s="2">
        <f t="shared" si="136"/>
        <v>0</v>
      </c>
      <c r="EJ112" s="2">
        <f t="shared" si="136"/>
        <v>0</v>
      </c>
      <c r="EK112" s="2">
        <f t="shared" si="136"/>
        <v>0</v>
      </c>
      <c r="EL112" s="2">
        <f t="shared" si="136"/>
        <v>0</v>
      </c>
    </row>
    <row r="113" spans="22:142" ht="14.4" customHeight="1" x14ac:dyDescent="0.3">
      <c r="V113" s="36"/>
      <c r="W113" s="249"/>
      <c r="X113" s="250"/>
      <c r="Y113" s="37"/>
      <c r="Z113" s="38"/>
      <c r="AA113" s="38"/>
      <c r="AB113" s="38" t="str">
        <f t="shared" si="140"/>
        <v/>
      </c>
      <c r="AC113" s="38" t="str">
        <f t="shared" si="141"/>
        <v/>
      </c>
      <c r="AD113" s="247"/>
      <c r="AE113" s="248"/>
      <c r="AF113" s="39"/>
      <c r="AG113" s="39"/>
      <c r="AH113" s="39"/>
      <c r="AI113" s="39"/>
      <c r="AJ113" s="39"/>
      <c r="AK113" s="39"/>
      <c r="AL113" s="39"/>
      <c r="AM113" s="39"/>
      <c r="AN113" s="39"/>
      <c r="AO113" s="39"/>
      <c r="AP113" s="22"/>
      <c r="AQ113" s="36" t="str">
        <f t="shared" si="142"/>
        <v/>
      </c>
      <c r="AR113" s="287" t="str">
        <f t="shared" si="143"/>
        <v/>
      </c>
      <c r="AS113" s="288"/>
      <c r="AT113" s="37" t="str">
        <f t="shared" si="144"/>
        <v/>
      </c>
      <c r="AU113" s="37" t="str">
        <f t="shared" si="145"/>
        <v/>
      </c>
      <c r="AV113" s="37" t="str">
        <f t="shared" si="146"/>
        <v/>
      </c>
      <c r="AW113" s="38" t="str">
        <f t="shared" si="147"/>
        <v/>
      </c>
      <c r="AX113" s="38" t="str">
        <f t="shared" si="148"/>
        <v/>
      </c>
      <c r="AY113" s="38" t="str">
        <f t="shared" si="149"/>
        <v/>
      </c>
      <c r="AZ113" s="39"/>
      <c r="BA113" s="39"/>
      <c r="BB113" s="39"/>
      <c r="BC113" s="39"/>
      <c r="BD113" s="39"/>
      <c r="BE113" s="39"/>
      <c r="BF113" s="39"/>
      <c r="BG113" s="39"/>
      <c r="BH113" s="39"/>
      <c r="BI113" s="39"/>
      <c r="BJ113" s="39"/>
      <c r="BK113" s="40"/>
      <c r="BL113" s="212" t="s">
        <v>106</v>
      </c>
      <c r="BM113" s="205"/>
      <c r="BN113" s="206"/>
      <c r="BO113" s="213" t="s">
        <v>107</v>
      </c>
      <c r="BP113" s="159"/>
      <c r="BQ113" s="43"/>
      <c r="BR113" s="220" t="s">
        <v>108</v>
      </c>
      <c r="BS113" s="44" t="s">
        <v>109</v>
      </c>
      <c r="BT113" s="45"/>
      <c r="BU113" s="220" t="s">
        <v>110</v>
      </c>
      <c r="BV113" s="119"/>
      <c r="BW113" s="120"/>
      <c r="BX113" s="121"/>
      <c r="BY113" s="122"/>
      <c r="BZ113" s="123"/>
      <c r="CA113" s="123"/>
      <c r="CB113" s="124"/>
      <c r="CC113" s="122"/>
      <c r="CD113" s="123"/>
      <c r="CE113" s="123"/>
      <c r="CF113" s="215"/>
      <c r="CG113" s="2">
        <f t="shared" si="137"/>
        <v>0</v>
      </c>
      <c r="CH113" s="2">
        <f t="shared" si="132"/>
        <v>0</v>
      </c>
      <c r="CI113" s="2">
        <f t="shared" si="133"/>
        <v>0</v>
      </c>
      <c r="CJ113" s="2">
        <f t="shared" si="133"/>
        <v>0</v>
      </c>
      <c r="CK113" s="2">
        <f t="shared" si="133"/>
        <v>0</v>
      </c>
      <c r="CL113" s="2" t="str">
        <f t="shared" si="133"/>
        <v/>
      </c>
      <c r="CM113" s="2" t="str">
        <f t="shared" si="133"/>
        <v/>
      </c>
      <c r="CN113" s="2">
        <f t="shared" si="133"/>
        <v>0</v>
      </c>
      <c r="CO113" s="2">
        <f t="shared" si="134"/>
        <v>0</v>
      </c>
      <c r="CP113" s="2">
        <f t="shared" si="134"/>
        <v>0</v>
      </c>
      <c r="CQ113" s="2">
        <f t="shared" si="134"/>
        <v>0</v>
      </c>
      <c r="CR113" s="2">
        <f t="shared" si="134"/>
        <v>0</v>
      </c>
      <c r="CS113" s="2">
        <f t="shared" si="134"/>
        <v>0</v>
      </c>
      <c r="CT113" s="2">
        <f t="shared" si="134"/>
        <v>0</v>
      </c>
      <c r="CU113" s="2">
        <f t="shared" si="134"/>
        <v>0</v>
      </c>
      <c r="CV113" s="2">
        <f t="shared" si="134"/>
        <v>0</v>
      </c>
      <c r="CW113" s="2">
        <f t="shared" si="134"/>
        <v>0</v>
      </c>
      <c r="CX113" s="2">
        <f t="shared" si="134"/>
        <v>0</v>
      </c>
      <c r="DF113" s="2">
        <f t="shared" si="138"/>
        <v>0</v>
      </c>
      <c r="DG113" s="2">
        <f t="shared" si="135"/>
        <v>0</v>
      </c>
      <c r="DH113" s="2">
        <f t="shared" si="135"/>
        <v>0</v>
      </c>
      <c r="DI113" s="2">
        <f t="shared" si="135"/>
        <v>0</v>
      </c>
      <c r="DJ113" s="2">
        <f t="shared" si="135"/>
        <v>0</v>
      </c>
      <c r="DK113" s="2">
        <f t="shared" si="135"/>
        <v>0</v>
      </c>
      <c r="DL113" s="2">
        <f t="shared" si="135"/>
        <v>0</v>
      </c>
      <c r="DM113" s="2">
        <f t="shared" si="135"/>
        <v>0</v>
      </c>
      <c r="DN113" s="2">
        <f t="shared" si="135"/>
        <v>0</v>
      </c>
      <c r="DO113" s="2">
        <f t="shared" si="135"/>
        <v>0</v>
      </c>
      <c r="DP113" s="2">
        <f t="shared" si="135"/>
        <v>0</v>
      </c>
      <c r="DQ113" s="2">
        <f t="shared" si="135"/>
        <v>0</v>
      </c>
      <c r="DR113" s="2">
        <f t="shared" si="139"/>
        <v>0</v>
      </c>
      <c r="DS113" s="2">
        <f t="shared" si="136"/>
        <v>0</v>
      </c>
      <c r="DT113" s="2">
        <f t="shared" si="136"/>
        <v>0</v>
      </c>
      <c r="DU113" s="2">
        <f t="shared" si="136"/>
        <v>0</v>
      </c>
      <c r="DV113" s="2">
        <f t="shared" si="136"/>
        <v>0</v>
      </c>
      <c r="DW113" s="2">
        <f t="shared" si="136"/>
        <v>0</v>
      </c>
      <c r="DX113" s="2">
        <f t="shared" si="136"/>
        <v>0</v>
      </c>
      <c r="DY113" s="2">
        <f t="shared" si="136"/>
        <v>0</v>
      </c>
      <c r="DZ113" s="2">
        <f t="shared" si="136"/>
        <v>0</v>
      </c>
      <c r="EA113" s="2">
        <f t="shared" si="136"/>
        <v>0</v>
      </c>
      <c r="EB113" s="2">
        <f t="shared" si="136"/>
        <v>0</v>
      </c>
      <c r="EC113" s="2">
        <f t="shared" si="136"/>
        <v>0</v>
      </c>
      <c r="ED113" s="2">
        <f t="shared" si="136"/>
        <v>0</v>
      </c>
      <c r="EE113" s="2">
        <f t="shared" si="136"/>
        <v>0</v>
      </c>
      <c r="EF113" s="2">
        <f t="shared" si="136"/>
        <v>0</v>
      </c>
      <c r="EG113" s="2">
        <f t="shared" si="136"/>
        <v>0</v>
      </c>
      <c r="EH113" s="2">
        <f t="shared" si="136"/>
        <v>0</v>
      </c>
      <c r="EI113" s="2">
        <f t="shared" si="136"/>
        <v>0</v>
      </c>
      <c r="EJ113" s="2">
        <f t="shared" si="136"/>
        <v>0</v>
      </c>
      <c r="EK113" s="2">
        <f t="shared" si="136"/>
        <v>0</v>
      </c>
      <c r="EL113" s="2">
        <f t="shared" si="136"/>
        <v>0</v>
      </c>
    </row>
    <row r="114" spans="22:142" ht="14.4" customHeight="1" x14ac:dyDescent="0.3">
      <c r="V114" s="36"/>
      <c r="W114" s="249"/>
      <c r="X114" s="250"/>
      <c r="Y114" s="37"/>
      <c r="Z114" s="38"/>
      <c r="AA114" s="38"/>
      <c r="AB114" s="38" t="str">
        <f t="shared" si="140"/>
        <v/>
      </c>
      <c r="AC114" s="38" t="str">
        <f t="shared" si="141"/>
        <v/>
      </c>
      <c r="AD114" s="247"/>
      <c r="AE114" s="248"/>
      <c r="AF114" s="39"/>
      <c r="AG114" s="39"/>
      <c r="AH114" s="39"/>
      <c r="AI114" s="39"/>
      <c r="AJ114" s="39"/>
      <c r="AK114" s="39"/>
      <c r="AL114" s="39"/>
      <c r="AM114" s="39"/>
      <c r="AN114" s="39"/>
      <c r="AO114" s="39"/>
      <c r="AP114" s="22"/>
      <c r="AQ114" s="36" t="str">
        <f t="shared" si="142"/>
        <v/>
      </c>
      <c r="AR114" s="287" t="str">
        <f t="shared" si="143"/>
        <v/>
      </c>
      <c r="AS114" s="288"/>
      <c r="AT114" s="37" t="str">
        <f t="shared" si="144"/>
        <v/>
      </c>
      <c r="AU114" s="37" t="str">
        <f t="shared" si="145"/>
        <v/>
      </c>
      <c r="AV114" s="37" t="str">
        <f t="shared" si="146"/>
        <v/>
      </c>
      <c r="AW114" s="38" t="str">
        <f t="shared" si="147"/>
        <v/>
      </c>
      <c r="AX114" s="38" t="str">
        <f t="shared" si="148"/>
        <v/>
      </c>
      <c r="AY114" s="38" t="str">
        <f t="shared" si="149"/>
        <v/>
      </c>
      <c r="AZ114" s="39"/>
      <c r="BA114" s="39"/>
      <c r="BB114" s="39"/>
      <c r="BC114" s="39"/>
      <c r="BD114" s="39"/>
      <c r="BE114" s="39"/>
      <c r="BF114" s="39"/>
      <c r="BG114" s="39"/>
      <c r="BH114" s="39"/>
      <c r="BI114" s="39"/>
      <c r="BJ114" s="39"/>
      <c r="BK114" s="40"/>
      <c r="BL114" s="199" t="s">
        <v>111</v>
      </c>
      <c r="BM114" s="154"/>
      <c r="BN114" s="200"/>
      <c r="BO114" s="201"/>
      <c r="BP114" s="202"/>
      <c r="BQ114" s="203"/>
      <c r="BR114" s="221"/>
      <c r="BS114" s="44" t="s">
        <v>112</v>
      </c>
      <c r="BT114" s="45"/>
      <c r="BU114" s="221"/>
      <c r="BV114" s="125"/>
      <c r="BW114" s="126"/>
      <c r="BX114" s="127"/>
      <c r="BY114" s="122"/>
      <c r="BZ114" s="123"/>
      <c r="CA114" s="123"/>
      <c r="CB114" s="124"/>
      <c r="CC114" s="122"/>
      <c r="CD114" s="123"/>
      <c r="CE114" s="123"/>
      <c r="CF114" s="215"/>
      <c r="CG114" s="2">
        <f t="shared" si="137"/>
        <v>0</v>
      </c>
      <c r="CH114" s="2">
        <f t="shared" si="132"/>
        <v>0</v>
      </c>
      <c r="CI114" s="2">
        <f t="shared" si="133"/>
        <v>0</v>
      </c>
      <c r="CJ114" s="2">
        <f t="shared" si="133"/>
        <v>0</v>
      </c>
      <c r="CK114" s="2">
        <f t="shared" si="133"/>
        <v>0</v>
      </c>
      <c r="CL114" s="2" t="str">
        <f t="shared" si="133"/>
        <v/>
      </c>
      <c r="CM114" s="2" t="str">
        <f t="shared" si="133"/>
        <v/>
      </c>
      <c r="CN114" s="2">
        <f t="shared" si="133"/>
        <v>0</v>
      </c>
      <c r="CO114" s="2">
        <f t="shared" si="134"/>
        <v>0</v>
      </c>
      <c r="CP114" s="2">
        <f t="shared" si="134"/>
        <v>0</v>
      </c>
      <c r="CQ114" s="2">
        <f t="shared" si="134"/>
        <v>0</v>
      </c>
      <c r="CR114" s="2">
        <f t="shared" si="134"/>
        <v>0</v>
      </c>
      <c r="CS114" s="2">
        <f t="shared" si="134"/>
        <v>0</v>
      </c>
      <c r="CT114" s="2">
        <f t="shared" si="134"/>
        <v>0</v>
      </c>
      <c r="CU114" s="2">
        <f t="shared" si="134"/>
        <v>0</v>
      </c>
      <c r="CV114" s="2">
        <f t="shared" si="134"/>
        <v>0</v>
      </c>
      <c r="CW114" s="2">
        <f t="shared" si="134"/>
        <v>0</v>
      </c>
      <c r="CX114" s="2">
        <f t="shared" si="134"/>
        <v>0</v>
      </c>
      <c r="DF114" s="2">
        <f t="shared" si="138"/>
        <v>0</v>
      </c>
      <c r="DG114" s="2">
        <f t="shared" si="135"/>
        <v>0</v>
      </c>
      <c r="DH114" s="2">
        <f t="shared" si="135"/>
        <v>0</v>
      </c>
      <c r="DI114" s="2">
        <f t="shared" si="135"/>
        <v>0</v>
      </c>
      <c r="DJ114" s="2">
        <f t="shared" si="135"/>
        <v>0</v>
      </c>
      <c r="DK114" s="2">
        <f t="shared" si="135"/>
        <v>0</v>
      </c>
      <c r="DL114" s="2">
        <f t="shared" si="135"/>
        <v>0</v>
      </c>
      <c r="DM114" s="2">
        <f t="shared" si="135"/>
        <v>0</v>
      </c>
      <c r="DN114" s="2">
        <f t="shared" si="135"/>
        <v>0</v>
      </c>
      <c r="DO114" s="2">
        <f t="shared" si="135"/>
        <v>0</v>
      </c>
      <c r="DP114" s="2">
        <f t="shared" si="135"/>
        <v>0</v>
      </c>
      <c r="DQ114" s="2">
        <f t="shared" si="135"/>
        <v>0</v>
      </c>
      <c r="DR114" s="2">
        <f t="shared" si="139"/>
        <v>0</v>
      </c>
      <c r="DS114" s="2">
        <f t="shared" si="136"/>
        <v>0</v>
      </c>
      <c r="DT114" s="2">
        <f t="shared" si="136"/>
        <v>0</v>
      </c>
      <c r="DU114" s="2">
        <f t="shared" si="136"/>
        <v>0</v>
      </c>
      <c r="DV114" s="2">
        <f t="shared" si="136"/>
        <v>0</v>
      </c>
      <c r="DW114" s="2">
        <f t="shared" si="136"/>
        <v>0</v>
      </c>
      <c r="DX114" s="2">
        <f t="shared" si="136"/>
        <v>0</v>
      </c>
      <c r="DY114" s="2">
        <f t="shared" si="136"/>
        <v>0</v>
      </c>
      <c r="DZ114" s="2">
        <f t="shared" si="136"/>
        <v>0</v>
      </c>
      <c r="EA114" s="2">
        <f t="shared" si="136"/>
        <v>0</v>
      </c>
      <c r="EB114" s="2">
        <f t="shared" si="136"/>
        <v>0</v>
      </c>
      <c r="EC114" s="2">
        <f t="shared" si="136"/>
        <v>0</v>
      </c>
      <c r="ED114" s="2">
        <f t="shared" si="136"/>
        <v>0</v>
      </c>
      <c r="EE114" s="2">
        <f t="shared" si="136"/>
        <v>0</v>
      </c>
      <c r="EF114" s="2">
        <f t="shared" si="136"/>
        <v>0</v>
      </c>
      <c r="EG114" s="2">
        <f t="shared" si="136"/>
        <v>0</v>
      </c>
      <c r="EH114" s="2">
        <f t="shared" si="136"/>
        <v>0</v>
      </c>
      <c r="EI114" s="2">
        <f t="shared" si="136"/>
        <v>0</v>
      </c>
      <c r="EJ114" s="2">
        <f t="shared" si="136"/>
        <v>0</v>
      </c>
      <c r="EK114" s="2">
        <f t="shared" si="136"/>
        <v>0</v>
      </c>
      <c r="EL114" s="2">
        <f t="shared" si="136"/>
        <v>0</v>
      </c>
    </row>
    <row r="115" spans="22:142" ht="14.4" customHeight="1" x14ac:dyDescent="0.3">
      <c r="V115" s="36"/>
      <c r="W115" s="249"/>
      <c r="X115" s="250"/>
      <c r="Y115" s="37"/>
      <c r="Z115" s="38"/>
      <c r="AA115" s="38"/>
      <c r="AB115" s="38" t="str">
        <f t="shared" si="140"/>
        <v/>
      </c>
      <c r="AC115" s="38" t="str">
        <f t="shared" si="141"/>
        <v/>
      </c>
      <c r="AD115" s="247"/>
      <c r="AE115" s="248"/>
      <c r="AF115" s="39"/>
      <c r="AG115" s="39"/>
      <c r="AH115" s="39"/>
      <c r="AI115" s="39"/>
      <c r="AJ115" s="39"/>
      <c r="AK115" s="39"/>
      <c r="AL115" s="39"/>
      <c r="AM115" s="39"/>
      <c r="AN115" s="39"/>
      <c r="AO115" s="39"/>
      <c r="AP115" s="22"/>
      <c r="AQ115" s="36" t="str">
        <f t="shared" si="142"/>
        <v/>
      </c>
      <c r="AR115" s="287" t="str">
        <f t="shared" si="143"/>
        <v/>
      </c>
      <c r="AS115" s="288"/>
      <c r="AT115" s="37" t="str">
        <f t="shared" si="144"/>
        <v/>
      </c>
      <c r="AU115" s="37" t="str">
        <f t="shared" si="145"/>
        <v/>
      </c>
      <c r="AV115" s="37" t="str">
        <f t="shared" si="146"/>
        <v/>
      </c>
      <c r="AW115" s="38" t="str">
        <f t="shared" si="147"/>
        <v/>
      </c>
      <c r="AX115" s="38" t="str">
        <f t="shared" si="148"/>
        <v/>
      </c>
      <c r="AY115" s="38" t="str">
        <f t="shared" si="149"/>
        <v/>
      </c>
      <c r="AZ115" s="39"/>
      <c r="BA115" s="39"/>
      <c r="BB115" s="39"/>
      <c r="BC115" s="39"/>
      <c r="BD115" s="39"/>
      <c r="BE115" s="39"/>
      <c r="BF115" s="39"/>
      <c r="BG115" s="39"/>
      <c r="BH115" s="39"/>
      <c r="BI115" s="39"/>
      <c r="BJ115" s="39"/>
      <c r="BK115" s="40"/>
      <c r="BL115" s="170"/>
      <c r="BM115" s="171"/>
      <c r="BN115" s="172"/>
      <c r="BO115" s="179"/>
      <c r="BP115" s="171"/>
      <c r="BQ115" s="172"/>
      <c r="BR115" s="179"/>
      <c r="BS115" s="171"/>
      <c r="BT115" s="171"/>
      <c r="BU115" s="171"/>
      <c r="BV115" s="171"/>
      <c r="BW115" s="171"/>
      <c r="BX115" s="172"/>
      <c r="BY115" s="122"/>
      <c r="BZ115" s="123"/>
      <c r="CA115" s="123"/>
      <c r="CB115" s="124"/>
      <c r="CC115" s="122"/>
      <c r="CD115" s="123"/>
      <c r="CE115" s="123"/>
      <c r="CF115" s="215"/>
      <c r="CG115" s="2">
        <f t="shared" si="137"/>
        <v>0</v>
      </c>
      <c r="CH115" s="2">
        <f t="shared" si="132"/>
        <v>0</v>
      </c>
      <c r="CI115" s="2">
        <f t="shared" si="133"/>
        <v>0</v>
      </c>
      <c r="CJ115" s="2">
        <f t="shared" si="133"/>
        <v>0</v>
      </c>
      <c r="CK115" s="2">
        <f t="shared" si="133"/>
        <v>0</v>
      </c>
      <c r="CL115" s="2" t="str">
        <f t="shared" si="133"/>
        <v/>
      </c>
      <c r="CM115" s="2" t="str">
        <f t="shared" si="133"/>
        <v/>
      </c>
      <c r="CN115" s="2">
        <f t="shared" si="133"/>
        <v>0</v>
      </c>
      <c r="CO115" s="2">
        <f t="shared" si="134"/>
        <v>0</v>
      </c>
      <c r="CP115" s="2">
        <f t="shared" si="134"/>
        <v>0</v>
      </c>
      <c r="CQ115" s="2">
        <f t="shared" si="134"/>
        <v>0</v>
      </c>
      <c r="CR115" s="2">
        <f t="shared" si="134"/>
        <v>0</v>
      </c>
      <c r="CS115" s="2">
        <f t="shared" si="134"/>
        <v>0</v>
      </c>
      <c r="CT115" s="2">
        <f t="shared" si="134"/>
        <v>0</v>
      </c>
      <c r="CU115" s="2">
        <f t="shared" si="134"/>
        <v>0</v>
      </c>
      <c r="CV115" s="2">
        <f t="shared" si="134"/>
        <v>0</v>
      </c>
      <c r="CW115" s="2">
        <f t="shared" si="134"/>
        <v>0</v>
      </c>
      <c r="CX115" s="2">
        <f t="shared" si="134"/>
        <v>0</v>
      </c>
      <c r="DF115" s="2">
        <f t="shared" si="138"/>
        <v>0</v>
      </c>
      <c r="DG115" s="2">
        <f t="shared" si="135"/>
        <v>0</v>
      </c>
      <c r="DH115" s="2">
        <f t="shared" si="135"/>
        <v>0</v>
      </c>
      <c r="DI115" s="2">
        <f t="shared" si="135"/>
        <v>0</v>
      </c>
      <c r="DJ115" s="2">
        <f t="shared" si="135"/>
        <v>0</v>
      </c>
      <c r="DK115" s="2">
        <f t="shared" si="135"/>
        <v>0</v>
      </c>
      <c r="DL115" s="2">
        <f t="shared" si="135"/>
        <v>0</v>
      </c>
      <c r="DM115" s="2">
        <f t="shared" si="135"/>
        <v>0</v>
      </c>
      <c r="DN115" s="2">
        <f t="shared" si="135"/>
        <v>0</v>
      </c>
      <c r="DO115" s="2">
        <f t="shared" si="135"/>
        <v>0</v>
      </c>
      <c r="DP115" s="2">
        <f t="shared" si="135"/>
        <v>0</v>
      </c>
      <c r="DQ115" s="2">
        <f t="shared" si="135"/>
        <v>0</v>
      </c>
      <c r="DR115" s="2">
        <f t="shared" si="139"/>
        <v>0</v>
      </c>
      <c r="DS115" s="2">
        <f t="shared" si="136"/>
        <v>0</v>
      </c>
      <c r="DT115" s="2">
        <f t="shared" si="136"/>
        <v>0</v>
      </c>
      <c r="DU115" s="2">
        <f t="shared" si="136"/>
        <v>0</v>
      </c>
      <c r="DV115" s="2">
        <f t="shared" si="136"/>
        <v>0</v>
      </c>
      <c r="DW115" s="2">
        <f t="shared" si="136"/>
        <v>0</v>
      </c>
      <c r="DX115" s="2">
        <f t="shared" si="136"/>
        <v>0</v>
      </c>
      <c r="DY115" s="2">
        <f t="shared" si="136"/>
        <v>0</v>
      </c>
      <c r="DZ115" s="2">
        <f t="shared" si="136"/>
        <v>0</v>
      </c>
      <c r="EA115" s="2">
        <f t="shared" si="136"/>
        <v>0</v>
      </c>
      <c r="EB115" s="2">
        <f t="shared" si="136"/>
        <v>0</v>
      </c>
      <c r="EC115" s="2">
        <f t="shared" si="136"/>
        <v>0</v>
      </c>
      <c r="ED115" s="2">
        <f t="shared" si="136"/>
        <v>0</v>
      </c>
      <c r="EE115" s="2">
        <f t="shared" si="136"/>
        <v>0</v>
      </c>
      <c r="EF115" s="2">
        <f t="shared" si="136"/>
        <v>0</v>
      </c>
      <c r="EG115" s="2">
        <f t="shared" si="136"/>
        <v>0</v>
      </c>
      <c r="EH115" s="2">
        <f t="shared" si="136"/>
        <v>0</v>
      </c>
      <c r="EI115" s="2">
        <f t="shared" si="136"/>
        <v>0</v>
      </c>
      <c r="EJ115" s="2">
        <f t="shared" si="136"/>
        <v>0</v>
      </c>
      <c r="EK115" s="2">
        <f t="shared" si="136"/>
        <v>0</v>
      </c>
      <c r="EL115" s="2">
        <f t="shared" si="136"/>
        <v>0</v>
      </c>
    </row>
    <row r="116" spans="22:142" ht="14.4" customHeight="1" x14ac:dyDescent="0.3">
      <c r="V116" s="36"/>
      <c r="W116" s="249"/>
      <c r="X116" s="250"/>
      <c r="Y116" s="37"/>
      <c r="Z116" s="38"/>
      <c r="AA116" s="38"/>
      <c r="AB116" s="38" t="str">
        <f t="shared" si="140"/>
        <v/>
      </c>
      <c r="AC116" s="38" t="str">
        <f t="shared" si="141"/>
        <v/>
      </c>
      <c r="AD116" s="247"/>
      <c r="AE116" s="248"/>
      <c r="AF116" s="39"/>
      <c r="AG116" s="39"/>
      <c r="AH116" s="39"/>
      <c r="AI116" s="39"/>
      <c r="AJ116" s="39"/>
      <c r="AK116" s="39"/>
      <c r="AL116" s="39"/>
      <c r="AM116" s="39"/>
      <c r="AN116" s="39"/>
      <c r="AO116" s="39"/>
      <c r="AP116" s="22"/>
      <c r="AQ116" s="36" t="str">
        <f t="shared" si="142"/>
        <v/>
      </c>
      <c r="AR116" s="287" t="str">
        <f t="shared" si="143"/>
        <v/>
      </c>
      <c r="AS116" s="288"/>
      <c r="AT116" s="37" t="str">
        <f t="shared" si="144"/>
        <v/>
      </c>
      <c r="AU116" s="37" t="str">
        <f t="shared" si="145"/>
        <v/>
      </c>
      <c r="AV116" s="37" t="str">
        <f t="shared" si="146"/>
        <v/>
      </c>
      <c r="AW116" s="38" t="str">
        <f t="shared" si="147"/>
        <v/>
      </c>
      <c r="AX116" s="38" t="str">
        <f t="shared" si="148"/>
        <v/>
      </c>
      <c r="AY116" s="38" t="str">
        <f t="shared" si="149"/>
        <v/>
      </c>
      <c r="AZ116" s="39"/>
      <c r="BA116" s="39"/>
      <c r="BB116" s="39"/>
      <c r="BC116" s="39"/>
      <c r="BD116" s="39"/>
      <c r="BE116" s="39"/>
      <c r="BF116" s="39"/>
      <c r="BG116" s="39"/>
      <c r="BH116" s="39"/>
      <c r="BI116" s="39"/>
      <c r="BJ116" s="39"/>
      <c r="BK116" s="40"/>
      <c r="BL116" s="173"/>
      <c r="BM116" s="174"/>
      <c r="BN116" s="175"/>
      <c r="BO116" s="180"/>
      <c r="BP116" s="174"/>
      <c r="BQ116" s="175"/>
      <c r="BR116" s="180"/>
      <c r="BS116" s="174"/>
      <c r="BT116" s="174"/>
      <c r="BU116" s="174"/>
      <c r="BV116" s="174"/>
      <c r="BW116" s="174"/>
      <c r="BX116" s="175"/>
      <c r="BY116" s="122"/>
      <c r="BZ116" s="123"/>
      <c r="CA116" s="123"/>
      <c r="CB116" s="124"/>
      <c r="CC116" s="122"/>
      <c r="CD116" s="123"/>
      <c r="CE116" s="123"/>
      <c r="CF116" s="215"/>
      <c r="CG116" s="2">
        <f>V408</f>
        <v>0</v>
      </c>
      <c r="CH116" s="2">
        <f t="shared" si="132"/>
        <v>0</v>
      </c>
      <c r="CI116" s="2">
        <f t="shared" si="133"/>
        <v>0</v>
      </c>
      <c r="CJ116" s="2">
        <f t="shared" si="133"/>
        <v>0</v>
      </c>
      <c r="CK116" s="2">
        <f t="shared" si="133"/>
        <v>0</v>
      </c>
      <c r="CL116" s="2" t="str">
        <f t="shared" si="133"/>
        <v/>
      </c>
      <c r="CM116" s="2" t="str">
        <f t="shared" si="133"/>
        <v/>
      </c>
      <c r="CN116" s="2">
        <f t="shared" si="133"/>
        <v>0</v>
      </c>
      <c r="CO116" s="2">
        <f t="shared" si="134"/>
        <v>0</v>
      </c>
      <c r="CP116" s="2">
        <f t="shared" si="134"/>
        <v>0</v>
      </c>
      <c r="CQ116" s="2">
        <f t="shared" si="134"/>
        <v>0</v>
      </c>
      <c r="CR116" s="2">
        <f t="shared" si="134"/>
        <v>0</v>
      </c>
      <c r="CS116" s="2">
        <f t="shared" si="134"/>
        <v>0</v>
      </c>
      <c r="CT116" s="2">
        <f t="shared" si="134"/>
        <v>0</v>
      </c>
      <c r="CU116" s="2">
        <f t="shared" si="134"/>
        <v>0</v>
      </c>
      <c r="CV116" s="2">
        <f t="shared" si="134"/>
        <v>0</v>
      </c>
      <c r="CW116" s="2">
        <f t="shared" si="134"/>
        <v>0</v>
      </c>
      <c r="CX116" s="2">
        <f t="shared" si="134"/>
        <v>0</v>
      </c>
      <c r="DF116" s="2">
        <f t="shared" si="138"/>
        <v>0</v>
      </c>
      <c r="DG116" s="2">
        <f t="shared" si="135"/>
        <v>0</v>
      </c>
      <c r="DH116" s="2">
        <f t="shared" si="135"/>
        <v>0</v>
      </c>
      <c r="DI116" s="2">
        <f t="shared" si="135"/>
        <v>0</v>
      </c>
      <c r="DJ116" s="2">
        <f t="shared" si="135"/>
        <v>0</v>
      </c>
      <c r="DK116" s="2">
        <f t="shared" si="135"/>
        <v>0</v>
      </c>
      <c r="DL116" s="2">
        <f t="shared" si="135"/>
        <v>0</v>
      </c>
      <c r="DM116" s="2">
        <f t="shared" si="135"/>
        <v>0</v>
      </c>
      <c r="DN116" s="2">
        <f t="shared" si="135"/>
        <v>0</v>
      </c>
      <c r="DO116" s="2">
        <f t="shared" si="135"/>
        <v>0</v>
      </c>
      <c r="DP116" s="2">
        <f t="shared" si="135"/>
        <v>0</v>
      </c>
      <c r="DQ116" s="2">
        <f t="shared" si="135"/>
        <v>0</v>
      </c>
      <c r="DR116" s="2">
        <f t="shared" si="139"/>
        <v>0</v>
      </c>
      <c r="DS116" s="2">
        <f t="shared" si="136"/>
        <v>0</v>
      </c>
      <c r="DT116" s="2">
        <f t="shared" si="136"/>
        <v>0</v>
      </c>
      <c r="DU116" s="2">
        <f t="shared" si="136"/>
        <v>0</v>
      </c>
      <c r="DV116" s="2">
        <f t="shared" si="136"/>
        <v>0</v>
      </c>
      <c r="DW116" s="2">
        <f t="shared" si="136"/>
        <v>0</v>
      </c>
      <c r="DX116" s="2">
        <f t="shared" si="136"/>
        <v>0</v>
      </c>
      <c r="DY116" s="2">
        <f t="shared" si="136"/>
        <v>0</v>
      </c>
      <c r="DZ116" s="2">
        <f t="shared" si="136"/>
        <v>0</v>
      </c>
      <c r="EA116" s="2">
        <f t="shared" si="136"/>
        <v>0</v>
      </c>
      <c r="EB116" s="2">
        <f t="shared" si="136"/>
        <v>0</v>
      </c>
      <c r="EC116" s="2">
        <f t="shared" si="136"/>
        <v>0</v>
      </c>
      <c r="ED116" s="2">
        <f t="shared" si="136"/>
        <v>0</v>
      </c>
      <c r="EE116" s="2">
        <f t="shared" si="136"/>
        <v>0</v>
      </c>
      <c r="EF116" s="2">
        <f t="shared" si="136"/>
        <v>0</v>
      </c>
      <c r="EG116" s="2">
        <f t="shared" si="136"/>
        <v>0</v>
      </c>
      <c r="EH116" s="2">
        <f t="shared" si="136"/>
        <v>0</v>
      </c>
      <c r="EI116" s="2">
        <f t="shared" si="136"/>
        <v>0</v>
      </c>
      <c r="EJ116" s="2">
        <f t="shared" si="136"/>
        <v>0</v>
      </c>
      <c r="EK116" s="2">
        <f t="shared" si="136"/>
        <v>0</v>
      </c>
      <c r="EL116" s="2">
        <f t="shared" si="136"/>
        <v>0</v>
      </c>
    </row>
    <row r="117" spans="22:142" ht="14.4" customHeight="1" x14ac:dyDescent="0.3">
      <c r="V117" s="36"/>
      <c r="W117" s="249"/>
      <c r="X117" s="250"/>
      <c r="Y117" s="37"/>
      <c r="Z117" s="38"/>
      <c r="AA117" s="38"/>
      <c r="AB117" s="38" t="str">
        <f t="shared" si="140"/>
        <v/>
      </c>
      <c r="AC117" s="38" t="str">
        <f t="shared" si="141"/>
        <v/>
      </c>
      <c r="AD117" s="247"/>
      <c r="AE117" s="248"/>
      <c r="AF117" s="39"/>
      <c r="AG117" s="39"/>
      <c r="AH117" s="39"/>
      <c r="AI117" s="39"/>
      <c r="AJ117" s="39"/>
      <c r="AK117" s="39"/>
      <c r="AL117" s="39"/>
      <c r="AM117" s="39"/>
      <c r="AN117" s="39"/>
      <c r="AO117" s="39"/>
      <c r="AP117" s="22"/>
      <c r="AQ117" s="36" t="str">
        <f t="shared" si="142"/>
        <v/>
      </c>
      <c r="AR117" s="287" t="str">
        <f t="shared" si="143"/>
        <v/>
      </c>
      <c r="AS117" s="288"/>
      <c r="AT117" s="37" t="str">
        <f t="shared" si="144"/>
        <v/>
      </c>
      <c r="AU117" s="37" t="str">
        <f t="shared" si="145"/>
        <v/>
      </c>
      <c r="AV117" s="37" t="str">
        <f t="shared" si="146"/>
        <v/>
      </c>
      <c r="AW117" s="38" t="str">
        <f t="shared" si="147"/>
        <v/>
      </c>
      <c r="AX117" s="38" t="str">
        <f t="shared" si="148"/>
        <v/>
      </c>
      <c r="AY117" s="38" t="str">
        <f t="shared" si="149"/>
        <v/>
      </c>
      <c r="AZ117" s="39"/>
      <c r="BA117" s="39"/>
      <c r="BB117" s="39"/>
      <c r="BC117" s="39"/>
      <c r="BD117" s="39"/>
      <c r="BE117" s="39"/>
      <c r="BF117" s="39"/>
      <c r="BG117" s="39"/>
      <c r="BH117" s="39"/>
      <c r="BI117" s="39"/>
      <c r="BJ117" s="39"/>
      <c r="BK117" s="40"/>
      <c r="BL117" s="173"/>
      <c r="BM117" s="174"/>
      <c r="BN117" s="175"/>
      <c r="BO117" s="180"/>
      <c r="BP117" s="174"/>
      <c r="BQ117" s="175"/>
      <c r="BR117" s="180"/>
      <c r="BS117" s="174"/>
      <c r="BT117" s="174"/>
      <c r="BU117" s="174"/>
      <c r="BV117" s="174"/>
      <c r="BW117" s="174"/>
      <c r="BX117" s="175"/>
      <c r="BY117" s="122"/>
      <c r="BZ117" s="123"/>
      <c r="CA117" s="123"/>
      <c r="CB117" s="124"/>
      <c r="CC117" s="122"/>
      <c r="CD117" s="123"/>
      <c r="CE117" s="123"/>
      <c r="CF117" s="215"/>
      <c r="CG117" s="2">
        <f t="shared" ref="CG117:CG118" si="150">V409</f>
        <v>0</v>
      </c>
      <c r="CH117" s="2">
        <f t="shared" si="132"/>
        <v>0</v>
      </c>
      <c r="CI117" s="2">
        <f t="shared" si="133"/>
        <v>0</v>
      </c>
      <c r="CJ117" s="2">
        <f t="shared" si="133"/>
        <v>0</v>
      </c>
      <c r="CK117" s="2">
        <f t="shared" si="133"/>
        <v>0</v>
      </c>
      <c r="CL117" s="2" t="str">
        <f t="shared" si="133"/>
        <v/>
      </c>
      <c r="CM117" s="2" t="str">
        <f t="shared" si="133"/>
        <v/>
      </c>
      <c r="CN117" s="2">
        <f t="shared" si="133"/>
        <v>0</v>
      </c>
      <c r="CO117" s="2">
        <f t="shared" si="134"/>
        <v>0</v>
      </c>
      <c r="CP117" s="2">
        <f t="shared" si="134"/>
        <v>0</v>
      </c>
      <c r="CQ117" s="2">
        <f t="shared" si="134"/>
        <v>0</v>
      </c>
      <c r="CR117" s="2">
        <f t="shared" si="134"/>
        <v>0</v>
      </c>
      <c r="CS117" s="2">
        <f t="shared" si="134"/>
        <v>0</v>
      </c>
      <c r="CT117" s="2">
        <f t="shared" si="134"/>
        <v>0</v>
      </c>
      <c r="CU117" s="2">
        <f t="shared" si="134"/>
        <v>0</v>
      </c>
      <c r="CV117" s="2">
        <f t="shared" si="134"/>
        <v>0</v>
      </c>
      <c r="CW117" s="2">
        <f t="shared" si="134"/>
        <v>0</v>
      </c>
      <c r="CX117" s="2">
        <f t="shared" si="134"/>
        <v>0</v>
      </c>
      <c r="DF117" s="2">
        <f t="shared" si="138"/>
        <v>0</v>
      </c>
      <c r="DG117" s="2">
        <f t="shared" si="135"/>
        <v>0</v>
      </c>
      <c r="DH117" s="2">
        <f t="shared" si="135"/>
        <v>0</v>
      </c>
      <c r="DI117" s="2">
        <f t="shared" si="135"/>
        <v>0</v>
      </c>
      <c r="DJ117" s="2">
        <f t="shared" si="135"/>
        <v>0</v>
      </c>
      <c r="DK117" s="2">
        <f t="shared" si="135"/>
        <v>0</v>
      </c>
      <c r="DL117" s="2">
        <f t="shared" si="135"/>
        <v>0</v>
      </c>
      <c r="DM117" s="2">
        <f t="shared" si="135"/>
        <v>0</v>
      </c>
      <c r="DN117" s="2">
        <f t="shared" si="135"/>
        <v>0</v>
      </c>
      <c r="DO117" s="2">
        <f t="shared" si="135"/>
        <v>0</v>
      </c>
      <c r="DP117" s="2">
        <f t="shared" si="135"/>
        <v>0</v>
      </c>
      <c r="DQ117" s="2">
        <f t="shared" si="135"/>
        <v>0</v>
      </c>
      <c r="DR117" s="2">
        <f t="shared" si="139"/>
        <v>0</v>
      </c>
      <c r="DS117" s="2">
        <f t="shared" si="136"/>
        <v>0</v>
      </c>
      <c r="DT117" s="2">
        <f t="shared" si="136"/>
        <v>0</v>
      </c>
      <c r="DU117" s="2">
        <f t="shared" si="136"/>
        <v>0</v>
      </c>
      <c r="DV117" s="2">
        <f t="shared" si="136"/>
        <v>0</v>
      </c>
      <c r="DW117" s="2">
        <f t="shared" si="136"/>
        <v>0</v>
      </c>
      <c r="DX117" s="2">
        <f t="shared" si="136"/>
        <v>0</v>
      </c>
      <c r="DY117" s="2">
        <f t="shared" si="136"/>
        <v>0</v>
      </c>
      <c r="DZ117" s="2">
        <f t="shared" si="136"/>
        <v>0</v>
      </c>
      <c r="EA117" s="2">
        <f t="shared" si="136"/>
        <v>0</v>
      </c>
      <c r="EB117" s="2">
        <f t="shared" si="136"/>
        <v>0</v>
      </c>
      <c r="EC117" s="2">
        <f t="shared" si="136"/>
        <v>0</v>
      </c>
      <c r="ED117" s="2">
        <f t="shared" si="136"/>
        <v>0</v>
      </c>
      <c r="EE117" s="2">
        <f t="shared" si="136"/>
        <v>0</v>
      </c>
      <c r="EF117" s="2">
        <f t="shared" si="136"/>
        <v>0</v>
      </c>
      <c r="EG117" s="2">
        <f t="shared" si="136"/>
        <v>0</v>
      </c>
      <c r="EH117" s="2">
        <f t="shared" si="136"/>
        <v>0</v>
      </c>
      <c r="EI117" s="2">
        <f t="shared" si="136"/>
        <v>0</v>
      </c>
      <c r="EJ117" s="2">
        <f t="shared" si="136"/>
        <v>0</v>
      </c>
      <c r="EK117" s="2">
        <f t="shared" si="136"/>
        <v>0</v>
      </c>
      <c r="EL117" s="2">
        <f t="shared" si="136"/>
        <v>0</v>
      </c>
    </row>
    <row r="118" spans="22:142" ht="14.4" customHeight="1" x14ac:dyDescent="0.3">
      <c r="V118" s="36"/>
      <c r="W118" s="249"/>
      <c r="X118" s="250"/>
      <c r="Y118" s="37"/>
      <c r="Z118" s="38"/>
      <c r="AA118" s="38"/>
      <c r="AB118" s="38" t="str">
        <f t="shared" si="140"/>
        <v/>
      </c>
      <c r="AC118" s="38" t="str">
        <f t="shared" si="141"/>
        <v/>
      </c>
      <c r="AD118" s="247"/>
      <c r="AE118" s="248"/>
      <c r="AF118" s="39"/>
      <c r="AG118" s="39"/>
      <c r="AH118" s="39"/>
      <c r="AI118" s="39"/>
      <c r="AJ118" s="39"/>
      <c r="AK118" s="39"/>
      <c r="AL118" s="39"/>
      <c r="AM118" s="39"/>
      <c r="AN118" s="39"/>
      <c r="AO118" s="39"/>
      <c r="AP118" s="22"/>
      <c r="AQ118" s="36" t="str">
        <f t="shared" si="142"/>
        <v/>
      </c>
      <c r="AR118" s="287" t="str">
        <f t="shared" si="143"/>
        <v/>
      </c>
      <c r="AS118" s="288"/>
      <c r="AT118" s="37" t="str">
        <f t="shared" si="144"/>
        <v/>
      </c>
      <c r="AU118" s="37" t="str">
        <f t="shared" si="145"/>
        <v/>
      </c>
      <c r="AV118" s="37" t="str">
        <f t="shared" si="146"/>
        <v/>
      </c>
      <c r="AW118" s="38" t="str">
        <f t="shared" si="147"/>
        <v/>
      </c>
      <c r="AX118" s="38" t="str">
        <f t="shared" si="148"/>
        <v/>
      </c>
      <c r="AY118" s="38" t="str">
        <f t="shared" si="149"/>
        <v/>
      </c>
      <c r="AZ118" s="39"/>
      <c r="BA118" s="39"/>
      <c r="BB118" s="39"/>
      <c r="BC118" s="39"/>
      <c r="BD118" s="39"/>
      <c r="BE118" s="39"/>
      <c r="BF118" s="39"/>
      <c r="BG118" s="39"/>
      <c r="BH118" s="39"/>
      <c r="BI118" s="39"/>
      <c r="BJ118" s="39"/>
      <c r="BK118" s="40"/>
      <c r="BL118" s="173"/>
      <c r="BM118" s="174"/>
      <c r="BN118" s="175"/>
      <c r="BO118" s="180"/>
      <c r="BP118" s="174"/>
      <c r="BQ118" s="175"/>
      <c r="BR118" s="180"/>
      <c r="BS118" s="174"/>
      <c r="BT118" s="174"/>
      <c r="BU118" s="174"/>
      <c r="BV118" s="174"/>
      <c r="BW118" s="174"/>
      <c r="BX118" s="175"/>
      <c r="BY118" s="122"/>
      <c r="BZ118" s="123"/>
      <c r="CA118" s="123"/>
      <c r="CB118" s="124"/>
      <c r="CC118" s="122"/>
      <c r="CD118" s="123"/>
      <c r="CE118" s="123"/>
      <c r="CF118" s="215"/>
      <c r="CG118" s="2">
        <f t="shared" si="150"/>
        <v>0</v>
      </c>
      <c r="CH118" s="2">
        <f t="shared" si="132"/>
        <v>0</v>
      </c>
      <c r="CI118" s="2">
        <f t="shared" si="133"/>
        <v>0</v>
      </c>
      <c r="CJ118" s="2">
        <f t="shared" si="133"/>
        <v>0</v>
      </c>
      <c r="CK118" s="2">
        <f t="shared" si="133"/>
        <v>0</v>
      </c>
      <c r="CL118" s="2" t="str">
        <f t="shared" si="133"/>
        <v/>
      </c>
      <c r="CM118" s="2" t="str">
        <f t="shared" si="133"/>
        <v/>
      </c>
      <c r="CN118" s="2">
        <f t="shared" si="133"/>
        <v>0</v>
      </c>
      <c r="CO118" s="2">
        <f t="shared" si="134"/>
        <v>0</v>
      </c>
      <c r="CP118" s="2">
        <f t="shared" si="134"/>
        <v>0</v>
      </c>
      <c r="CQ118" s="2">
        <f t="shared" si="134"/>
        <v>0</v>
      </c>
      <c r="CR118" s="2">
        <f t="shared" si="134"/>
        <v>0</v>
      </c>
      <c r="CS118" s="2">
        <f t="shared" si="134"/>
        <v>0</v>
      </c>
      <c r="CT118" s="2">
        <f t="shared" si="134"/>
        <v>0</v>
      </c>
      <c r="CU118" s="2">
        <f t="shared" si="134"/>
        <v>0</v>
      </c>
      <c r="CV118" s="2">
        <f t="shared" si="134"/>
        <v>0</v>
      </c>
      <c r="CW118" s="2">
        <f t="shared" si="134"/>
        <v>0</v>
      </c>
      <c r="CX118" s="2">
        <f t="shared" si="134"/>
        <v>0</v>
      </c>
      <c r="DF118" s="2">
        <f t="shared" si="138"/>
        <v>0</v>
      </c>
      <c r="DG118" s="2">
        <f t="shared" si="135"/>
        <v>0</v>
      </c>
      <c r="DH118" s="2">
        <f t="shared" si="135"/>
        <v>0</v>
      </c>
      <c r="DI118" s="2">
        <f t="shared" si="135"/>
        <v>0</v>
      </c>
      <c r="DJ118" s="2">
        <f t="shared" si="135"/>
        <v>0</v>
      </c>
      <c r="DK118" s="2">
        <f t="shared" si="135"/>
        <v>0</v>
      </c>
      <c r="DL118" s="2">
        <f t="shared" si="135"/>
        <v>0</v>
      </c>
      <c r="DM118" s="2">
        <f t="shared" si="135"/>
        <v>0</v>
      </c>
      <c r="DN118" s="2">
        <f t="shared" si="135"/>
        <v>0</v>
      </c>
      <c r="DO118" s="2">
        <f t="shared" si="135"/>
        <v>0</v>
      </c>
      <c r="DP118" s="2">
        <f t="shared" si="135"/>
        <v>0</v>
      </c>
      <c r="DQ118" s="2">
        <f t="shared" si="135"/>
        <v>0</v>
      </c>
      <c r="DR118" s="2">
        <f t="shared" si="139"/>
        <v>0</v>
      </c>
      <c r="DS118" s="2">
        <f t="shared" si="136"/>
        <v>0</v>
      </c>
      <c r="DT118" s="2">
        <f t="shared" si="136"/>
        <v>0</v>
      </c>
      <c r="DU118" s="2">
        <f t="shared" si="136"/>
        <v>0</v>
      </c>
      <c r="DV118" s="2">
        <f t="shared" si="136"/>
        <v>0</v>
      </c>
      <c r="DW118" s="2">
        <f t="shared" si="136"/>
        <v>0</v>
      </c>
      <c r="DX118" s="2">
        <f t="shared" si="136"/>
        <v>0</v>
      </c>
      <c r="DY118" s="2">
        <f t="shared" si="136"/>
        <v>0</v>
      </c>
      <c r="DZ118" s="2">
        <f t="shared" si="136"/>
        <v>0</v>
      </c>
      <c r="EA118" s="2">
        <f t="shared" si="136"/>
        <v>0</v>
      </c>
      <c r="EB118" s="2">
        <f t="shared" si="136"/>
        <v>0</v>
      </c>
      <c r="EC118" s="2">
        <f t="shared" si="136"/>
        <v>0</v>
      </c>
      <c r="ED118" s="2">
        <f t="shared" si="136"/>
        <v>0</v>
      </c>
      <c r="EE118" s="2">
        <f t="shared" si="136"/>
        <v>0</v>
      </c>
      <c r="EF118" s="2">
        <f t="shared" si="136"/>
        <v>0</v>
      </c>
      <c r="EG118" s="2">
        <f t="shared" si="136"/>
        <v>0</v>
      </c>
      <c r="EH118" s="2">
        <f t="shared" si="136"/>
        <v>0</v>
      </c>
      <c r="EI118" s="2">
        <f t="shared" si="136"/>
        <v>0</v>
      </c>
      <c r="EJ118" s="2">
        <f t="shared" si="136"/>
        <v>0</v>
      </c>
      <c r="EK118" s="2">
        <f t="shared" si="136"/>
        <v>0</v>
      </c>
      <c r="EL118" s="2">
        <f t="shared" si="136"/>
        <v>0</v>
      </c>
    </row>
    <row r="119" spans="22:142" ht="14.4" customHeight="1" x14ac:dyDescent="0.3">
      <c r="V119" s="36"/>
      <c r="W119" s="249"/>
      <c r="X119" s="250"/>
      <c r="Y119" s="37"/>
      <c r="Z119" s="38"/>
      <c r="AA119" s="38"/>
      <c r="AB119" s="38" t="str">
        <f t="shared" si="140"/>
        <v/>
      </c>
      <c r="AC119" s="38" t="str">
        <f t="shared" si="141"/>
        <v/>
      </c>
      <c r="AD119" s="247"/>
      <c r="AE119" s="248"/>
      <c r="AF119" s="39"/>
      <c r="AG119" s="39"/>
      <c r="AH119" s="39"/>
      <c r="AI119" s="39"/>
      <c r="AJ119" s="39"/>
      <c r="AK119" s="39"/>
      <c r="AL119" s="39"/>
      <c r="AM119" s="39"/>
      <c r="AN119" s="39"/>
      <c r="AO119" s="39"/>
      <c r="AP119" s="22"/>
      <c r="AQ119" s="36" t="str">
        <f t="shared" si="142"/>
        <v/>
      </c>
      <c r="AR119" s="287" t="str">
        <f t="shared" si="143"/>
        <v/>
      </c>
      <c r="AS119" s="288"/>
      <c r="AT119" s="37" t="str">
        <f t="shared" si="144"/>
        <v/>
      </c>
      <c r="AU119" s="37" t="str">
        <f t="shared" si="145"/>
        <v/>
      </c>
      <c r="AV119" s="37" t="str">
        <f t="shared" si="146"/>
        <v/>
      </c>
      <c r="AW119" s="38" t="str">
        <f t="shared" si="147"/>
        <v/>
      </c>
      <c r="AX119" s="38" t="str">
        <f t="shared" si="148"/>
        <v/>
      </c>
      <c r="AY119" s="38" t="str">
        <f t="shared" si="149"/>
        <v/>
      </c>
      <c r="AZ119" s="39"/>
      <c r="BA119" s="39"/>
      <c r="BB119" s="39"/>
      <c r="BC119" s="39"/>
      <c r="BD119" s="39"/>
      <c r="BE119" s="39"/>
      <c r="BF119" s="39"/>
      <c r="BG119" s="39"/>
      <c r="BH119" s="39"/>
      <c r="BI119" s="39"/>
      <c r="BJ119" s="39"/>
      <c r="BK119" s="40"/>
      <c r="BL119" s="173"/>
      <c r="BM119" s="174"/>
      <c r="BN119" s="175"/>
      <c r="BO119" s="180"/>
      <c r="BP119" s="174"/>
      <c r="BQ119" s="175"/>
      <c r="BR119" s="180"/>
      <c r="BS119" s="174"/>
      <c r="BT119" s="174"/>
      <c r="BU119" s="174"/>
      <c r="BV119" s="174"/>
      <c r="BW119" s="174"/>
      <c r="BX119" s="175"/>
      <c r="BY119" s="122"/>
      <c r="BZ119" s="123"/>
      <c r="CA119" s="123"/>
      <c r="CB119" s="124"/>
      <c r="CC119" s="122"/>
      <c r="CD119" s="123"/>
      <c r="CE119" s="123"/>
      <c r="CF119" s="215"/>
      <c r="CG119" s="2">
        <f>V447</f>
        <v>0</v>
      </c>
      <c r="CH119" s="2">
        <f t="shared" ref="CH119:CH130" si="151">W447</f>
        <v>0</v>
      </c>
      <c r="CI119" s="2">
        <f t="shared" ref="CI119:CN130" si="152">Y447</f>
        <v>0</v>
      </c>
      <c r="CJ119" s="2">
        <f t="shared" si="152"/>
        <v>0</v>
      </c>
      <c r="CK119" s="2">
        <f t="shared" si="152"/>
        <v>0</v>
      </c>
      <c r="CL119" s="2" t="str">
        <f t="shared" si="152"/>
        <v/>
      </c>
      <c r="CM119" s="2" t="str">
        <f t="shared" si="152"/>
        <v/>
      </c>
      <c r="CN119" s="2">
        <f t="shared" si="152"/>
        <v>0</v>
      </c>
      <c r="CO119" s="2">
        <f t="shared" ref="CO119:CX130" si="153">AF447</f>
        <v>0</v>
      </c>
      <c r="CP119" s="2">
        <f t="shared" si="153"/>
        <v>0</v>
      </c>
      <c r="CQ119" s="2">
        <f t="shared" si="153"/>
        <v>0</v>
      </c>
      <c r="CR119" s="2">
        <f t="shared" si="153"/>
        <v>0</v>
      </c>
      <c r="CS119" s="2">
        <f t="shared" si="153"/>
        <v>0</v>
      </c>
      <c r="CT119" s="2">
        <f t="shared" si="153"/>
        <v>0</v>
      </c>
      <c r="CU119" s="2">
        <f t="shared" si="153"/>
        <v>0</v>
      </c>
      <c r="CV119" s="2">
        <f t="shared" si="153"/>
        <v>0</v>
      </c>
      <c r="CW119" s="2">
        <f t="shared" si="153"/>
        <v>0</v>
      </c>
      <c r="CX119" s="2">
        <f t="shared" si="153"/>
        <v>0</v>
      </c>
      <c r="DF119" s="2">
        <f>AZ446</f>
        <v>0</v>
      </c>
      <c r="DG119" s="2">
        <f t="shared" ref="DG119:DQ130" si="154">BA446</f>
        <v>0</v>
      </c>
      <c r="DH119" s="2">
        <f t="shared" si="154"/>
        <v>0</v>
      </c>
      <c r="DI119" s="2">
        <f t="shared" si="154"/>
        <v>0</v>
      </c>
      <c r="DJ119" s="2">
        <f t="shared" si="154"/>
        <v>0</v>
      </c>
      <c r="DK119" s="2">
        <f t="shared" si="154"/>
        <v>0</v>
      </c>
      <c r="DL119" s="2">
        <f t="shared" si="154"/>
        <v>0</v>
      </c>
      <c r="DM119" s="2">
        <f t="shared" si="154"/>
        <v>0</v>
      </c>
      <c r="DN119" s="2">
        <f t="shared" si="154"/>
        <v>0</v>
      </c>
      <c r="DO119" s="2">
        <f t="shared" si="154"/>
        <v>0</v>
      </c>
      <c r="DP119" s="2">
        <f t="shared" si="154"/>
        <v>0</v>
      </c>
      <c r="DQ119" s="2">
        <f t="shared" si="154"/>
        <v>0</v>
      </c>
      <c r="DR119" s="2">
        <f>AQ459</f>
        <v>0</v>
      </c>
      <c r="DS119" s="2">
        <f t="shared" ref="DS119:EL130" si="155">AR459</f>
        <v>0</v>
      </c>
      <c r="DT119" s="2">
        <f t="shared" si="155"/>
        <v>0</v>
      </c>
      <c r="DU119" s="2">
        <f t="shared" si="155"/>
        <v>0</v>
      </c>
      <c r="DV119" s="2">
        <f t="shared" si="155"/>
        <v>0</v>
      </c>
      <c r="DW119" s="2">
        <f t="shared" si="155"/>
        <v>0</v>
      </c>
      <c r="DX119" s="2">
        <f t="shared" si="155"/>
        <v>0</v>
      </c>
      <c r="DY119" s="2">
        <f t="shared" si="155"/>
        <v>0</v>
      </c>
      <c r="DZ119" s="2">
        <f t="shared" si="155"/>
        <v>0</v>
      </c>
      <c r="EA119" s="2">
        <f t="shared" si="155"/>
        <v>0</v>
      </c>
      <c r="EB119" s="2">
        <f t="shared" si="155"/>
        <v>0</v>
      </c>
      <c r="EC119" s="2">
        <f t="shared" si="155"/>
        <v>0</v>
      </c>
      <c r="ED119" s="2">
        <f t="shared" si="155"/>
        <v>0</v>
      </c>
      <c r="EE119" s="2">
        <f t="shared" si="155"/>
        <v>0</v>
      </c>
      <c r="EF119" s="2">
        <f t="shared" si="155"/>
        <v>0</v>
      </c>
      <c r="EG119" s="2">
        <f t="shared" si="155"/>
        <v>0</v>
      </c>
      <c r="EH119" s="2">
        <f t="shared" si="155"/>
        <v>0</v>
      </c>
      <c r="EI119" s="2">
        <f t="shared" si="155"/>
        <v>0</v>
      </c>
      <c r="EJ119" s="2">
        <f t="shared" si="155"/>
        <v>0</v>
      </c>
      <c r="EK119" s="2">
        <f t="shared" si="155"/>
        <v>0</v>
      </c>
      <c r="EL119" s="2">
        <f t="shared" si="155"/>
        <v>0</v>
      </c>
    </row>
    <row r="120" spans="22:142" ht="14.4" customHeight="1" x14ac:dyDescent="0.3">
      <c r="V120" s="36"/>
      <c r="W120" s="249"/>
      <c r="X120" s="250"/>
      <c r="Y120" s="37"/>
      <c r="Z120" s="38"/>
      <c r="AA120" s="38"/>
      <c r="AB120" s="38" t="str">
        <f t="shared" si="140"/>
        <v/>
      </c>
      <c r="AC120" s="38" t="str">
        <f t="shared" si="141"/>
        <v/>
      </c>
      <c r="AD120" s="247"/>
      <c r="AE120" s="248"/>
      <c r="AF120" s="39"/>
      <c r="AG120" s="39"/>
      <c r="AH120" s="39"/>
      <c r="AI120" s="39"/>
      <c r="AJ120" s="39"/>
      <c r="AK120" s="39"/>
      <c r="AL120" s="39"/>
      <c r="AM120" s="39"/>
      <c r="AN120" s="39"/>
      <c r="AO120" s="39"/>
      <c r="AP120" s="22"/>
      <c r="AQ120" s="36" t="str">
        <f t="shared" si="142"/>
        <v/>
      </c>
      <c r="AR120" s="287" t="str">
        <f t="shared" si="143"/>
        <v/>
      </c>
      <c r="AS120" s="288"/>
      <c r="AT120" s="37" t="str">
        <f t="shared" si="144"/>
        <v/>
      </c>
      <c r="AU120" s="37" t="str">
        <f t="shared" si="145"/>
        <v/>
      </c>
      <c r="AV120" s="37" t="str">
        <f t="shared" si="146"/>
        <v/>
      </c>
      <c r="AW120" s="38" t="str">
        <f t="shared" si="147"/>
        <v/>
      </c>
      <c r="AX120" s="38" t="str">
        <f t="shared" si="148"/>
        <v/>
      </c>
      <c r="AY120" s="38" t="str">
        <f t="shared" si="149"/>
        <v/>
      </c>
      <c r="AZ120" s="39"/>
      <c r="BA120" s="39"/>
      <c r="BB120" s="39"/>
      <c r="BC120" s="39"/>
      <c r="BD120" s="39"/>
      <c r="BE120" s="39"/>
      <c r="BF120" s="39"/>
      <c r="BG120" s="39"/>
      <c r="BH120" s="39"/>
      <c r="BI120" s="39"/>
      <c r="BJ120" s="39"/>
      <c r="BK120" s="40"/>
      <c r="BL120" s="173"/>
      <c r="BM120" s="174"/>
      <c r="BN120" s="175"/>
      <c r="BO120" s="180"/>
      <c r="BP120" s="174"/>
      <c r="BQ120" s="175"/>
      <c r="BR120" s="180"/>
      <c r="BS120" s="174"/>
      <c r="BT120" s="174"/>
      <c r="BU120" s="174"/>
      <c r="BV120" s="174"/>
      <c r="BW120" s="174"/>
      <c r="BX120" s="175"/>
      <c r="BY120" s="122"/>
      <c r="BZ120" s="123"/>
      <c r="CA120" s="123"/>
      <c r="CB120" s="124"/>
      <c r="CC120" s="122"/>
      <c r="CD120" s="123"/>
      <c r="CE120" s="123"/>
      <c r="CF120" s="215"/>
      <c r="CG120" s="2">
        <f t="shared" ref="CG120:CG130" si="156">V448</f>
        <v>0</v>
      </c>
      <c r="CH120" s="2">
        <f t="shared" si="151"/>
        <v>0</v>
      </c>
      <c r="CI120" s="2">
        <f t="shared" si="152"/>
        <v>0</v>
      </c>
      <c r="CJ120" s="2">
        <f t="shared" si="152"/>
        <v>0</v>
      </c>
      <c r="CK120" s="2">
        <f t="shared" si="152"/>
        <v>0</v>
      </c>
      <c r="CL120" s="2" t="str">
        <f t="shared" si="152"/>
        <v/>
      </c>
      <c r="CM120" s="2" t="str">
        <f t="shared" si="152"/>
        <v/>
      </c>
      <c r="CN120" s="2">
        <f t="shared" si="152"/>
        <v>0</v>
      </c>
      <c r="CO120" s="2">
        <f t="shared" si="153"/>
        <v>0</v>
      </c>
      <c r="CP120" s="2">
        <f t="shared" si="153"/>
        <v>0</v>
      </c>
      <c r="CQ120" s="2">
        <f t="shared" si="153"/>
        <v>0</v>
      </c>
      <c r="CR120" s="2">
        <f t="shared" si="153"/>
        <v>0</v>
      </c>
      <c r="CS120" s="2">
        <f t="shared" si="153"/>
        <v>0</v>
      </c>
      <c r="CT120" s="2">
        <f t="shared" si="153"/>
        <v>0</v>
      </c>
      <c r="CU120" s="2">
        <f t="shared" si="153"/>
        <v>0</v>
      </c>
      <c r="CV120" s="2">
        <f t="shared" si="153"/>
        <v>0</v>
      </c>
      <c r="CW120" s="2">
        <f t="shared" si="153"/>
        <v>0</v>
      </c>
      <c r="CX120" s="2">
        <f t="shared" si="153"/>
        <v>0</v>
      </c>
      <c r="DF120" s="2">
        <f t="shared" ref="DF120:DF130" si="157">AZ447</f>
        <v>0</v>
      </c>
      <c r="DG120" s="2">
        <f t="shared" si="154"/>
        <v>0</v>
      </c>
      <c r="DH120" s="2">
        <f t="shared" si="154"/>
        <v>0</v>
      </c>
      <c r="DI120" s="2">
        <f t="shared" si="154"/>
        <v>0</v>
      </c>
      <c r="DJ120" s="2">
        <f t="shared" si="154"/>
        <v>0</v>
      </c>
      <c r="DK120" s="2">
        <f t="shared" si="154"/>
        <v>0</v>
      </c>
      <c r="DL120" s="2">
        <f t="shared" si="154"/>
        <v>0</v>
      </c>
      <c r="DM120" s="2">
        <f t="shared" si="154"/>
        <v>0</v>
      </c>
      <c r="DN120" s="2">
        <f t="shared" si="154"/>
        <v>0</v>
      </c>
      <c r="DO120" s="2">
        <f t="shared" si="154"/>
        <v>0</v>
      </c>
      <c r="DP120" s="2">
        <f t="shared" si="154"/>
        <v>0</v>
      </c>
      <c r="DQ120" s="2">
        <f t="shared" si="154"/>
        <v>0</v>
      </c>
      <c r="DR120" s="2">
        <f t="shared" ref="DR120:DR130" si="158">AQ460</f>
        <v>0</v>
      </c>
      <c r="DS120" s="2">
        <f t="shared" si="155"/>
        <v>0</v>
      </c>
      <c r="DT120" s="2">
        <f t="shared" si="155"/>
        <v>0</v>
      </c>
      <c r="DU120" s="2">
        <f t="shared" si="155"/>
        <v>0</v>
      </c>
      <c r="DV120" s="2">
        <f t="shared" si="155"/>
        <v>0</v>
      </c>
      <c r="DW120" s="2">
        <f t="shared" si="155"/>
        <v>0</v>
      </c>
      <c r="DX120" s="2">
        <f t="shared" si="155"/>
        <v>0</v>
      </c>
      <c r="DY120" s="2">
        <f t="shared" si="155"/>
        <v>0</v>
      </c>
      <c r="DZ120" s="2">
        <f t="shared" si="155"/>
        <v>0</v>
      </c>
      <c r="EA120" s="2">
        <f t="shared" si="155"/>
        <v>0</v>
      </c>
      <c r="EB120" s="2">
        <f t="shared" si="155"/>
        <v>0</v>
      </c>
      <c r="EC120" s="2">
        <f t="shared" si="155"/>
        <v>0</v>
      </c>
      <c r="ED120" s="2">
        <f t="shared" si="155"/>
        <v>0</v>
      </c>
      <c r="EE120" s="2">
        <f t="shared" si="155"/>
        <v>0</v>
      </c>
      <c r="EF120" s="2">
        <f t="shared" si="155"/>
        <v>0</v>
      </c>
      <c r="EG120" s="2">
        <f t="shared" si="155"/>
        <v>0</v>
      </c>
      <c r="EH120" s="2">
        <f t="shared" si="155"/>
        <v>0</v>
      </c>
      <c r="EI120" s="2">
        <f t="shared" si="155"/>
        <v>0</v>
      </c>
      <c r="EJ120" s="2">
        <f t="shared" si="155"/>
        <v>0</v>
      </c>
      <c r="EK120" s="2">
        <f t="shared" si="155"/>
        <v>0</v>
      </c>
      <c r="EL120" s="2">
        <f t="shared" si="155"/>
        <v>0</v>
      </c>
    </row>
    <row r="121" spans="22:142" ht="14.4" customHeight="1" x14ac:dyDescent="0.3">
      <c r="V121" s="36"/>
      <c r="W121" s="249"/>
      <c r="X121" s="250"/>
      <c r="Y121" s="37"/>
      <c r="Z121" s="38"/>
      <c r="AA121" s="38"/>
      <c r="AB121" s="38" t="str">
        <f t="shared" si="140"/>
        <v/>
      </c>
      <c r="AC121" s="38" t="str">
        <f t="shared" si="141"/>
        <v/>
      </c>
      <c r="AD121" s="247"/>
      <c r="AE121" s="248"/>
      <c r="AF121" s="39"/>
      <c r="AG121" s="39"/>
      <c r="AH121" s="39"/>
      <c r="AI121" s="39"/>
      <c r="AJ121" s="39"/>
      <c r="AK121" s="39"/>
      <c r="AL121" s="39"/>
      <c r="AM121" s="39"/>
      <c r="AN121" s="39"/>
      <c r="AO121" s="39"/>
      <c r="AP121" s="22"/>
      <c r="AQ121" s="36" t="str">
        <f t="shared" si="142"/>
        <v/>
      </c>
      <c r="AR121" s="287" t="str">
        <f t="shared" si="143"/>
        <v/>
      </c>
      <c r="AS121" s="288"/>
      <c r="AT121" s="37" t="str">
        <f t="shared" si="144"/>
        <v/>
      </c>
      <c r="AU121" s="37" t="str">
        <f t="shared" si="145"/>
        <v/>
      </c>
      <c r="AV121" s="37" t="str">
        <f t="shared" si="146"/>
        <v/>
      </c>
      <c r="AW121" s="38" t="str">
        <f t="shared" si="147"/>
        <v/>
      </c>
      <c r="AX121" s="38" t="str">
        <f t="shared" si="148"/>
        <v/>
      </c>
      <c r="AY121" s="38" t="str">
        <f t="shared" si="149"/>
        <v/>
      </c>
      <c r="AZ121" s="39"/>
      <c r="BA121" s="39"/>
      <c r="BB121" s="39"/>
      <c r="BC121" s="39"/>
      <c r="BD121" s="39"/>
      <c r="BE121" s="39"/>
      <c r="BF121" s="39"/>
      <c r="BG121" s="39"/>
      <c r="BH121" s="39"/>
      <c r="BI121" s="39"/>
      <c r="BJ121" s="39"/>
      <c r="BK121" s="40"/>
      <c r="BL121" s="173"/>
      <c r="BM121" s="174"/>
      <c r="BN121" s="175"/>
      <c r="BO121" s="180"/>
      <c r="BP121" s="174"/>
      <c r="BQ121" s="175"/>
      <c r="BR121" s="180"/>
      <c r="BS121" s="174"/>
      <c r="BT121" s="174"/>
      <c r="BU121" s="174"/>
      <c r="BV121" s="174"/>
      <c r="BW121" s="174"/>
      <c r="BX121" s="175"/>
      <c r="BY121" s="122"/>
      <c r="BZ121" s="123"/>
      <c r="CA121" s="123"/>
      <c r="CB121" s="124"/>
      <c r="CC121" s="122"/>
      <c r="CD121" s="123"/>
      <c r="CE121" s="123"/>
      <c r="CF121" s="215"/>
      <c r="CG121" s="2">
        <f t="shared" si="156"/>
        <v>0</v>
      </c>
      <c r="CH121" s="2">
        <f t="shared" si="151"/>
        <v>0</v>
      </c>
      <c r="CI121" s="2">
        <f t="shared" si="152"/>
        <v>0</v>
      </c>
      <c r="CJ121" s="2">
        <f t="shared" si="152"/>
        <v>0</v>
      </c>
      <c r="CK121" s="2">
        <f t="shared" si="152"/>
        <v>0</v>
      </c>
      <c r="CL121" s="2" t="str">
        <f t="shared" si="152"/>
        <v/>
      </c>
      <c r="CM121" s="2" t="str">
        <f t="shared" si="152"/>
        <v/>
      </c>
      <c r="CN121" s="2">
        <f t="shared" si="152"/>
        <v>0</v>
      </c>
      <c r="CO121" s="2">
        <f t="shared" si="153"/>
        <v>0</v>
      </c>
      <c r="CP121" s="2">
        <f t="shared" si="153"/>
        <v>0</v>
      </c>
      <c r="CQ121" s="2">
        <f t="shared" si="153"/>
        <v>0</v>
      </c>
      <c r="CR121" s="2">
        <f t="shared" si="153"/>
        <v>0</v>
      </c>
      <c r="CS121" s="2">
        <f t="shared" si="153"/>
        <v>0</v>
      </c>
      <c r="CT121" s="2">
        <f t="shared" si="153"/>
        <v>0</v>
      </c>
      <c r="CU121" s="2">
        <f t="shared" si="153"/>
        <v>0</v>
      </c>
      <c r="CV121" s="2">
        <f t="shared" si="153"/>
        <v>0</v>
      </c>
      <c r="CW121" s="2">
        <f t="shared" si="153"/>
        <v>0</v>
      </c>
      <c r="CX121" s="2">
        <f t="shared" si="153"/>
        <v>0</v>
      </c>
      <c r="DF121" s="2">
        <f t="shared" si="157"/>
        <v>0</v>
      </c>
      <c r="DG121" s="2">
        <f t="shared" si="154"/>
        <v>0</v>
      </c>
      <c r="DH121" s="2">
        <f t="shared" si="154"/>
        <v>0</v>
      </c>
      <c r="DI121" s="2">
        <f t="shared" si="154"/>
        <v>0</v>
      </c>
      <c r="DJ121" s="2">
        <f t="shared" si="154"/>
        <v>0</v>
      </c>
      <c r="DK121" s="2">
        <f t="shared" si="154"/>
        <v>0</v>
      </c>
      <c r="DL121" s="2">
        <f t="shared" si="154"/>
        <v>0</v>
      </c>
      <c r="DM121" s="2">
        <f t="shared" si="154"/>
        <v>0</v>
      </c>
      <c r="DN121" s="2">
        <f t="shared" si="154"/>
        <v>0</v>
      </c>
      <c r="DO121" s="2">
        <f t="shared" si="154"/>
        <v>0</v>
      </c>
      <c r="DP121" s="2">
        <f t="shared" si="154"/>
        <v>0</v>
      </c>
      <c r="DQ121" s="2">
        <f t="shared" si="154"/>
        <v>0</v>
      </c>
      <c r="DR121" s="2">
        <f t="shared" si="158"/>
        <v>0</v>
      </c>
      <c r="DS121" s="2">
        <f t="shared" si="155"/>
        <v>0</v>
      </c>
      <c r="DT121" s="2">
        <f t="shared" si="155"/>
        <v>0</v>
      </c>
      <c r="DU121" s="2">
        <f t="shared" si="155"/>
        <v>0</v>
      </c>
      <c r="DV121" s="2">
        <f t="shared" si="155"/>
        <v>0</v>
      </c>
      <c r="DW121" s="2">
        <f t="shared" si="155"/>
        <v>0</v>
      </c>
      <c r="DX121" s="2">
        <f t="shared" si="155"/>
        <v>0</v>
      </c>
      <c r="DY121" s="2">
        <f t="shared" si="155"/>
        <v>0</v>
      </c>
      <c r="DZ121" s="2">
        <f t="shared" si="155"/>
        <v>0</v>
      </c>
      <c r="EA121" s="2">
        <f t="shared" si="155"/>
        <v>0</v>
      </c>
      <c r="EB121" s="2">
        <f t="shared" si="155"/>
        <v>0</v>
      </c>
      <c r="EC121" s="2">
        <f t="shared" si="155"/>
        <v>0</v>
      </c>
      <c r="ED121" s="2">
        <f t="shared" si="155"/>
        <v>0</v>
      </c>
      <c r="EE121" s="2">
        <f t="shared" si="155"/>
        <v>0</v>
      </c>
      <c r="EF121" s="2">
        <f t="shared" si="155"/>
        <v>0</v>
      </c>
      <c r="EG121" s="2">
        <f t="shared" si="155"/>
        <v>0</v>
      </c>
      <c r="EH121" s="2">
        <f t="shared" si="155"/>
        <v>0</v>
      </c>
      <c r="EI121" s="2">
        <f t="shared" si="155"/>
        <v>0</v>
      </c>
      <c r="EJ121" s="2">
        <f t="shared" si="155"/>
        <v>0</v>
      </c>
      <c r="EK121" s="2">
        <f t="shared" si="155"/>
        <v>0</v>
      </c>
      <c r="EL121" s="2">
        <f t="shared" si="155"/>
        <v>0</v>
      </c>
    </row>
    <row r="122" spans="22:142" ht="14.4" customHeight="1" x14ac:dyDescent="0.3">
      <c r="V122" s="36"/>
      <c r="W122" s="249"/>
      <c r="X122" s="250"/>
      <c r="Y122" s="37"/>
      <c r="Z122" s="38"/>
      <c r="AA122" s="38"/>
      <c r="AB122" s="38" t="str">
        <f t="shared" si="140"/>
        <v/>
      </c>
      <c r="AC122" s="38" t="str">
        <f t="shared" si="141"/>
        <v/>
      </c>
      <c r="AD122" s="247"/>
      <c r="AE122" s="248"/>
      <c r="AF122" s="39"/>
      <c r="AG122" s="39"/>
      <c r="AH122" s="39"/>
      <c r="AI122" s="39"/>
      <c r="AJ122" s="39"/>
      <c r="AK122" s="39"/>
      <c r="AL122" s="39"/>
      <c r="AM122" s="39"/>
      <c r="AN122" s="39"/>
      <c r="AO122" s="39"/>
      <c r="AP122" s="22"/>
      <c r="AQ122" s="325" t="s">
        <v>73</v>
      </c>
      <c r="AR122" s="318"/>
      <c r="AS122" s="318"/>
      <c r="AT122" s="317" t="s">
        <v>74</v>
      </c>
      <c r="AU122" s="318"/>
      <c r="AV122" s="318"/>
      <c r="AW122" s="317" t="s">
        <v>75</v>
      </c>
      <c r="AX122" s="318"/>
      <c r="AY122" s="319"/>
      <c r="AZ122" s="241" t="s">
        <v>76</v>
      </c>
      <c r="BA122" s="242"/>
      <c r="BB122" s="242"/>
      <c r="BC122" s="241" t="s">
        <v>77</v>
      </c>
      <c r="BD122" s="242"/>
      <c r="BE122" s="242"/>
      <c r="BF122" s="241" t="s">
        <v>78</v>
      </c>
      <c r="BG122" s="242"/>
      <c r="BH122" s="242"/>
      <c r="BI122" s="241" t="s">
        <v>79</v>
      </c>
      <c r="BJ122" s="242"/>
      <c r="BK122" s="243"/>
      <c r="BL122" s="173"/>
      <c r="BM122" s="174"/>
      <c r="BN122" s="175"/>
      <c r="BO122" s="180"/>
      <c r="BP122" s="174"/>
      <c r="BQ122" s="175"/>
      <c r="BR122" s="180"/>
      <c r="BS122" s="174"/>
      <c r="BT122" s="174"/>
      <c r="BU122" s="174"/>
      <c r="BV122" s="174"/>
      <c r="BW122" s="174"/>
      <c r="BX122" s="175"/>
      <c r="BY122" s="122"/>
      <c r="BZ122" s="123"/>
      <c r="CA122" s="123"/>
      <c r="CB122" s="124"/>
      <c r="CC122" s="122"/>
      <c r="CD122" s="123"/>
      <c r="CE122" s="123"/>
      <c r="CF122" s="215"/>
      <c r="CG122" s="2">
        <f t="shared" si="156"/>
        <v>0</v>
      </c>
      <c r="CH122" s="2">
        <f t="shared" si="151"/>
        <v>0</v>
      </c>
      <c r="CI122" s="2">
        <f t="shared" si="152"/>
        <v>0</v>
      </c>
      <c r="CJ122" s="2">
        <f t="shared" si="152"/>
        <v>0</v>
      </c>
      <c r="CK122" s="2">
        <f t="shared" si="152"/>
        <v>0</v>
      </c>
      <c r="CL122" s="2" t="str">
        <f t="shared" si="152"/>
        <v/>
      </c>
      <c r="CM122" s="2" t="str">
        <f t="shared" si="152"/>
        <v/>
      </c>
      <c r="CN122" s="2">
        <f t="shared" si="152"/>
        <v>0</v>
      </c>
      <c r="CO122" s="2">
        <f t="shared" si="153"/>
        <v>0</v>
      </c>
      <c r="CP122" s="2">
        <f t="shared" si="153"/>
        <v>0</v>
      </c>
      <c r="CQ122" s="2">
        <f t="shared" si="153"/>
        <v>0</v>
      </c>
      <c r="CR122" s="2">
        <f t="shared" si="153"/>
        <v>0</v>
      </c>
      <c r="CS122" s="2">
        <f t="shared" si="153"/>
        <v>0</v>
      </c>
      <c r="CT122" s="2">
        <f t="shared" si="153"/>
        <v>0</v>
      </c>
      <c r="CU122" s="2">
        <f t="shared" si="153"/>
        <v>0</v>
      </c>
      <c r="CV122" s="2">
        <f t="shared" si="153"/>
        <v>0</v>
      </c>
      <c r="CW122" s="2">
        <f t="shared" si="153"/>
        <v>0</v>
      </c>
      <c r="CX122" s="2">
        <f t="shared" si="153"/>
        <v>0</v>
      </c>
      <c r="DF122" s="2">
        <f t="shared" si="157"/>
        <v>0</v>
      </c>
      <c r="DG122" s="2">
        <f t="shared" si="154"/>
        <v>0</v>
      </c>
      <c r="DH122" s="2">
        <f t="shared" si="154"/>
        <v>0</v>
      </c>
      <c r="DI122" s="2">
        <f t="shared" si="154"/>
        <v>0</v>
      </c>
      <c r="DJ122" s="2">
        <f t="shared" si="154"/>
        <v>0</v>
      </c>
      <c r="DK122" s="2">
        <f t="shared" si="154"/>
        <v>0</v>
      </c>
      <c r="DL122" s="2">
        <f t="shared" si="154"/>
        <v>0</v>
      </c>
      <c r="DM122" s="2">
        <f t="shared" si="154"/>
        <v>0</v>
      </c>
      <c r="DN122" s="2">
        <f t="shared" si="154"/>
        <v>0</v>
      </c>
      <c r="DO122" s="2">
        <f t="shared" si="154"/>
        <v>0</v>
      </c>
      <c r="DP122" s="2">
        <f t="shared" si="154"/>
        <v>0</v>
      </c>
      <c r="DQ122" s="2">
        <f t="shared" si="154"/>
        <v>0</v>
      </c>
      <c r="DR122" s="2">
        <f t="shared" si="158"/>
        <v>0</v>
      </c>
      <c r="DS122" s="2">
        <f t="shared" si="155"/>
        <v>0</v>
      </c>
      <c r="DT122" s="2">
        <f t="shared" si="155"/>
        <v>0</v>
      </c>
      <c r="DU122" s="2">
        <f t="shared" si="155"/>
        <v>0</v>
      </c>
      <c r="DV122" s="2">
        <f t="shared" si="155"/>
        <v>0</v>
      </c>
      <c r="DW122" s="2">
        <f t="shared" si="155"/>
        <v>0</v>
      </c>
      <c r="DX122" s="2">
        <f t="shared" si="155"/>
        <v>0</v>
      </c>
      <c r="DY122" s="2">
        <f t="shared" si="155"/>
        <v>0</v>
      </c>
      <c r="DZ122" s="2">
        <f t="shared" si="155"/>
        <v>0</v>
      </c>
      <c r="EA122" s="2">
        <f t="shared" si="155"/>
        <v>0</v>
      </c>
      <c r="EB122" s="2">
        <f t="shared" si="155"/>
        <v>0</v>
      </c>
      <c r="EC122" s="2">
        <f t="shared" si="155"/>
        <v>0</v>
      </c>
      <c r="ED122" s="2">
        <f t="shared" si="155"/>
        <v>0</v>
      </c>
      <c r="EE122" s="2">
        <f t="shared" si="155"/>
        <v>0</v>
      </c>
      <c r="EF122" s="2">
        <f t="shared" si="155"/>
        <v>0</v>
      </c>
      <c r="EG122" s="2">
        <f t="shared" si="155"/>
        <v>0</v>
      </c>
      <c r="EH122" s="2">
        <f t="shared" si="155"/>
        <v>0</v>
      </c>
      <c r="EI122" s="2">
        <f t="shared" si="155"/>
        <v>0</v>
      </c>
      <c r="EJ122" s="2">
        <f t="shared" si="155"/>
        <v>0</v>
      </c>
      <c r="EK122" s="2">
        <f t="shared" si="155"/>
        <v>0</v>
      </c>
      <c r="EL122" s="2">
        <f t="shared" si="155"/>
        <v>0</v>
      </c>
    </row>
    <row r="123" spans="22:142" ht="14.4" customHeight="1" x14ac:dyDescent="0.3">
      <c r="V123" s="353" t="s">
        <v>113</v>
      </c>
      <c r="W123" s="222"/>
      <c r="X123" s="222"/>
      <c r="Y123" s="222"/>
      <c r="Z123" s="222"/>
      <c r="AA123" s="222"/>
      <c r="AB123" s="222"/>
      <c r="AC123" s="222"/>
      <c r="AD123" s="222"/>
      <c r="AE123" s="250"/>
      <c r="AP123" s="22"/>
      <c r="AQ123" s="46"/>
      <c r="AR123" s="39"/>
      <c r="AS123" s="39"/>
      <c r="AT123" s="39"/>
      <c r="AU123" s="39"/>
      <c r="AV123" s="39"/>
      <c r="AW123" s="39"/>
      <c r="AX123" s="39"/>
      <c r="AY123" s="39"/>
      <c r="AZ123" s="39"/>
      <c r="BA123" s="39"/>
      <c r="BB123" s="39"/>
      <c r="BC123" s="39"/>
      <c r="BD123" s="39"/>
      <c r="BE123" s="39"/>
      <c r="BF123" s="39"/>
      <c r="BG123" s="39"/>
      <c r="BH123" s="39"/>
      <c r="BI123" s="39"/>
      <c r="BJ123" s="39"/>
      <c r="BK123" s="40"/>
      <c r="BL123" s="173"/>
      <c r="BM123" s="174"/>
      <c r="BN123" s="175"/>
      <c r="BO123" s="180"/>
      <c r="BP123" s="174"/>
      <c r="BQ123" s="175"/>
      <c r="BR123" s="180"/>
      <c r="BS123" s="174"/>
      <c r="BT123" s="174"/>
      <c r="BU123" s="174"/>
      <c r="BV123" s="174"/>
      <c r="BW123" s="174"/>
      <c r="BX123" s="175"/>
      <c r="BY123" s="122"/>
      <c r="BZ123" s="123"/>
      <c r="CA123" s="123"/>
      <c r="CB123" s="124"/>
      <c r="CC123" s="125"/>
      <c r="CD123" s="126"/>
      <c r="CE123" s="126"/>
      <c r="CF123" s="216"/>
      <c r="CG123" s="2">
        <f t="shared" si="156"/>
        <v>0</v>
      </c>
      <c r="CH123" s="2">
        <f t="shared" si="151"/>
        <v>0</v>
      </c>
      <c r="CI123" s="2">
        <f t="shared" si="152"/>
        <v>0</v>
      </c>
      <c r="CJ123" s="2">
        <f t="shared" si="152"/>
        <v>0</v>
      </c>
      <c r="CK123" s="2">
        <f t="shared" si="152"/>
        <v>0</v>
      </c>
      <c r="CL123" s="2" t="str">
        <f t="shared" si="152"/>
        <v/>
      </c>
      <c r="CM123" s="2" t="str">
        <f t="shared" si="152"/>
        <v/>
      </c>
      <c r="CN123" s="2">
        <f t="shared" si="152"/>
        <v>0</v>
      </c>
      <c r="CO123" s="2">
        <f t="shared" si="153"/>
        <v>0</v>
      </c>
      <c r="CP123" s="2">
        <f t="shared" si="153"/>
        <v>0</v>
      </c>
      <c r="CQ123" s="2">
        <f t="shared" si="153"/>
        <v>0</v>
      </c>
      <c r="CR123" s="2">
        <f t="shared" si="153"/>
        <v>0</v>
      </c>
      <c r="CS123" s="2">
        <f t="shared" si="153"/>
        <v>0</v>
      </c>
      <c r="CT123" s="2">
        <f t="shared" si="153"/>
        <v>0</v>
      </c>
      <c r="CU123" s="2">
        <f t="shared" si="153"/>
        <v>0</v>
      </c>
      <c r="CV123" s="2">
        <f t="shared" si="153"/>
        <v>0</v>
      </c>
      <c r="CW123" s="2">
        <f t="shared" si="153"/>
        <v>0</v>
      </c>
      <c r="CX123" s="2">
        <f t="shared" si="153"/>
        <v>0</v>
      </c>
      <c r="DF123" s="2">
        <f t="shared" si="157"/>
        <v>0</v>
      </c>
      <c r="DG123" s="2">
        <f t="shared" si="154"/>
        <v>0</v>
      </c>
      <c r="DH123" s="2">
        <f t="shared" si="154"/>
        <v>0</v>
      </c>
      <c r="DI123" s="2">
        <f t="shared" si="154"/>
        <v>0</v>
      </c>
      <c r="DJ123" s="2">
        <f t="shared" si="154"/>
        <v>0</v>
      </c>
      <c r="DK123" s="2">
        <f t="shared" si="154"/>
        <v>0</v>
      </c>
      <c r="DL123" s="2">
        <f t="shared" si="154"/>
        <v>0</v>
      </c>
      <c r="DM123" s="2">
        <f t="shared" si="154"/>
        <v>0</v>
      </c>
      <c r="DN123" s="2">
        <f t="shared" si="154"/>
        <v>0</v>
      </c>
      <c r="DO123" s="2">
        <f t="shared" si="154"/>
        <v>0</v>
      </c>
      <c r="DP123" s="2">
        <f t="shared" si="154"/>
        <v>0</v>
      </c>
      <c r="DQ123" s="2">
        <f t="shared" si="154"/>
        <v>0</v>
      </c>
      <c r="DR123" s="2">
        <f t="shared" si="158"/>
        <v>0</v>
      </c>
      <c r="DS123" s="2">
        <f t="shared" si="155"/>
        <v>0</v>
      </c>
      <c r="DT123" s="2">
        <f t="shared" si="155"/>
        <v>0</v>
      </c>
      <c r="DU123" s="2">
        <f t="shared" si="155"/>
        <v>0</v>
      </c>
      <c r="DV123" s="2">
        <f t="shared" si="155"/>
        <v>0</v>
      </c>
      <c r="DW123" s="2">
        <f t="shared" si="155"/>
        <v>0</v>
      </c>
      <c r="DX123" s="2">
        <f t="shared" si="155"/>
        <v>0</v>
      </c>
      <c r="DY123" s="2">
        <f t="shared" si="155"/>
        <v>0</v>
      </c>
      <c r="DZ123" s="2">
        <f t="shared" si="155"/>
        <v>0</v>
      </c>
      <c r="EA123" s="2">
        <f t="shared" si="155"/>
        <v>0</v>
      </c>
      <c r="EB123" s="2">
        <f t="shared" si="155"/>
        <v>0</v>
      </c>
      <c r="EC123" s="2">
        <f t="shared" si="155"/>
        <v>0</v>
      </c>
      <c r="ED123" s="2">
        <f t="shared" si="155"/>
        <v>0</v>
      </c>
      <c r="EE123" s="2">
        <f t="shared" si="155"/>
        <v>0</v>
      </c>
      <c r="EF123" s="2">
        <f t="shared" si="155"/>
        <v>0</v>
      </c>
      <c r="EG123" s="2">
        <f t="shared" si="155"/>
        <v>0</v>
      </c>
      <c r="EH123" s="2">
        <f t="shared" si="155"/>
        <v>0</v>
      </c>
      <c r="EI123" s="2">
        <f t="shared" si="155"/>
        <v>0</v>
      </c>
      <c r="EJ123" s="2">
        <f t="shared" si="155"/>
        <v>0</v>
      </c>
      <c r="EK123" s="2">
        <f t="shared" si="155"/>
        <v>0</v>
      </c>
      <c r="EL123" s="2">
        <f t="shared" si="155"/>
        <v>0</v>
      </c>
    </row>
    <row r="124" spans="22:142" ht="14.4" customHeight="1" x14ac:dyDescent="0.3">
      <c r="V124" s="47"/>
      <c r="W124" s="10" t="s">
        <v>114</v>
      </c>
      <c r="X124" s="10" t="s">
        <v>115</v>
      </c>
      <c r="Y124" s="10" t="s">
        <v>116</v>
      </c>
      <c r="Z124" s="48" t="s">
        <v>117</v>
      </c>
      <c r="AA124" s="14" t="s">
        <v>118</v>
      </c>
      <c r="AB124" s="10" t="s">
        <v>119</v>
      </c>
      <c r="AC124" s="10" t="s">
        <v>120</v>
      </c>
      <c r="AD124" s="10" t="s">
        <v>121</v>
      </c>
      <c r="AE124" s="10" t="s">
        <v>122</v>
      </c>
      <c r="AP124" s="22"/>
      <c r="AQ124" s="46"/>
      <c r="AR124" s="28"/>
      <c r="AS124" s="28"/>
      <c r="AT124" s="28"/>
      <c r="AU124" s="28"/>
      <c r="AV124" s="28"/>
      <c r="AW124" s="28"/>
      <c r="AX124" s="28"/>
      <c r="AY124" s="28"/>
      <c r="AZ124" s="28"/>
      <c r="BA124" s="28"/>
      <c r="BB124" s="28"/>
      <c r="BC124" s="28"/>
      <c r="BD124" s="28"/>
      <c r="BE124" s="28"/>
      <c r="BF124" s="28"/>
      <c r="BG124" s="28"/>
      <c r="BH124" s="28"/>
      <c r="BI124" s="28"/>
      <c r="BJ124" s="28"/>
      <c r="BK124" s="51"/>
      <c r="BL124" s="173"/>
      <c r="BM124" s="174"/>
      <c r="BN124" s="175"/>
      <c r="BO124" s="180"/>
      <c r="BP124" s="174"/>
      <c r="BQ124" s="175"/>
      <c r="BR124" s="180"/>
      <c r="BS124" s="174"/>
      <c r="BT124" s="174"/>
      <c r="BU124" s="174"/>
      <c r="BV124" s="174"/>
      <c r="BW124" s="174"/>
      <c r="BX124" s="175"/>
      <c r="BY124" s="122"/>
      <c r="BZ124" s="123"/>
      <c r="CA124" s="123"/>
      <c r="CB124" s="124"/>
      <c r="CC124" s="150" t="s">
        <v>123</v>
      </c>
      <c r="CD124" s="151"/>
      <c r="CE124" s="151"/>
      <c r="CF124" s="152"/>
      <c r="CG124" s="2">
        <f t="shared" si="156"/>
        <v>0</v>
      </c>
      <c r="CH124" s="2">
        <f t="shared" si="151"/>
        <v>0</v>
      </c>
      <c r="CI124" s="2">
        <f t="shared" si="152"/>
        <v>0</v>
      </c>
      <c r="CJ124" s="2">
        <f t="shared" si="152"/>
        <v>0</v>
      </c>
      <c r="CK124" s="2">
        <f t="shared" si="152"/>
        <v>0</v>
      </c>
      <c r="CL124" s="2" t="str">
        <f t="shared" si="152"/>
        <v/>
      </c>
      <c r="CM124" s="2" t="str">
        <f t="shared" si="152"/>
        <v/>
      </c>
      <c r="CN124" s="2">
        <f t="shared" si="152"/>
        <v>0</v>
      </c>
      <c r="CO124" s="2">
        <f t="shared" si="153"/>
        <v>0</v>
      </c>
      <c r="CP124" s="2">
        <f t="shared" si="153"/>
        <v>0</v>
      </c>
      <c r="CQ124" s="2">
        <f t="shared" si="153"/>
        <v>0</v>
      </c>
      <c r="CR124" s="2">
        <f t="shared" si="153"/>
        <v>0</v>
      </c>
      <c r="CS124" s="2">
        <f t="shared" si="153"/>
        <v>0</v>
      </c>
      <c r="CT124" s="2">
        <f t="shared" si="153"/>
        <v>0</v>
      </c>
      <c r="CU124" s="2">
        <f t="shared" si="153"/>
        <v>0</v>
      </c>
      <c r="CV124" s="2">
        <f t="shared" si="153"/>
        <v>0</v>
      </c>
      <c r="CW124" s="2">
        <f t="shared" si="153"/>
        <v>0</v>
      </c>
      <c r="CX124" s="2">
        <f t="shared" si="153"/>
        <v>0</v>
      </c>
      <c r="DF124" s="2">
        <f t="shared" si="157"/>
        <v>0</v>
      </c>
      <c r="DG124" s="2">
        <f t="shared" si="154"/>
        <v>0</v>
      </c>
      <c r="DH124" s="2">
        <f t="shared" si="154"/>
        <v>0</v>
      </c>
      <c r="DI124" s="2">
        <f t="shared" si="154"/>
        <v>0</v>
      </c>
      <c r="DJ124" s="2">
        <f t="shared" si="154"/>
        <v>0</v>
      </c>
      <c r="DK124" s="2">
        <f t="shared" si="154"/>
        <v>0</v>
      </c>
      <c r="DL124" s="2">
        <f t="shared" si="154"/>
        <v>0</v>
      </c>
      <c r="DM124" s="2">
        <f t="shared" si="154"/>
        <v>0</v>
      </c>
      <c r="DN124" s="2">
        <f t="shared" si="154"/>
        <v>0</v>
      </c>
      <c r="DO124" s="2">
        <f t="shared" si="154"/>
        <v>0</v>
      </c>
      <c r="DP124" s="2">
        <f t="shared" si="154"/>
        <v>0</v>
      </c>
      <c r="DQ124" s="2">
        <f t="shared" si="154"/>
        <v>0</v>
      </c>
      <c r="DR124" s="2">
        <f t="shared" si="158"/>
        <v>0</v>
      </c>
      <c r="DS124" s="2">
        <f t="shared" si="155"/>
        <v>0</v>
      </c>
      <c r="DT124" s="2">
        <f t="shared" si="155"/>
        <v>0</v>
      </c>
      <c r="DU124" s="2">
        <f t="shared" si="155"/>
        <v>0</v>
      </c>
      <c r="DV124" s="2">
        <f t="shared" si="155"/>
        <v>0</v>
      </c>
      <c r="DW124" s="2">
        <f t="shared" si="155"/>
        <v>0</v>
      </c>
      <c r="DX124" s="2">
        <f t="shared" si="155"/>
        <v>0</v>
      </c>
      <c r="DY124" s="2">
        <f t="shared" si="155"/>
        <v>0</v>
      </c>
      <c r="DZ124" s="2">
        <f t="shared" si="155"/>
        <v>0</v>
      </c>
      <c r="EA124" s="2">
        <f t="shared" si="155"/>
        <v>0</v>
      </c>
      <c r="EB124" s="2">
        <f t="shared" si="155"/>
        <v>0</v>
      </c>
      <c r="EC124" s="2">
        <f t="shared" si="155"/>
        <v>0</v>
      </c>
      <c r="ED124" s="2">
        <f t="shared" si="155"/>
        <v>0</v>
      </c>
      <c r="EE124" s="2">
        <f t="shared" si="155"/>
        <v>0</v>
      </c>
      <c r="EF124" s="2">
        <f t="shared" si="155"/>
        <v>0</v>
      </c>
      <c r="EG124" s="2">
        <f t="shared" si="155"/>
        <v>0</v>
      </c>
      <c r="EH124" s="2">
        <f t="shared" si="155"/>
        <v>0</v>
      </c>
      <c r="EI124" s="2">
        <f t="shared" si="155"/>
        <v>0</v>
      </c>
      <c r="EJ124" s="2">
        <f t="shared" si="155"/>
        <v>0</v>
      </c>
      <c r="EK124" s="2">
        <f t="shared" si="155"/>
        <v>0</v>
      </c>
      <c r="EL124" s="2">
        <f t="shared" si="155"/>
        <v>0</v>
      </c>
    </row>
    <row r="125" spans="22:142" ht="14.4" customHeight="1" x14ac:dyDescent="0.3">
      <c r="V125" s="49" t="str">
        <f>IF(ISBLANK(V111),"",V111)</f>
        <v/>
      </c>
      <c r="W125" s="38" t="str" cm="1">
        <f t="array" ref="W125">IF(Y111="", "", IF(AND(Y111&lt;=MIN(AF111:AO111),Z111&gt;=MAX(AF111:AO111)),"ACCEPT",IF(AND(AF111:AO111="OK"),"ACCEPT","REJECT")))</f>
        <v/>
      </c>
      <c r="X125" s="38" t="str">
        <f t="shared" ref="X125:X136" si="159">IF(TRIM(W125)="", "", MAX(AF111:AO111))</f>
        <v/>
      </c>
      <c r="Y125" s="38" t="str">
        <f t="shared" ref="Y125:Y136" si="160">IF(TRIM(W125)="", "", MIN(AF111:AO111))</f>
        <v/>
      </c>
      <c r="Z125" s="38" t="str">
        <f t="shared" ref="Z125:Z136" si="161">IF(ISNUMBER(Y111),"VARIABLE",IF(ISBLANK(Y111),"","ATTRIBUTE"))</f>
        <v/>
      </c>
      <c r="AA125" s="38">
        <f t="shared" ref="AA125:AA136" si="162">IF((AA111="QC"),1.33,1)</f>
        <v>1</v>
      </c>
      <c r="AB125" s="38">
        <f t="shared" ref="AB125:AB136" si="163">IF(COUNT(AF111:AO111)=0,0,AVERAGE(AF111:AO111))</f>
        <v>0</v>
      </c>
      <c r="AC125" s="38">
        <f t="shared" ref="AC125:AC136" si="164">MAX(AF111:AO111)-MIN(AF111:AO111)</f>
        <v>0</v>
      </c>
      <c r="AD125" s="38">
        <f t="shared" ref="AD125:AD136" si="165">IF(COUNT(AF111:AO111)=0,0,_xlfn.STDEV.S(AF111:AO111))</f>
        <v>0</v>
      </c>
      <c r="AE125" s="38" t="str">
        <f t="shared" ref="AE125:AE136" si="166">IF(AB125=0,"-",IF(AB125-Y111&lt;Z111-AB125,AB125-Y111,Z111-AB125)/(AD125*3))</f>
        <v>-</v>
      </c>
      <c r="AP125" s="22"/>
      <c r="AQ125" s="46"/>
      <c r="AR125" s="39"/>
      <c r="AS125" s="39"/>
      <c r="AT125" s="39"/>
      <c r="AU125" s="39"/>
      <c r="AV125" s="39"/>
      <c r="AW125" s="39"/>
      <c r="AX125" s="39"/>
      <c r="AY125" s="39"/>
      <c r="AZ125" s="39"/>
      <c r="BA125" s="39"/>
      <c r="BB125" s="39"/>
      <c r="BC125" s="39"/>
      <c r="BD125" s="39"/>
      <c r="BE125" s="39"/>
      <c r="BF125" s="39"/>
      <c r="BG125" s="39"/>
      <c r="BH125" s="39"/>
      <c r="BI125" s="39"/>
      <c r="BJ125" s="39"/>
      <c r="BK125" s="40"/>
      <c r="BL125" s="176"/>
      <c r="BM125" s="177"/>
      <c r="BN125" s="178"/>
      <c r="BO125" s="181"/>
      <c r="BP125" s="177"/>
      <c r="BQ125" s="178"/>
      <c r="BR125" s="181"/>
      <c r="BS125" s="177"/>
      <c r="BT125" s="177"/>
      <c r="BU125" s="177"/>
      <c r="BV125" s="177"/>
      <c r="BW125" s="177"/>
      <c r="BX125" s="178"/>
      <c r="BY125" s="125"/>
      <c r="BZ125" s="126"/>
      <c r="CA125" s="126"/>
      <c r="CB125" s="127"/>
      <c r="CC125" s="153"/>
      <c r="CD125" s="154"/>
      <c r="CE125" s="154"/>
      <c r="CF125" s="155"/>
      <c r="CG125" s="2">
        <f t="shared" si="156"/>
        <v>0</v>
      </c>
      <c r="CH125" s="2">
        <f t="shared" si="151"/>
        <v>0</v>
      </c>
      <c r="CI125" s="2">
        <f t="shared" si="152"/>
        <v>0</v>
      </c>
      <c r="CJ125" s="2">
        <f t="shared" si="152"/>
        <v>0</v>
      </c>
      <c r="CK125" s="2">
        <f t="shared" si="152"/>
        <v>0</v>
      </c>
      <c r="CL125" s="2" t="str">
        <f t="shared" si="152"/>
        <v/>
      </c>
      <c r="CM125" s="2" t="str">
        <f t="shared" si="152"/>
        <v/>
      </c>
      <c r="CN125" s="2">
        <f t="shared" si="152"/>
        <v>0</v>
      </c>
      <c r="CO125" s="2">
        <f t="shared" si="153"/>
        <v>0</v>
      </c>
      <c r="CP125" s="2">
        <f t="shared" si="153"/>
        <v>0</v>
      </c>
      <c r="CQ125" s="2">
        <f t="shared" si="153"/>
        <v>0</v>
      </c>
      <c r="CR125" s="2">
        <f t="shared" si="153"/>
        <v>0</v>
      </c>
      <c r="CS125" s="2">
        <f t="shared" si="153"/>
        <v>0</v>
      </c>
      <c r="CT125" s="2">
        <f t="shared" si="153"/>
        <v>0</v>
      </c>
      <c r="CU125" s="2">
        <f t="shared" si="153"/>
        <v>0</v>
      </c>
      <c r="CV125" s="2">
        <f t="shared" si="153"/>
        <v>0</v>
      </c>
      <c r="CW125" s="2">
        <f t="shared" si="153"/>
        <v>0</v>
      </c>
      <c r="CX125" s="2">
        <f t="shared" si="153"/>
        <v>0</v>
      </c>
      <c r="DF125" s="2">
        <f t="shared" si="157"/>
        <v>0</v>
      </c>
      <c r="DG125" s="2">
        <f t="shared" si="154"/>
        <v>0</v>
      </c>
      <c r="DH125" s="2">
        <f t="shared" si="154"/>
        <v>0</v>
      </c>
      <c r="DI125" s="2">
        <f t="shared" si="154"/>
        <v>0</v>
      </c>
      <c r="DJ125" s="2">
        <f t="shared" si="154"/>
        <v>0</v>
      </c>
      <c r="DK125" s="2">
        <f t="shared" si="154"/>
        <v>0</v>
      </c>
      <c r="DL125" s="2">
        <f t="shared" si="154"/>
        <v>0</v>
      </c>
      <c r="DM125" s="2">
        <f t="shared" si="154"/>
        <v>0</v>
      </c>
      <c r="DN125" s="2">
        <f t="shared" si="154"/>
        <v>0</v>
      </c>
      <c r="DO125" s="2">
        <f t="shared" si="154"/>
        <v>0</v>
      </c>
      <c r="DP125" s="2">
        <f t="shared" si="154"/>
        <v>0</v>
      </c>
      <c r="DQ125" s="2">
        <f t="shared" si="154"/>
        <v>0</v>
      </c>
      <c r="DR125" s="2">
        <f t="shared" si="158"/>
        <v>0</v>
      </c>
      <c r="DS125" s="2">
        <f t="shared" si="155"/>
        <v>0</v>
      </c>
      <c r="DT125" s="2">
        <f t="shared" si="155"/>
        <v>0</v>
      </c>
      <c r="DU125" s="2">
        <f t="shared" si="155"/>
        <v>0</v>
      </c>
      <c r="DV125" s="2">
        <f t="shared" si="155"/>
        <v>0</v>
      </c>
      <c r="DW125" s="2">
        <f t="shared" si="155"/>
        <v>0</v>
      </c>
      <c r="DX125" s="2">
        <f t="shared" si="155"/>
        <v>0</v>
      </c>
      <c r="DY125" s="2">
        <f t="shared" si="155"/>
        <v>0</v>
      </c>
      <c r="DZ125" s="2">
        <f t="shared" si="155"/>
        <v>0</v>
      </c>
      <c r="EA125" s="2">
        <f t="shared" si="155"/>
        <v>0</v>
      </c>
      <c r="EB125" s="2">
        <f t="shared" si="155"/>
        <v>0</v>
      </c>
      <c r="EC125" s="2">
        <f t="shared" si="155"/>
        <v>0</v>
      </c>
      <c r="ED125" s="2">
        <f t="shared" si="155"/>
        <v>0</v>
      </c>
      <c r="EE125" s="2">
        <f t="shared" si="155"/>
        <v>0</v>
      </c>
      <c r="EF125" s="2">
        <f t="shared" si="155"/>
        <v>0</v>
      </c>
      <c r="EG125" s="2">
        <f t="shared" si="155"/>
        <v>0</v>
      </c>
      <c r="EH125" s="2">
        <f t="shared" si="155"/>
        <v>0</v>
      </c>
      <c r="EI125" s="2">
        <f t="shared" si="155"/>
        <v>0</v>
      </c>
      <c r="EJ125" s="2">
        <f t="shared" si="155"/>
        <v>0</v>
      </c>
      <c r="EK125" s="2">
        <f t="shared" si="155"/>
        <v>0</v>
      </c>
      <c r="EL125" s="2">
        <f t="shared" si="155"/>
        <v>0</v>
      </c>
    </row>
    <row r="126" spans="22:142" ht="14.4" customHeight="1" x14ac:dyDescent="0.3">
      <c r="V126" s="49" t="str">
        <f t="shared" ref="V126:V135" si="167">IF(ISBLANK(V112),"",V112)</f>
        <v/>
      </c>
      <c r="W126" s="38" t="str" cm="1">
        <f t="array" ref="W126">IF(Y112="", "", IF(AND(Y112&lt;=MIN(AF112:AO112),Z112&gt;=MAX(AF112:AO112)),"ACCEPT",IF(AND(AF112:AO112="OK"),"ACCEPT","REJECT")))</f>
        <v/>
      </c>
      <c r="X126" s="38" t="str">
        <f t="shared" si="159"/>
        <v/>
      </c>
      <c r="Y126" s="38" t="str">
        <f t="shared" si="160"/>
        <v/>
      </c>
      <c r="Z126" s="38" t="str">
        <f t="shared" si="161"/>
        <v/>
      </c>
      <c r="AA126" s="38">
        <f t="shared" si="162"/>
        <v>1</v>
      </c>
      <c r="AB126" s="38">
        <f t="shared" si="163"/>
        <v>0</v>
      </c>
      <c r="AC126" s="38">
        <f t="shared" si="164"/>
        <v>0</v>
      </c>
      <c r="AD126" s="38">
        <f t="shared" si="165"/>
        <v>0</v>
      </c>
      <c r="AE126" s="38" t="str">
        <f t="shared" si="166"/>
        <v>-</v>
      </c>
      <c r="AP126" s="22"/>
      <c r="AQ126" s="50"/>
      <c r="AR126" s="28"/>
      <c r="AS126" s="28"/>
      <c r="AT126" s="28"/>
      <c r="AU126" s="28"/>
      <c r="AV126" s="28"/>
      <c r="AW126" s="28"/>
      <c r="AX126" s="28"/>
      <c r="AY126" s="28"/>
      <c r="AZ126" s="28"/>
      <c r="BA126" s="28"/>
      <c r="BB126" s="28"/>
      <c r="BC126" s="28"/>
      <c r="BD126" s="28"/>
      <c r="BE126" s="28"/>
      <c r="BF126" s="28"/>
      <c r="BG126" s="28"/>
      <c r="BH126" s="28"/>
      <c r="BI126" s="28"/>
      <c r="BJ126" s="28"/>
      <c r="BK126" s="51"/>
      <c r="BL126" s="128" t="s">
        <v>88</v>
      </c>
      <c r="BM126" s="129"/>
      <c r="BN126" s="130"/>
      <c r="BO126" s="131" t="s">
        <v>89</v>
      </c>
      <c r="BP126" s="132"/>
      <c r="BQ126" s="133"/>
      <c r="BR126" s="131" t="s">
        <v>90</v>
      </c>
      <c r="BS126" s="132"/>
      <c r="BT126" s="132"/>
      <c r="BU126" s="132"/>
      <c r="BV126" s="132"/>
      <c r="BW126" s="132"/>
      <c r="BX126" s="133"/>
      <c r="BY126" s="131" t="s">
        <v>91</v>
      </c>
      <c r="BZ126" s="132"/>
      <c r="CA126" s="132"/>
      <c r="CB126" s="133"/>
      <c r="CC126" s="131" t="s">
        <v>92</v>
      </c>
      <c r="CD126" s="132"/>
      <c r="CE126" s="132"/>
      <c r="CF126" s="156"/>
      <c r="CG126" s="2">
        <f t="shared" si="156"/>
        <v>0</v>
      </c>
      <c r="CH126" s="2">
        <f t="shared" si="151"/>
        <v>0</v>
      </c>
      <c r="CI126" s="2">
        <f t="shared" si="152"/>
        <v>0</v>
      </c>
      <c r="CJ126" s="2">
        <f t="shared" si="152"/>
        <v>0</v>
      </c>
      <c r="CK126" s="2">
        <f t="shared" si="152"/>
        <v>0</v>
      </c>
      <c r="CL126" s="2" t="str">
        <f t="shared" si="152"/>
        <v/>
      </c>
      <c r="CM126" s="2" t="str">
        <f t="shared" si="152"/>
        <v/>
      </c>
      <c r="CN126" s="2">
        <f t="shared" si="152"/>
        <v>0</v>
      </c>
      <c r="CO126" s="2">
        <f t="shared" si="153"/>
        <v>0</v>
      </c>
      <c r="CP126" s="2">
        <f t="shared" si="153"/>
        <v>0</v>
      </c>
      <c r="CQ126" s="2">
        <f t="shared" si="153"/>
        <v>0</v>
      </c>
      <c r="CR126" s="2">
        <f t="shared" si="153"/>
        <v>0</v>
      </c>
      <c r="CS126" s="2">
        <f t="shared" si="153"/>
        <v>0</v>
      </c>
      <c r="CT126" s="2">
        <f t="shared" si="153"/>
        <v>0</v>
      </c>
      <c r="CU126" s="2">
        <f t="shared" si="153"/>
        <v>0</v>
      </c>
      <c r="CV126" s="2">
        <f t="shared" si="153"/>
        <v>0</v>
      </c>
      <c r="CW126" s="2">
        <f t="shared" si="153"/>
        <v>0</v>
      </c>
      <c r="CX126" s="2">
        <f t="shared" si="153"/>
        <v>0</v>
      </c>
      <c r="DF126" s="2">
        <f t="shared" si="157"/>
        <v>0</v>
      </c>
      <c r="DG126" s="2">
        <f t="shared" si="154"/>
        <v>0</v>
      </c>
      <c r="DH126" s="2">
        <f t="shared" si="154"/>
        <v>0</v>
      </c>
      <c r="DI126" s="2">
        <f t="shared" si="154"/>
        <v>0</v>
      </c>
      <c r="DJ126" s="2">
        <f t="shared" si="154"/>
        <v>0</v>
      </c>
      <c r="DK126" s="2">
        <f t="shared" si="154"/>
        <v>0</v>
      </c>
      <c r="DL126" s="2">
        <f t="shared" si="154"/>
        <v>0</v>
      </c>
      <c r="DM126" s="2">
        <f t="shared" si="154"/>
        <v>0</v>
      </c>
      <c r="DN126" s="2">
        <f t="shared" si="154"/>
        <v>0</v>
      </c>
      <c r="DO126" s="2">
        <f t="shared" si="154"/>
        <v>0</v>
      </c>
      <c r="DP126" s="2">
        <f t="shared" si="154"/>
        <v>0</v>
      </c>
      <c r="DQ126" s="2">
        <f t="shared" si="154"/>
        <v>0</v>
      </c>
      <c r="DR126" s="2">
        <f t="shared" si="158"/>
        <v>0</v>
      </c>
      <c r="DS126" s="2">
        <f t="shared" si="155"/>
        <v>0</v>
      </c>
      <c r="DT126" s="2">
        <f t="shared" si="155"/>
        <v>0</v>
      </c>
      <c r="DU126" s="2">
        <f t="shared" si="155"/>
        <v>0</v>
      </c>
      <c r="DV126" s="2">
        <f t="shared" si="155"/>
        <v>0</v>
      </c>
      <c r="DW126" s="2">
        <f t="shared" si="155"/>
        <v>0</v>
      </c>
      <c r="DX126" s="2">
        <f t="shared" si="155"/>
        <v>0</v>
      </c>
      <c r="DY126" s="2">
        <f t="shared" si="155"/>
        <v>0</v>
      </c>
      <c r="DZ126" s="2">
        <f t="shared" si="155"/>
        <v>0</v>
      </c>
      <c r="EA126" s="2">
        <f t="shared" si="155"/>
        <v>0</v>
      </c>
      <c r="EB126" s="2">
        <f t="shared" si="155"/>
        <v>0</v>
      </c>
      <c r="EC126" s="2">
        <f t="shared" si="155"/>
        <v>0</v>
      </c>
      <c r="ED126" s="2">
        <f t="shared" si="155"/>
        <v>0</v>
      </c>
      <c r="EE126" s="2">
        <f t="shared" si="155"/>
        <v>0</v>
      </c>
      <c r="EF126" s="2">
        <f t="shared" si="155"/>
        <v>0</v>
      </c>
      <c r="EG126" s="2">
        <f t="shared" si="155"/>
        <v>0</v>
      </c>
      <c r="EH126" s="2">
        <f t="shared" si="155"/>
        <v>0</v>
      </c>
      <c r="EI126" s="2">
        <f t="shared" si="155"/>
        <v>0</v>
      </c>
      <c r="EJ126" s="2">
        <f t="shared" si="155"/>
        <v>0</v>
      </c>
      <c r="EK126" s="2">
        <f t="shared" si="155"/>
        <v>0</v>
      </c>
      <c r="EL126" s="2">
        <f t="shared" si="155"/>
        <v>0</v>
      </c>
    </row>
    <row r="127" spans="22:142" ht="14.4" customHeight="1" x14ac:dyDescent="0.3">
      <c r="V127" s="49" t="str">
        <f t="shared" si="167"/>
        <v/>
      </c>
      <c r="W127" s="38" t="str" cm="1">
        <f t="array" ref="W127">IF(Y113="", "", IF(AND(Y113&lt;=MIN(AF113:AO113),Z113&gt;=MAX(AF113:AO113)),"ACCEPT",IF(AND(AF113:AO113="OK"),"ACCEPT","REJECT")))</f>
        <v/>
      </c>
      <c r="X127" s="38" t="str">
        <f t="shared" si="159"/>
        <v/>
      </c>
      <c r="Y127" s="38" t="str">
        <f t="shared" si="160"/>
        <v/>
      </c>
      <c r="Z127" s="38" t="str">
        <f t="shared" si="161"/>
        <v/>
      </c>
      <c r="AA127" s="38">
        <f t="shared" si="162"/>
        <v>1</v>
      </c>
      <c r="AB127" s="38">
        <f t="shared" si="163"/>
        <v>0</v>
      </c>
      <c r="AC127" s="38">
        <f t="shared" si="164"/>
        <v>0</v>
      </c>
      <c r="AD127" s="38">
        <f t="shared" si="165"/>
        <v>0</v>
      </c>
      <c r="AE127" s="38" t="str">
        <f t="shared" si="166"/>
        <v>-</v>
      </c>
      <c r="AP127" s="22"/>
      <c r="AQ127" s="50"/>
      <c r="AR127" s="28"/>
      <c r="AS127" s="28"/>
      <c r="AT127" s="28"/>
      <c r="AU127" s="28"/>
      <c r="AV127" s="28"/>
      <c r="AW127" s="28"/>
      <c r="AX127" s="28"/>
      <c r="AY127" s="28"/>
      <c r="AZ127" s="28"/>
      <c r="BA127" s="28"/>
      <c r="BB127" s="28"/>
      <c r="BC127" s="28"/>
      <c r="BD127" s="28"/>
      <c r="BE127" s="28"/>
      <c r="BF127" s="28"/>
      <c r="BG127" s="28"/>
      <c r="BH127" s="28"/>
      <c r="BI127" s="28"/>
      <c r="BJ127" s="28"/>
      <c r="BK127" s="51"/>
      <c r="BL127" s="158" t="s">
        <v>96</v>
      </c>
      <c r="BM127" s="159"/>
      <c r="BN127" s="35"/>
      <c r="BO127" s="134"/>
      <c r="BP127" s="135"/>
      <c r="BQ127" s="136"/>
      <c r="BR127" s="134"/>
      <c r="BS127" s="135"/>
      <c r="BT127" s="135"/>
      <c r="BU127" s="135"/>
      <c r="BV127" s="135"/>
      <c r="BW127" s="135"/>
      <c r="BX127" s="136"/>
      <c r="BY127" s="134"/>
      <c r="BZ127" s="135"/>
      <c r="CA127" s="135"/>
      <c r="CB127" s="136"/>
      <c r="CC127" s="134"/>
      <c r="CD127" s="135"/>
      <c r="CE127" s="135"/>
      <c r="CF127" s="157"/>
      <c r="CG127" s="2">
        <f t="shared" si="156"/>
        <v>0</v>
      </c>
      <c r="CH127" s="2">
        <f t="shared" si="151"/>
        <v>0</v>
      </c>
      <c r="CI127" s="2">
        <f t="shared" si="152"/>
        <v>0</v>
      </c>
      <c r="CJ127" s="2">
        <f t="shared" si="152"/>
        <v>0</v>
      </c>
      <c r="CK127" s="2">
        <f t="shared" si="152"/>
        <v>0</v>
      </c>
      <c r="CL127" s="2" t="str">
        <f t="shared" si="152"/>
        <v/>
      </c>
      <c r="CM127" s="2" t="str">
        <f t="shared" si="152"/>
        <v/>
      </c>
      <c r="CN127" s="2">
        <f t="shared" si="152"/>
        <v>0</v>
      </c>
      <c r="CO127" s="2">
        <f t="shared" si="153"/>
        <v>0</v>
      </c>
      <c r="CP127" s="2">
        <f t="shared" si="153"/>
        <v>0</v>
      </c>
      <c r="CQ127" s="2">
        <f t="shared" si="153"/>
        <v>0</v>
      </c>
      <c r="CR127" s="2">
        <f t="shared" si="153"/>
        <v>0</v>
      </c>
      <c r="CS127" s="2">
        <f t="shared" si="153"/>
        <v>0</v>
      </c>
      <c r="CT127" s="2">
        <f t="shared" si="153"/>
        <v>0</v>
      </c>
      <c r="CU127" s="2">
        <f t="shared" si="153"/>
        <v>0</v>
      </c>
      <c r="CV127" s="2">
        <f t="shared" si="153"/>
        <v>0</v>
      </c>
      <c r="CW127" s="2">
        <f t="shared" si="153"/>
        <v>0</v>
      </c>
      <c r="CX127" s="2">
        <f t="shared" si="153"/>
        <v>0</v>
      </c>
      <c r="DF127" s="2">
        <f t="shared" si="157"/>
        <v>0</v>
      </c>
      <c r="DG127" s="2">
        <f t="shared" si="154"/>
        <v>0</v>
      </c>
      <c r="DH127" s="2">
        <f t="shared" si="154"/>
        <v>0</v>
      </c>
      <c r="DI127" s="2">
        <f t="shared" si="154"/>
        <v>0</v>
      </c>
      <c r="DJ127" s="2">
        <f t="shared" si="154"/>
        <v>0</v>
      </c>
      <c r="DK127" s="2">
        <f t="shared" si="154"/>
        <v>0</v>
      </c>
      <c r="DL127" s="2">
        <f t="shared" si="154"/>
        <v>0</v>
      </c>
      <c r="DM127" s="2">
        <f t="shared" si="154"/>
        <v>0</v>
      </c>
      <c r="DN127" s="2">
        <f t="shared" si="154"/>
        <v>0</v>
      </c>
      <c r="DO127" s="2">
        <f t="shared" si="154"/>
        <v>0</v>
      </c>
      <c r="DP127" s="2">
        <f t="shared" si="154"/>
        <v>0</v>
      </c>
      <c r="DQ127" s="2">
        <f t="shared" si="154"/>
        <v>0</v>
      </c>
      <c r="DR127" s="2">
        <f t="shared" si="158"/>
        <v>0</v>
      </c>
      <c r="DS127" s="2">
        <f t="shared" si="155"/>
        <v>0</v>
      </c>
      <c r="DT127" s="2">
        <f t="shared" si="155"/>
        <v>0</v>
      </c>
      <c r="DU127" s="2">
        <f t="shared" si="155"/>
        <v>0</v>
      </c>
      <c r="DV127" s="2">
        <f t="shared" si="155"/>
        <v>0</v>
      </c>
      <c r="DW127" s="2">
        <f t="shared" si="155"/>
        <v>0</v>
      </c>
      <c r="DX127" s="2">
        <f t="shared" si="155"/>
        <v>0</v>
      </c>
      <c r="DY127" s="2">
        <f t="shared" si="155"/>
        <v>0</v>
      </c>
      <c r="DZ127" s="2">
        <f t="shared" si="155"/>
        <v>0</v>
      </c>
      <c r="EA127" s="2">
        <f t="shared" si="155"/>
        <v>0</v>
      </c>
      <c r="EB127" s="2">
        <f t="shared" si="155"/>
        <v>0</v>
      </c>
      <c r="EC127" s="2">
        <f t="shared" si="155"/>
        <v>0</v>
      </c>
      <c r="ED127" s="2">
        <f t="shared" si="155"/>
        <v>0</v>
      </c>
      <c r="EE127" s="2">
        <f t="shared" si="155"/>
        <v>0</v>
      </c>
      <c r="EF127" s="2">
        <f t="shared" si="155"/>
        <v>0</v>
      </c>
      <c r="EG127" s="2">
        <f t="shared" si="155"/>
        <v>0</v>
      </c>
      <c r="EH127" s="2">
        <f t="shared" si="155"/>
        <v>0</v>
      </c>
      <c r="EI127" s="2">
        <f t="shared" si="155"/>
        <v>0</v>
      </c>
      <c r="EJ127" s="2">
        <f t="shared" si="155"/>
        <v>0</v>
      </c>
      <c r="EK127" s="2">
        <f t="shared" si="155"/>
        <v>0</v>
      </c>
      <c r="EL127" s="2">
        <f t="shared" si="155"/>
        <v>0</v>
      </c>
    </row>
    <row r="128" spans="22:142" ht="14.4" customHeight="1" x14ac:dyDescent="0.3">
      <c r="V128" s="49" t="str">
        <f t="shared" si="167"/>
        <v/>
      </c>
      <c r="W128" s="38" t="str" cm="1">
        <f t="array" ref="W128">IF(Y114="", "", IF(AND(Y114&lt;=MIN(AF114:AO114),Z114&gt;=MAX(AF114:AO114)),"ACCEPT",IF(AND(AF114:AO114="OK"),"ACCEPT","REJECT")))</f>
        <v/>
      </c>
      <c r="X128" s="38" t="str">
        <f>IF(TRIM(W128)="", "", MAX(AF114:AO114))</f>
        <v/>
      </c>
      <c r="Y128" s="38" t="str">
        <f t="shared" si="160"/>
        <v/>
      </c>
      <c r="Z128" s="38" t="str">
        <f t="shared" si="161"/>
        <v/>
      </c>
      <c r="AA128" s="38">
        <f t="shared" si="162"/>
        <v>1</v>
      </c>
      <c r="AB128" s="38">
        <f t="shared" si="163"/>
        <v>0</v>
      </c>
      <c r="AC128" s="38">
        <f t="shared" si="164"/>
        <v>0</v>
      </c>
      <c r="AD128" s="38">
        <f t="shared" si="165"/>
        <v>0</v>
      </c>
      <c r="AE128" s="38" t="str">
        <f t="shared" si="166"/>
        <v>-</v>
      </c>
      <c r="AP128" s="22"/>
      <c r="AQ128" s="46"/>
      <c r="AR128" s="28"/>
      <c r="AS128" s="28"/>
      <c r="AT128" s="28"/>
      <c r="AU128" s="28"/>
      <c r="AV128" s="28"/>
      <c r="AW128" s="28"/>
      <c r="AX128" s="28"/>
      <c r="AY128" s="28"/>
      <c r="AZ128" s="28"/>
      <c r="BA128" s="28"/>
      <c r="BB128" s="28"/>
      <c r="BC128" s="28"/>
      <c r="BD128" s="28"/>
      <c r="BE128" s="28"/>
      <c r="BF128" s="28"/>
      <c r="BG128" s="28"/>
      <c r="BH128" s="28"/>
      <c r="BI128" s="28"/>
      <c r="BJ128" s="28"/>
      <c r="BK128" s="51"/>
      <c r="BL128" s="158" t="s">
        <v>97</v>
      </c>
      <c r="BM128" s="159"/>
      <c r="BN128" s="41" t="s">
        <v>98</v>
      </c>
      <c r="BO128" s="204" t="s">
        <v>99</v>
      </c>
      <c r="BP128" s="205"/>
      <c r="BQ128" s="206"/>
      <c r="BR128" s="207" t="s">
        <v>100</v>
      </c>
      <c r="BS128" s="208"/>
      <c r="BT128" s="208"/>
      <c r="BU128" s="209"/>
      <c r="BV128" s="217"/>
      <c r="BW128" s="218"/>
      <c r="BX128" s="219"/>
      <c r="BY128" s="119"/>
      <c r="BZ128" s="120"/>
      <c r="CA128" s="120"/>
      <c r="CB128" s="121"/>
      <c r="CC128" s="119"/>
      <c r="CD128" s="120"/>
      <c r="CE128" s="120"/>
      <c r="CF128" s="214"/>
      <c r="CG128" s="2">
        <f t="shared" si="156"/>
        <v>0</v>
      </c>
      <c r="CH128" s="2">
        <f t="shared" si="151"/>
        <v>0</v>
      </c>
      <c r="CI128" s="2">
        <f t="shared" si="152"/>
        <v>0</v>
      </c>
      <c r="CJ128" s="2">
        <f t="shared" si="152"/>
        <v>0</v>
      </c>
      <c r="CK128" s="2">
        <f t="shared" si="152"/>
        <v>0</v>
      </c>
      <c r="CL128" s="2" t="str">
        <f t="shared" si="152"/>
        <v/>
      </c>
      <c r="CM128" s="2" t="str">
        <f t="shared" si="152"/>
        <v/>
      </c>
      <c r="CN128" s="2">
        <f t="shared" si="152"/>
        <v>0</v>
      </c>
      <c r="CO128" s="2">
        <f t="shared" si="153"/>
        <v>0</v>
      </c>
      <c r="CP128" s="2">
        <f t="shared" si="153"/>
        <v>0</v>
      </c>
      <c r="CQ128" s="2">
        <f t="shared" si="153"/>
        <v>0</v>
      </c>
      <c r="CR128" s="2">
        <f t="shared" si="153"/>
        <v>0</v>
      </c>
      <c r="CS128" s="2">
        <f t="shared" si="153"/>
        <v>0</v>
      </c>
      <c r="CT128" s="2">
        <f t="shared" si="153"/>
        <v>0</v>
      </c>
      <c r="CU128" s="2">
        <f t="shared" si="153"/>
        <v>0</v>
      </c>
      <c r="CV128" s="2">
        <f t="shared" si="153"/>
        <v>0</v>
      </c>
      <c r="CW128" s="2">
        <f t="shared" si="153"/>
        <v>0</v>
      </c>
      <c r="CX128" s="2">
        <f t="shared" si="153"/>
        <v>0</v>
      </c>
      <c r="DF128" s="2">
        <f t="shared" si="157"/>
        <v>0</v>
      </c>
      <c r="DG128" s="2">
        <f t="shared" si="154"/>
        <v>0</v>
      </c>
      <c r="DH128" s="2">
        <f t="shared" si="154"/>
        <v>0</v>
      </c>
      <c r="DI128" s="2">
        <f t="shared" si="154"/>
        <v>0</v>
      </c>
      <c r="DJ128" s="2">
        <f t="shared" si="154"/>
        <v>0</v>
      </c>
      <c r="DK128" s="2">
        <f t="shared" si="154"/>
        <v>0</v>
      </c>
      <c r="DL128" s="2">
        <f t="shared" si="154"/>
        <v>0</v>
      </c>
      <c r="DM128" s="2">
        <f t="shared" si="154"/>
        <v>0</v>
      </c>
      <c r="DN128" s="2">
        <f t="shared" si="154"/>
        <v>0</v>
      </c>
      <c r="DO128" s="2">
        <f t="shared" si="154"/>
        <v>0</v>
      </c>
      <c r="DP128" s="2">
        <f t="shared" si="154"/>
        <v>0</v>
      </c>
      <c r="DQ128" s="2">
        <f t="shared" si="154"/>
        <v>0</v>
      </c>
      <c r="DR128" s="2">
        <f t="shared" si="158"/>
        <v>0</v>
      </c>
      <c r="DS128" s="2">
        <f t="shared" si="155"/>
        <v>0</v>
      </c>
      <c r="DT128" s="2">
        <f t="shared" si="155"/>
        <v>0</v>
      </c>
      <c r="DU128" s="2">
        <f t="shared" si="155"/>
        <v>0</v>
      </c>
      <c r="DV128" s="2">
        <f t="shared" si="155"/>
        <v>0</v>
      </c>
      <c r="DW128" s="2">
        <f t="shared" si="155"/>
        <v>0</v>
      </c>
      <c r="DX128" s="2">
        <f t="shared" si="155"/>
        <v>0</v>
      </c>
      <c r="DY128" s="2">
        <f t="shared" si="155"/>
        <v>0</v>
      </c>
      <c r="DZ128" s="2">
        <f t="shared" si="155"/>
        <v>0</v>
      </c>
      <c r="EA128" s="2">
        <f t="shared" si="155"/>
        <v>0</v>
      </c>
      <c r="EB128" s="2">
        <f t="shared" si="155"/>
        <v>0</v>
      </c>
      <c r="EC128" s="2">
        <f t="shared" si="155"/>
        <v>0</v>
      </c>
      <c r="ED128" s="2">
        <f t="shared" si="155"/>
        <v>0</v>
      </c>
      <c r="EE128" s="2">
        <f t="shared" si="155"/>
        <v>0</v>
      </c>
      <c r="EF128" s="2">
        <f t="shared" si="155"/>
        <v>0</v>
      </c>
      <c r="EG128" s="2">
        <f t="shared" si="155"/>
        <v>0</v>
      </c>
      <c r="EH128" s="2">
        <f t="shared" si="155"/>
        <v>0</v>
      </c>
      <c r="EI128" s="2">
        <f t="shared" si="155"/>
        <v>0</v>
      </c>
      <c r="EJ128" s="2">
        <f t="shared" si="155"/>
        <v>0</v>
      </c>
      <c r="EK128" s="2">
        <f t="shared" si="155"/>
        <v>0</v>
      </c>
      <c r="EL128" s="2">
        <f t="shared" si="155"/>
        <v>0</v>
      </c>
    </row>
    <row r="129" spans="22:142" ht="14.4" customHeight="1" x14ac:dyDescent="0.3">
      <c r="V129" s="49" t="str">
        <f t="shared" si="167"/>
        <v/>
      </c>
      <c r="W129" s="38" t="str" cm="1">
        <f t="array" ref="W129">IF(Y115="", "", IF(AND(Y115&lt;=MIN(AF115:AO115),Z115&gt;=MAX(AF115:AO115)),"ACCEPT",IF(AND(AF115:AO115="OK"),"ACCEPT","REJECT")))</f>
        <v/>
      </c>
      <c r="X129" s="38" t="str">
        <f>IF(TRIM(W129)="", "", MAX(AF115:AO115))</f>
        <v/>
      </c>
      <c r="Y129" s="38" t="str">
        <f t="shared" si="160"/>
        <v/>
      </c>
      <c r="Z129" s="38" t="str">
        <f t="shared" si="161"/>
        <v/>
      </c>
      <c r="AA129" s="38">
        <f t="shared" si="162"/>
        <v>1</v>
      </c>
      <c r="AB129" s="38">
        <f t="shared" si="163"/>
        <v>0</v>
      </c>
      <c r="AC129" s="38">
        <f t="shared" si="164"/>
        <v>0</v>
      </c>
      <c r="AD129" s="38">
        <f t="shared" si="165"/>
        <v>0</v>
      </c>
      <c r="AE129" s="38" t="str">
        <f t="shared" si="166"/>
        <v>-</v>
      </c>
      <c r="AP129" s="22"/>
      <c r="AQ129" s="46"/>
      <c r="AR129" s="28"/>
      <c r="AS129" s="28"/>
      <c r="AT129" s="28"/>
      <c r="AU129" s="28"/>
      <c r="AV129" s="28"/>
      <c r="AW129" s="28"/>
      <c r="AX129" s="28"/>
      <c r="AY129" s="28"/>
      <c r="AZ129" s="28"/>
      <c r="BA129" s="28"/>
      <c r="BB129" s="28"/>
      <c r="BC129" s="28"/>
      <c r="BD129" s="28"/>
      <c r="BE129" s="28"/>
      <c r="BF129" s="28"/>
      <c r="BG129" s="28"/>
      <c r="BH129" s="28"/>
      <c r="BI129" s="28"/>
      <c r="BJ129" s="28"/>
      <c r="BK129" s="51"/>
      <c r="BL129" s="158" t="s">
        <v>102</v>
      </c>
      <c r="BM129" s="159"/>
      <c r="BN129" s="42" t="s">
        <v>103</v>
      </c>
      <c r="BO129" s="119"/>
      <c r="BP129" s="120"/>
      <c r="BQ129" s="121"/>
      <c r="BR129" s="160" t="s">
        <v>124</v>
      </c>
      <c r="BS129" s="161"/>
      <c r="BT129" s="164"/>
      <c r="BU129" s="165"/>
      <c r="BV129" s="165"/>
      <c r="BW129" s="165"/>
      <c r="BX129" s="166"/>
      <c r="BY129" s="122"/>
      <c r="BZ129" s="123"/>
      <c r="CA129" s="123"/>
      <c r="CB129" s="124"/>
      <c r="CC129" s="122"/>
      <c r="CD129" s="123"/>
      <c r="CE129" s="123"/>
      <c r="CF129" s="215"/>
      <c r="CG129" s="2">
        <f t="shared" si="156"/>
        <v>0</v>
      </c>
      <c r="CH129" s="2">
        <f t="shared" si="151"/>
        <v>0</v>
      </c>
      <c r="CI129" s="2">
        <f t="shared" si="152"/>
        <v>0</v>
      </c>
      <c r="CJ129" s="2">
        <f t="shared" si="152"/>
        <v>0</v>
      </c>
      <c r="CK129" s="2">
        <f t="shared" si="152"/>
        <v>0</v>
      </c>
      <c r="CL129" s="2" t="str">
        <f t="shared" si="152"/>
        <v/>
      </c>
      <c r="CM129" s="2" t="str">
        <f t="shared" si="152"/>
        <v/>
      </c>
      <c r="CN129" s="2">
        <f t="shared" si="152"/>
        <v>0</v>
      </c>
      <c r="CO129" s="2">
        <f t="shared" si="153"/>
        <v>0</v>
      </c>
      <c r="CP129" s="2">
        <f t="shared" si="153"/>
        <v>0</v>
      </c>
      <c r="CQ129" s="2">
        <f t="shared" si="153"/>
        <v>0</v>
      </c>
      <c r="CR129" s="2">
        <f t="shared" si="153"/>
        <v>0</v>
      </c>
      <c r="CS129" s="2">
        <f t="shared" si="153"/>
        <v>0</v>
      </c>
      <c r="CT129" s="2">
        <f t="shared" si="153"/>
        <v>0</v>
      </c>
      <c r="CU129" s="2">
        <f t="shared" si="153"/>
        <v>0</v>
      </c>
      <c r="CV129" s="2">
        <f t="shared" si="153"/>
        <v>0</v>
      </c>
      <c r="CW129" s="2">
        <f t="shared" si="153"/>
        <v>0</v>
      </c>
      <c r="CX129" s="2">
        <f t="shared" si="153"/>
        <v>0</v>
      </c>
      <c r="DF129" s="2">
        <f t="shared" si="157"/>
        <v>0</v>
      </c>
      <c r="DG129" s="2">
        <f t="shared" si="154"/>
        <v>0</v>
      </c>
      <c r="DH129" s="2">
        <f t="shared" si="154"/>
        <v>0</v>
      </c>
      <c r="DI129" s="2">
        <f t="shared" si="154"/>
        <v>0</v>
      </c>
      <c r="DJ129" s="2">
        <f t="shared" si="154"/>
        <v>0</v>
      </c>
      <c r="DK129" s="2">
        <f t="shared" si="154"/>
        <v>0</v>
      </c>
      <c r="DL129" s="2">
        <f t="shared" si="154"/>
        <v>0</v>
      </c>
      <c r="DM129" s="2">
        <f t="shared" si="154"/>
        <v>0</v>
      </c>
      <c r="DN129" s="2">
        <f t="shared" si="154"/>
        <v>0</v>
      </c>
      <c r="DO129" s="2">
        <f t="shared" si="154"/>
        <v>0</v>
      </c>
      <c r="DP129" s="2">
        <f t="shared" si="154"/>
        <v>0</v>
      </c>
      <c r="DQ129" s="2">
        <f t="shared" si="154"/>
        <v>0</v>
      </c>
      <c r="DR129" s="2">
        <f t="shared" si="158"/>
        <v>0</v>
      </c>
      <c r="DS129" s="2">
        <f t="shared" si="155"/>
        <v>0</v>
      </c>
      <c r="DT129" s="2">
        <f t="shared" si="155"/>
        <v>0</v>
      </c>
      <c r="DU129" s="2">
        <f t="shared" si="155"/>
        <v>0</v>
      </c>
      <c r="DV129" s="2">
        <f t="shared" si="155"/>
        <v>0</v>
      </c>
      <c r="DW129" s="2">
        <f t="shared" si="155"/>
        <v>0</v>
      </c>
      <c r="DX129" s="2">
        <f t="shared" si="155"/>
        <v>0</v>
      </c>
      <c r="DY129" s="2">
        <f t="shared" si="155"/>
        <v>0</v>
      </c>
      <c r="DZ129" s="2">
        <f t="shared" si="155"/>
        <v>0</v>
      </c>
      <c r="EA129" s="2">
        <f t="shared" si="155"/>
        <v>0</v>
      </c>
      <c r="EB129" s="2">
        <f t="shared" si="155"/>
        <v>0</v>
      </c>
      <c r="EC129" s="2">
        <f t="shared" si="155"/>
        <v>0</v>
      </c>
      <c r="ED129" s="2">
        <f t="shared" si="155"/>
        <v>0</v>
      </c>
      <c r="EE129" s="2">
        <f t="shared" si="155"/>
        <v>0</v>
      </c>
      <c r="EF129" s="2">
        <f t="shared" si="155"/>
        <v>0</v>
      </c>
      <c r="EG129" s="2">
        <f t="shared" si="155"/>
        <v>0</v>
      </c>
      <c r="EH129" s="2">
        <f t="shared" si="155"/>
        <v>0</v>
      </c>
      <c r="EI129" s="2">
        <f t="shared" si="155"/>
        <v>0</v>
      </c>
      <c r="EJ129" s="2">
        <f t="shared" si="155"/>
        <v>0</v>
      </c>
      <c r="EK129" s="2">
        <f t="shared" si="155"/>
        <v>0</v>
      </c>
      <c r="EL129" s="2">
        <f t="shared" si="155"/>
        <v>0</v>
      </c>
    </row>
    <row r="130" spans="22:142" ht="14.4" customHeight="1" x14ac:dyDescent="0.3">
      <c r="V130" s="49" t="str">
        <f t="shared" si="167"/>
        <v/>
      </c>
      <c r="W130" s="38" t="str" cm="1">
        <f t="array" ref="W130">IF(Y116="", "", IF(AND(Y116&lt;=MIN(AF116:AO116),Z116&gt;=MAX(AF116:AO116)),"ACCEPT",IF(AND(AF116:AO116="OK"),"ACCEPT","REJECT")))</f>
        <v/>
      </c>
      <c r="X130" s="38" t="str">
        <f t="shared" si="159"/>
        <v/>
      </c>
      <c r="Y130" s="38" t="str">
        <f t="shared" si="160"/>
        <v/>
      </c>
      <c r="Z130" s="38" t="str">
        <f t="shared" si="161"/>
        <v/>
      </c>
      <c r="AA130" s="38">
        <f t="shared" si="162"/>
        <v>1</v>
      </c>
      <c r="AB130" s="38">
        <f t="shared" si="163"/>
        <v>0</v>
      </c>
      <c r="AC130" s="38">
        <f t="shared" si="164"/>
        <v>0</v>
      </c>
      <c r="AD130" s="38">
        <f t="shared" si="165"/>
        <v>0</v>
      </c>
      <c r="AE130" s="38" t="str">
        <f t="shared" si="166"/>
        <v>-</v>
      </c>
      <c r="AP130" s="22"/>
      <c r="AQ130" s="46"/>
      <c r="AR130" s="28"/>
      <c r="AS130" s="28"/>
      <c r="AT130" s="28"/>
      <c r="AU130" s="28"/>
      <c r="AV130" s="28"/>
      <c r="AW130" s="28"/>
      <c r="AX130" s="28"/>
      <c r="AY130" s="28"/>
      <c r="AZ130" s="28"/>
      <c r="BA130" s="28"/>
      <c r="BB130" s="28"/>
      <c r="BC130" s="28"/>
      <c r="BD130" s="28"/>
      <c r="BE130" s="28"/>
      <c r="BF130" s="28"/>
      <c r="BG130" s="28"/>
      <c r="BH130" s="28"/>
      <c r="BI130" s="28"/>
      <c r="BJ130" s="28"/>
      <c r="BK130" s="51"/>
      <c r="BL130" s="210" t="s">
        <v>105</v>
      </c>
      <c r="BM130" s="211"/>
      <c r="BN130" s="28" t="s">
        <v>101</v>
      </c>
      <c r="BO130" s="125"/>
      <c r="BP130" s="126"/>
      <c r="BQ130" s="127"/>
      <c r="BR130" s="162"/>
      <c r="BS130" s="163"/>
      <c r="BT130" s="167"/>
      <c r="BU130" s="168"/>
      <c r="BV130" s="168"/>
      <c r="BW130" s="168"/>
      <c r="BX130" s="169"/>
      <c r="BY130" s="122"/>
      <c r="BZ130" s="123"/>
      <c r="CA130" s="123"/>
      <c r="CB130" s="124"/>
      <c r="CC130" s="122"/>
      <c r="CD130" s="123"/>
      <c r="CE130" s="123"/>
      <c r="CF130" s="215"/>
      <c r="CG130" s="2">
        <f t="shared" si="156"/>
        <v>0</v>
      </c>
      <c r="CH130" s="2">
        <f t="shared" si="151"/>
        <v>0</v>
      </c>
      <c r="CI130" s="2">
        <f t="shared" si="152"/>
        <v>0</v>
      </c>
      <c r="CJ130" s="2">
        <f t="shared" si="152"/>
        <v>0</v>
      </c>
      <c r="CK130" s="2">
        <f t="shared" si="152"/>
        <v>0</v>
      </c>
      <c r="CL130" s="2" t="str">
        <f t="shared" si="152"/>
        <v/>
      </c>
      <c r="CM130" s="2" t="str">
        <f t="shared" si="152"/>
        <v/>
      </c>
      <c r="CN130" s="2">
        <f t="shared" si="152"/>
        <v>0</v>
      </c>
      <c r="CO130" s="2">
        <f t="shared" si="153"/>
        <v>0</v>
      </c>
      <c r="CP130" s="2">
        <f t="shared" si="153"/>
        <v>0</v>
      </c>
      <c r="CQ130" s="2">
        <f t="shared" si="153"/>
        <v>0</v>
      </c>
      <c r="CR130" s="2">
        <f t="shared" si="153"/>
        <v>0</v>
      </c>
      <c r="CS130" s="2">
        <f t="shared" si="153"/>
        <v>0</v>
      </c>
      <c r="CT130" s="2">
        <f t="shared" si="153"/>
        <v>0</v>
      </c>
      <c r="CU130" s="2">
        <f t="shared" si="153"/>
        <v>0</v>
      </c>
      <c r="CV130" s="2">
        <f t="shared" si="153"/>
        <v>0</v>
      </c>
      <c r="CW130" s="2">
        <f t="shared" si="153"/>
        <v>0</v>
      </c>
      <c r="CX130" s="2">
        <f t="shared" si="153"/>
        <v>0</v>
      </c>
      <c r="DF130" s="2">
        <f t="shared" si="157"/>
        <v>0</v>
      </c>
      <c r="DG130" s="2">
        <f t="shared" si="154"/>
        <v>0</v>
      </c>
      <c r="DH130" s="2">
        <f t="shared" si="154"/>
        <v>0</v>
      </c>
      <c r="DI130" s="2">
        <f t="shared" si="154"/>
        <v>0</v>
      </c>
      <c r="DJ130" s="2">
        <f t="shared" si="154"/>
        <v>0</v>
      </c>
      <c r="DK130" s="2">
        <f t="shared" si="154"/>
        <v>0</v>
      </c>
      <c r="DL130" s="2">
        <f t="shared" si="154"/>
        <v>0</v>
      </c>
      <c r="DM130" s="2">
        <f t="shared" si="154"/>
        <v>0</v>
      </c>
      <c r="DN130" s="2">
        <f t="shared" si="154"/>
        <v>0</v>
      </c>
      <c r="DO130" s="2">
        <f t="shared" si="154"/>
        <v>0</v>
      </c>
      <c r="DP130" s="2">
        <f t="shared" si="154"/>
        <v>0</v>
      </c>
      <c r="DQ130" s="2">
        <f t="shared" si="154"/>
        <v>0</v>
      </c>
      <c r="DR130" s="2">
        <f t="shared" si="158"/>
        <v>0</v>
      </c>
      <c r="DS130" s="2">
        <f t="shared" si="155"/>
        <v>0</v>
      </c>
      <c r="DT130" s="2">
        <f t="shared" si="155"/>
        <v>0</v>
      </c>
      <c r="DU130" s="2">
        <f t="shared" si="155"/>
        <v>0</v>
      </c>
      <c r="DV130" s="2">
        <f t="shared" si="155"/>
        <v>0</v>
      </c>
      <c r="DW130" s="2">
        <f t="shared" si="155"/>
        <v>0</v>
      </c>
      <c r="DX130" s="2">
        <f t="shared" si="155"/>
        <v>0</v>
      </c>
      <c r="DY130" s="2">
        <f t="shared" si="155"/>
        <v>0</v>
      </c>
      <c r="DZ130" s="2">
        <f t="shared" si="155"/>
        <v>0</v>
      </c>
      <c r="EA130" s="2">
        <f t="shared" si="155"/>
        <v>0</v>
      </c>
      <c r="EB130" s="2">
        <f t="shared" si="155"/>
        <v>0</v>
      </c>
      <c r="EC130" s="2">
        <f t="shared" si="155"/>
        <v>0</v>
      </c>
      <c r="ED130" s="2">
        <f t="shared" si="155"/>
        <v>0</v>
      </c>
      <c r="EE130" s="2">
        <f t="shared" si="155"/>
        <v>0</v>
      </c>
      <c r="EF130" s="2">
        <f t="shared" si="155"/>
        <v>0</v>
      </c>
      <c r="EG130" s="2">
        <f t="shared" si="155"/>
        <v>0</v>
      </c>
      <c r="EH130" s="2">
        <f t="shared" si="155"/>
        <v>0</v>
      </c>
      <c r="EI130" s="2">
        <f t="shared" si="155"/>
        <v>0</v>
      </c>
      <c r="EJ130" s="2">
        <f t="shared" si="155"/>
        <v>0</v>
      </c>
      <c r="EK130" s="2">
        <f t="shared" si="155"/>
        <v>0</v>
      </c>
      <c r="EL130" s="2">
        <f t="shared" si="155"/>
        <v>0</v>
      </c>
    </row>
    <row r="131" spans="22:142" ht="14.4" customHeight="1" x14ac:dyDescent="0.3">
      <c r="V131" s="49" t="str">
        <f t="shared" si="167"/>
        <v/>
      </c>
      <c r="W131" s="38" t="str" cm="1">
        <f t="array" ref="W131">IF(Y117="", "", IF(AND(Y117&lt;=MIN(AF117:AO117),Z117&gt;=MAX(AF117:AO117)),"ACCEPT",IF(AND(AF117:AO117="OK"),"ACCEPT","REJECT")))</f>
        <v/>
      </c>
      <c r="X131" s="38" t="str">
        <f t="shared" si="159"/>
        <v/>
      </c>
      <c r="Y131" s="38" t="str">
        <f t="shared" si="160"/>
        <v/>
      </c>
      <c r="Z131" s="38" t="str">
        <f t="shared" si="161"/>
        <v/>
      </c>
      <c r="AA131" s="38">
        <f t="shared" si="162"/>
        <v>1</v>
      </c>
      <c r="AB131" s="38">
        <f t="shared" si="163"/>
        <v>0</v>
      </c>
      <c r="AC131" s="38">
        <f t="shared" si="164"/>
        <v>0</v>
      </c>
      <c r="AD131" s="38">
        <f t="shared" si="165"/>
        <v>0</v>
      </c>
      <c r="AE131" s="38" t="str">
        <f t="shared" si="166"/>
        <v>-</v>
      </c>
      <c r="AP131" s="22"/>
      <c r="AQ131" s="46"/>
      <c r="AR131" s="28"/>
      <c r="AS131" s="28"/>
      <c r="AT131" s="28"/>
      <c r="AU131" s="28"/>
      <c r="AV131" s="28"/>
      <c r="AW131" s="28"/>
      <c r="AX131" s="28"/>
      <c r="AY131" s="28"/>
      <c r="AZ131" s="28"/>
      <c r="BA131" s="28"/>
      <c r="BB131" s="28"/>
      <c r="BC131" s="28"/>
      <c r="BD131" s="28"/>
      <c r="BE131" s="28"/>
      <c r="BF131" s="28"/>
      <c r="BG131" s="28"/>
      <c r="BH131" s="28"/>
      <c r="BI131" s="28"/>
      <c r="BJ131" s="28"/>
      <c r="BK131" s="51"/>
      <c r="BL131" s="212" t="s">
        <v>106</v>
      </c>
      <c r="BM131" s="205"/>
      <c r="BN131" s="206"/>
      <c r="BO131" s="213" t="s">
        <v>107</v>
      </c>
      <c r="BP131" s="159"/>
      <c r="BQ131" s="43"/>
      <c r="BR131" s="220" t="s">
        <v>108</v>
      </c>
      <c r="BS131" s="44" t="s">
        <v>109</v>
      </c>
      <c r="BT131" s="45"/>
      <c r="BU131" s="220" t="s">
        <v>110</v>
      </c>
      <c r="BV131" s="119"/>
      <c r="BW131" s="120"/>
      <c r="BX131" s="121"/>
      <c r="BY131" s="122"/>
      <c r="BZ131" s="123"/>
      <c r="CA131" s="123"/>
      <c r="CB131" s="124"/>
      <c r="CC131" s="122"/>
      <c r="CD131" s="123"/>
      <c r="CE131" s="123"/>
      <c r="CF131" s="215"/>
    </row>
    <row r="132" spans="22:142" ht="14.4" customHeight="1" x14ac:dyDescent="0.3">
      <c r="V132" s="49" t="str">
        <f t="shared" si="167"/>
        <v/>
      </c>
      <c r="W132" s="38" t="str" cm="1">
        <f t="array" ref="W132">IF(Y118="", "", IF(AND(Y118&lt;=MIN(AF118:AO118),Z118&gt;=MAX(AF118:AO118)),"ACCEPT",IF(AND(AF118:AO118="OK"),"ACCEPT","REJECT")))</f>
        <v/>
      </c>
      <c r="X132" s="38" t="str">
        <f t="shared" si="159"/>
        <v/>
      </c>
      <c r="Y132" s="38" t="str">
        <f t="shared" si="160"/>
        <v/>
      </c>
      <c r="Z132" s="38" t="str">
        <f t="shared" si="161"/>
        <v/>
      </c>
      <c r="AA132" s="38">
        <f t="shared" si="162"/>
        <v>1</v>
      </c>
      <c r="AB132" s="38">
        <f t="shared" si="163"/>
        <v>0</v>
      </c>
      <c r="AC132" s="38">
        <f t="shared" si="164"/>
        <v>0</v>
      </c>
      <c r="AD132" s="38">
        <f t="shared" si="165"/>
        <v>0</v>
      </c>
      <c r="AE132" s="38" t="str">
        <f t="shared" si="166"/>
        <v>-</v>
      </c>
      <c r="AP132" s="22"/>
      <c r="AQ132" s="46"/>
      <c r="AR132" s="28"/>
      <c r="AS132" s="28"/>
      <c r="AT132" s="28"/>
      <c r="AU132" s="28"/>
      <c r="AV132" s="28"/>
      <c r="AW132" s="28"/>
      <c r="AX132" s="28"/>
      <c r="AY132" s="28"/>
      <c r="AZ132" s="28"/>
      <c r="BA132" s="28"/>
      <c r="BB132" s="28"/>
      <c r="BC132" s="28"/>
      <c r="BD132" s="28"/>
      <c r="BE132" s="28"/>
      <c r="BF132" s="28"/>
      <c r="BG132" s="28"/>
      <c r="BH132" s="28"/>
      <c r="BI132" s="28"/>
      <c r="BJ132" s="28"/>
      <c r="BK132" s="51"/>
      <c r="BL132" s="199"/>
      <c r="BM132" s="154"/>
      <c r="BN132" s="200"/>
      <c r="BO132" s="201"/>
      <c r="BP132" s="202"/>
      <c r="BQ132" s="203"/>
      <c r="BR132" s="221"/>
      <c r="BS132" s="44" t="s">
        <v>112</v>
      </c>
      <c r="BT132" s="45"/>
      <c r="BU132" s="221"/>
      <c r="BV132" s="125"/>
      <c r="BW132" s="126"/>
      <c r="BX132" s="127"/>
      <c r="BY132" s="122"/>
      <c r="BZ132" s="123"/>
      <c r="CA132" s="123"/>
      <c r="CB132" s="124"/>
      <c r="CC132" s="122"/>
      <c r="CD132" s="123"/>
      <c r="CE132" s="123"/>
      <c r="CF132" s="215"/>
    </row>
    <row r="133" spans="22:142" ht="14.4" customHeight="1" x14ac:dyDescent="0.3">
      <c r="V133" s="49" t="str">
        <f t="shared" si="167"/>
        <v/>
      </c>
      <c r="W133" s="38" t="str" cm="1">
        <f t="array" ref="W133">IF(Y119="", "", IF(AND(Y119&lt;=MIN(AF119:AO119),Z119&gt;=MAX(AF119:AO119)),"ACCEPT",IF(AND(AF119:AO119="OK"),"ACCEPT","REJECT")))</f>
        <v/>
      </c>
      <c r="X133" s="38" t="str">
        <f t="shared" si="159"/>
        <v/>
      </c>
      <c r="Y133" s="38" t="str">
        <f t="shared" si="160"/>
        <v/>
      </c>
      <c r="Z133" s="38" t="str">
        <f t="shared" si="161"/>
        <v/>
      </c>
      <c r="AA133" s="38">
        <f t="shared" si="162"/>
        <v>1</v>
      </c>
      <c r="AB133" s="38">
        <f t="shared" si="163"/>
        <v>0</v>
      </c>
      <c r="AC133" s="38">
        <f t="shared" si="164"/>
        <v>0</v>
      </c>
      <c r="AD133" s="38">
        <f t="shared" si="165"/>
        <v>0</v>
      </c>
      <c r="AE133" s="38" t="str">
        <f t="shared" si="166"/>
        <v>-</v>
      </c>
      <c r="AP133" s="22"/>
      <c r="AQ133" s="46"/>
      <c r="AR133" s="28"/>
      <c r="AS133" s="28"/>
      <c r="AT133" s="28"/>
      <c r="AU133" s="28"/>
      <c r="AV133" s="28"/>
      <c r="AW133" s="28"/>
      <c r="AX133" s="28"/>
      <c r="AY133" s="28"/>
      <c r="AZ133" s="28"/>
      <c r="BA133" s="28"/>
      <c r="BB133" s="28"/>
      <c r="BC133" s="28"/>
      <c r="BD133" s="28"/>
      <c r="BE133" s="28"/>
      <c r="BF133" s="28"/>
      <c r="BG133" s="28"/>
      <c r="BH133" s="28"/>
      <c r="BI133" s="28"/>
      <c r="BJ133" s="28"/>
      <c r="BK133" s="51"/>
      <c r="BL133" s="170"/>
      <c r="BM133" s="171"/>
      <c r="BN133" s="172"/>
      <c r="BO133" s="179"/>
      <c r="BP133" s="171"/>
      <c r="BQ133" s="172"/>
      <c r="BR133" s="179"/>
      <c r="BS133" s="171"/>
      <c r="BT133" s="171"/>
      <c r="BU133" s="171"/>
      <c r="BV133" s="171"/>
      <c r="BW133" s="171"/>
      <c r="BX133" s="172"/>
      <c r="BY133" s="122"/>
      <c r="BZ133" s="123"/>
      <c r="CA133" s="123"/>
      <c r="CB133" s="124"/>
      <c r="CC133" s="122"/>
      <c r="CD133" s="123"/>
      <c r="CE133" s="123"/>
      <c r="CF133" s="215"/>
    </row>
    <row r="134" spans="22:142" ht="14.4" customHeight="1" x14ac:dyDescent="0.3">
      <c r="V134" s="49" t="str">
        <f t="shared" si="167"/>
        <v/>
      </c>
      <c r="W134" s="38" t="str" cm="1">
        <f t="array" ref="W134">IF(Y120="", "", IF(AND(Y120&lt;=MIN(AF120:AO120),Z120&gt;=MAX(AF120:AO120)),"ACCEPT",IF(AND(AF120:AO120="OK"),"ACCEPT","REJECT")))</f>
        <v/>
      </c>
      <c r="X134" s="38" t="str">
        <f t="shared" si="159"/>
        <v/>
      </c>
      <c r="Y134" s="38" t="str">
        <f t="shared" si="160"/>
        <v/>
      </c>
      <c r="Z134" s="38" t="str">
        <f t="shared" si="161"/>
        <v/>
      </c>
      <c r="AA134" s="38">
        <f t="shared" si="162"/>
        <v>1</v>
      </c>
      <c r="AB134" s="38">
        <f t="shared" si="163"/>
        <v>0</v>
      </c>
      <c r="AC134" s="38">
        <f t="shared" si="164"/>
        <v>0</v>
      </c>
      <c r="AD134" s="38">
        <f t="shared" si="165"/>
        <v>0</v>
      </c>
      <c r="AE134" s="38" t="str">
        <f t="shared" si="166"/>
        <v>-</v>
      </c>
      <c r="AP134" s="22"/>
      <c r="AQ134" s="46"/>
      <c r="AR134" s="28"/>
      <c r="AS134" s="28"/>
      <c r="AT134" s="28"/>
      <c r="AU134" s="28"/>
      <c r="AV134" s="28"/>
      <c r="AW134" s="28"/>
      <c r="AX134" s="28"/>
      <c r="AY134" s="28"/>
      <c r="AZ134" s="28"/>
      <c r="BA134" s="28"/>
      <c r="BB134" s="28"/>
      <c r="BC134" s="28"/>
      <c r="BD134" s="28"/>
      <c r="BE134" s="28"/>
      <c r="BF134" s="28"/>
      <c r="BG134" s="28"/>
      <c r="BH134" s="28"/>
      <c r="BI134" s="28"/>
      <c r="BJ134" s="28"/>
      <c r="BK134" s="51"/>
      <c r="BL134" s="173"/>
      <c r="BM134" s="174"/>
      <c r="BN134" s="175"/>
      <c r="BO134" s="180"/>
      <c r="BP134" s="174"/>
      <c r="BQ134" s="175"/>
      <c r="BR134" s="180"/>
      <c r="BS134" s="174"/>
      <c r="BT134" s="174"/>
      <c r="BU134" s="174"/>
      <c r="BV134" s="174"/>
      <c r="BW134" s="174"/>
      <c r="BX134" s="175"/>
      <c r="BY134" s="122"/>
      <c r="BZ134" s="123"/>
      <c r="CA134" s="123"/>
      <c r="CB134" s="124"/>
      <c r="CC134" s="122"/>
      <c r="CD134" s="123"/>
      <c r="CE134" s="123"/>
      <c r="CF134" s="215"/>
    </row>
    <row r="135" spans="22:142" ht="14.4" customHeight="1" thickBot="1" x14ac:dyDescent="0.35">
      <c r="V135" s="49" t="str">
        <f t="shared" si="167"/>
        <v/>
      </c>
      <c r="W135" s="38" t="str" cm="1">
        <f t="array" ref="W135">IF(Y121="", "", IF(AND(Y121&lt;=MIN(AF121:AO121),Z121&gt;=MAX(AF121:AO121)),"ACCEPT",IF(AND(AF121:AO121="OK"),"ACCEPT","REJECT")))</f>
        <v/>
      </c>
      <c r="X135" s="38" t="str">
        <f t="shared" si="159"/>
        <v/>
      </c>
      <c r="Y135" s="38" t="str">
        <f t="shared" si="160"/>
        <v/>
      </c>
      <c r="Z135" s="38" t="str">
        <f t="shared" si="161"/>
        <v/>
      </c>
      <c r="AA135" s="38">
        <f t="shared" si="162"/>
        <v>1</v>
      </c>
      <c r="AB135" s="38">
        <f t="shared" si="163"/>
        <v>0</v>
      </c>
      <c r="AC135" s="38">
        <f t="shared" si="164"/>
        <v>0</v>
      </c>
      <c r="AD135" s="38">
        <f t="shared" si="165"/>
        <v>0</v>
      </c>
      <c r="AE135" s="38" t="str">
        <f t="shared" si="166"/>
        <v>-</v>
      </c>
      <c r="AP135" s="22"/>
      <c r="AQ135" s="358" t="s">
        <v>113</v>
      </c>
      <c r="AR135" s="145"/>
      <c r="AS135" s="145"/>
      <c r="AT135" s="145"/>
      <c r="AU135" s="145"/>
      <c r="AV135" s="145"/>
      <c r="AW135" s="145"/>
      <c r="AX135" s="145"/>
      <c r="AY135" s="285"/>
      <c r="AZ135" s="285"/>
      <c r="BA135" s="285"/>
      <c r="BB135" s="285"/>
      <c r="BC135" s="285"/>
      <c r="BD135" s="285"/>
      <c r="BE135" s="285"/>
      <c r="BF135" s="286"/>
      <c r="BK135" s="22"/>
      <c r="BL135" s="173"/>
      <c r="BM135" s="174"/>
      <c r="BN135" s="175"/>
      <c r="BO135" s="180"/>
      <c r="BP135" s="174"/>
      <c r="BQ135" s="175"/>
      <c r="BR135" s="180"/>
      <c r="BS135" s="174"/>
      <c r="BT135" s="174"/>
      <c r="BU135" s="174"/>
      <c r="BV135" s="174"/>
      <c r="BW135" s="174"/>
      <c r="BX135" s="175"/>
      <c r="BY135" s="122"/>
      <c r="BZ135" s="123"/>
      <c r="CA135" s="123"/>
      <c r="CB135" s="124"/>
      <c r="CC135" s="122"/>
      <c r="CD135" s="123"/>
      <c r="CE135" s="123"/>
      <c r="CF135" s="215"/>
    </row>
    <row r="136" spans="22:142" ht="14.4" customHeight="1" x14ac:dyDescent="0.3">
      <c r="V136" s="49" t="str">
        <f>IF(ISBLANK(V122),"",V122)</f>
        <v/>
      </c>
      <c r="W136" s="38" t="str" cm="1">
        <f t="array" ref="W136">IF(Y122="", "", IF(AND(Y122&lt;=MIN(AF122:AO122),Z122&gt;=MAX(AF122:AO122)),"ACCEPT",IF(AND(AF122:AO122="OK"),"ACCEPT","REJECT")))</f>
        <v/>
      </c>
      <c r="X136" s="38" t="str">
        <f t="shared" si="159"/>
        <v/>
      </c>
      <c r="Y136" s="38" t="str">
        <f t="shared" si="160"/>
        <v/>
      </c>
      <c r="Z136" s="38" t="str">
        <f t="shared" si="161"/>
        <v/>
      </c>
      <c r="AA136" s="38">
        <f t="shared" si="162"/>
        <v>1</v>
      </c>
      <c r="AB136" s="38">
        <f t="shared" si="163"/>
        <v>0</v>
      </c>
      <c r="AC136" s="38">
        <f t="shared" si="164"/>
        <v>0</v>
      </c>
      <c r="AD136" s="38">
        <f t="shared" si="165"/>
        <v>0</v>
      </c>
      <c r="AE136" s="38" t="str">
        <f t="shared" si="166"/>
        <v>-</v>
      </c>
      <c r="AP136" s="22"/>
      <c r="AQ136" s="52"/>
      <c r="AR136" s="53" t="s">
        <v>114</v>
      </c>
      <c r="AS136" s="53" t="s">
        <v>115</v>
      </c>
      <c r="AT136" s="53" t="s">
        <v>116</v>
      </c>
      <c r="AU136" s="53" t="s">
        <v>119</v>
      </c>
      <c r="AV136" s="53" t="s">
        <v>120</v>
      </c>
      <c r="AW136" s="53" t="s">
        <v>121</v>
      </c>
      <c r="AX136" s="54" t="s">
        <v>122</v>
      </c>
      <c r="AY136" s="52"/>
      <c r="AZ136" s="53" t="s">
        <v>114</v>
      </c>
      <c r="BA136" s="53" t="s">
        <v>115</v>
      </c>
      <c r="BB136" s="53" t="s">
        <v>116</v>
      </c>
      <c r="BC136" s="53" t="s">
        <v>119</v>
      </c>
      <c r="BD136" s="53" t="s">
        <v>120</v>
      </c>
      <c r="BE136" s="53" t="s">
        <v>121</v>
      </c>
      <c r="BF136" s="54" t="s">
        <v>122</v>
      </c>
      <c r="BK136" s="22"/>
      <c r="BL136" s="173"/>
      <c r="BM136" s="174"/>
      <c r="BN136" s="175"/>
      <c r="BO136" s="180"/>
      <c r="BP136" s="174"/>
      <c r="BQ136" s="175"/>
      <c r="BR136" s="180"/>
      <c r="BS136" s="174"/>
      <c r="BT136" s="174"/>
      <c r="BU136" s="174"/>
      <c r="BV136" s="174"/>
      <c r="BW136" s="174"/>
      <c r="BX136" s="175"/>
      <c r="BY136" s="122"/>
      <c r="BZ136" s="123"/>
      <c r="CA136" s="123"/>
      <c r="CB136" s="124"/>
      <c r="CC136" s="122"/>
      <c r="CD136" s="123"/>
      <c r="CE136" s="123"/>
      <c r="CF136" s="215"/>
    </row>
    <row r="137" spans="22:142" ht="14.4" customHeight="1" x14ac:dyDescent="0.3">
      <c r="V137" s="55"/>
      <c r="W137" s="56"/>
      <c r="X137" s="56"/>
      <c r="Y137" s="56"/>
      <c r="Z137" s="56"/>
      <c r="AP137" s="22"/>
      <c r="AQ137" s="49" t="str">
        <f>IF(ISBLANK(V111),"",V111)</f>
        <v/>
      </c>
      <c r="AR137" s="38" t="str" cm="1">
        <f t="array" ref="AR137">IF(AT110="", "", IF(AND(AT110&lt;=MIN(AZ110:BK110,AQ123:BK123),AU110&gt;=MAX(AZ110:BK110,AQ123:BK123)),"ACCEPT",IF(AND(AZ110:BK110,AQ123:BK123="OK"),"ACCEPT","REJECT")))</f>
        <v/>
      </c>
      <c r="AS137" s="38" t="str">
        <f t="shared" ref="AS137:AS142" si="168">IF(TRIM(AR137)="", "", MAX(AZ110:BK110,AQ123:BK123))</f>
        <v/>
      </c>
      <c r="AT137" s="38" t="str">
        <f t="shared" ref="AT137:AT142" si="169">IF(TRIM(AR137)="", "", MIN(AZ110:BK110,AQ123:BK123))</f>
        <v/>
      </c>
      <c r="AU137" s="38">
        <f>IF(COUNT(AZ110:BK110,AQ123:BK123)=0,0,AVERAGE(AZ110:BK110,AQ123:BK123))</f>
        <v>0</v>
      </c>
      <c r="AV137" s="38">
        <f t="shared" ref="AV137:AV142" si="170">MAX(AZ110:BK110,AQ123:BK123)-MIN(AZ110:BK110,AQ123:BK123)</f>
        <v>0</v>
      </c>
      <c r="AW137" s="38">
        <f t="shared" ref="AW137:AW142" si="171">IF(COUNT(AZ110:BK110,AQ123:BK123)=0,0,_xlfn.STDEV.S(AZ110:BK110,AQ123:BK123))</f>
        <v>0</v>
      </c>
      <c r="AX137" s="57" t="str">
        <f t="shared" ref="AX137:AX142" si="172">IF(AU137=0,"-",IF(AU137-AT110&lt;AU110-AU137,AU137-AT110,AU110-AU137)/(AW137*3))</f>
        <v>-</v>
      </c>
      <c r="AY137" s="49" t="str">
        <f>IF(ISBLANK(V117),"",V117)</f>
        <v/>
      </c>
      <c r="AZ137" s="38" t="str" cm="1">
        <f t="array" ref="AZ137">IF(AT116="", "", IF(AND(Y117&lt;=MIN(AZ116:BK116,AQ129:BK129),AU116&gt;=MAX(AZ116:BK116,AQ129:BK129)),"ACCEPT",IF(AND(AZ116:BK116,AQ129:BK129="OK"),"ACCEPT","REJECT")))</f>
        <v/>
      </c>
      <c r="BA137" s="38" t="str">
        <f t="shared" ref="BA137:BA142" si="173">IF(TRIM(AZ137)="", "", MAX(AZ116:BK116,AQ129:BK129))</f>
        <v/>
      </c>
      <c r="BB137" s="38" t="str">
        <f t="shared" ref="BB137:BB142" si="174">IF(TRIM(AZ137)="", "", MIN(AZ116:BK116,AQ129:BK129))</f>
        <v/>
      </c>
      <c r="BC137" s="38">
        <f t="shared" ref="BC137:BC142" si="175">IF(COUNT(AZ116:BK116,AQ129:BK129)=0,0,AVERAGE(AZ116:BK116,AQ129:BK129))</f>
        <v>0</v>
      </c>
      <c r="BD137" s="38">
        <f t="shared" ref="BD137:BD142" si="176">MAX(AZ116:BK116,AQ129:BK129)-MIN(AZ116:BK116,AQ129:BK129)</f>
        <v>0</v>
      </c>
      <c r="BE137" s="38">
        <f t="shared" ref="BE137:BE142" si="177">IF(COUNT(AZ116:BK116,AQ129:BK129)=0,0,_xlfn.STDEV.S(AZ116:BK116,AQ129:BK129))</f>
        <v>0</v>
      </c>
      <c r="BF137" s="57" t="str">
        <f t="shared" ref="BF137:BF142" si="178">IF(BC137=0,"-",IF(BC137-AT116&lt;AU116-BC137,BC137-AT116,AU116-BC137)/(BE137*3))</f>
        <v>-</v>
      </c>
      <c r="BK137" s="22"/>
      <c r="BL137" s="173"/>
      <c r="BM137" s="174"/>
      <c r="BN137" s="175"/>
      <c r="BO137" s="180"/>
      <c r="BP137" s="174"/>
      <c r="BQ137" s="175"/>
      <c r="BR137" s="180"/>
      <c r="BS137" s="174"/>
      <c r="BT137" s="174"/>
      <c r="BU137" s="174"/>
      <c r="BV137" s="174"/>
      <c r="BW137" s="174"/>
      <c r="BX137" s="175"/>
      <c r="BY137" s="122"/>
      <c r="BZ137" s="123"/>
      <c r="CA137" s="123"/>
      <c r="CB137" s="124"/>
      <c r="CC137" s="122"/>
      <c r="CD137" s="123"/>
      <c r="CE137" s="123"/>
      <c r="CF137" s="215"/>
    </row>
    <row r="138" spans="22:142" ht="14.4" customHeight="1" x14ac:dyDescent="0.3">
      <c r="V138" s="58" t="s">
        <v>35</v>
      </c>
      <c r="W138" s="247"/>
      <c r="X138" s="248"/>
      <c r="Y138" s="277" t="s">
        <v>37</v>
      </c>
      <c r="Z138" s="278"/>
      <c r="AB138" s="253" t="s">
        <v>125</v>
      </c>
      <c r="AC138" s="171"/>
      <c r="AD138" s="171"/>
      <c r="AE138" s="172"/>
      <c r="AG138" s="249" t="s">
        <v>126</v>
      </c>
      <c r="AH138" s="250"/>
      <c r="AI138" s="249" t="s">
        <v>9</v>
      </c>
      <c r="AJ138" s="250"/>
      <c r="AL138" s="249" t="s">
        <v>126</v>
      </c>
      <c r="AM138" s="250"/>
      <c r="AN138" s="249" t="s">
        <v>9</v>
      </c>
      <c r="AO138" s="250"/>
      <c r="AP138" s="22"/>
      <c r="AQ138" s="49" t="str">
        <f t="shared" ref="AQ138:AQ142" si="179">IF(ISBLANK(V112),"",V112)</f>
        <v/>
      </c>
      <c r="AR138" s="38" t="str" cm="1">
        <f t="array" ref="AR138">IF(AT111="", "", IF(AND(AT111&lt;=MIN(AZ111:BK111,AQ124:BK124),AU111&gt;=MAX(AZ111:BK111,AQ124:BK124)),"ACCEPT",IF(AND(AZ111:BK111,AQ124:BK124="OK"),"ACCEPT","REJECT")))</f>
        <v/>
      </c>
      <c r="AS138" s="38" t="str">
        <f t="shared" si="168"/>
        <v/>
      </c>
      <c r="AT138" s="38" t="str">
        <f t="shared" si="169"/>
        <v/>
      </c>
      <c r="AU138" s="38">
        <f t="shared" ref="AU138:AU142" si="180">IF(COUNT(AZ111:BK111,AQ124:BK124)=0,0,AVERAGE(AZ111:BK111,AQ124:BK124))</f>
        <v>0</v>
      </c>
      <c r="AV138" s="38">
        <f t="shared" si="170"/>
        <v>0</v>
      </c>
      <c r="AW138" s="38">
        <f t="shared" si="171"/>
        <v>0</v>
      </c>
      <c r="AX138" s="57" t="str">
        <f t="shared" si="172"/>
        <v>-</v>
      </c>
      <c r="AY138" s="49" t="str">
        <f t="shared" ref="AY138:AY142" si="181">IF(ISBLANK(V118),"",V118)</f>
        <v/>
      </c>
      <c r="AZ138" s="38" t="str" cm="1">
        <f t="array" ref="AZ138">IF(AT117="", "", IF(AND(Y118&lt;=MIN(AZ117:BK117,AQ130:BK130),AU117&gt;=MAX(AZ117:BK117,AQ130:BK130)),"ACCEPT",IF(AND(AZ117:BK117,AQ130:BK130="OK"),"ACCEPT","REJECT")))</f>
        <v/>
      </c>
      <c r="BA138" s="38" t="str">
        <f t="shared" si="173"/>
        <v/>
      </c>
      <c r="BB138" s="38" t="str">
        <f t="shared" si="174"/>
        <v/>
      </c>
      <c r="BC138" s="38">
        <f t="shared" si="175"/>
        <v>0</v>
      </c>
      <c r="BD138" s="38">
        <f t="shared" si="176"/>
        <v>0</v>
      </c>
      <c r="BE138" s="38">
        <f t="shared" si="177"/>
        <v>0</v>
      </c>
      <c r="BF138" s="57" t="str">
        <f t="shared" si="178"/>
        <v>-</v>
      </c>
      <c r="BG138" s="61" t="s">
        <v>126</v>
      </c>
      <c r="BH138" s="60"/>
      <c r="BI138" s="59" t="s">
        <v>9</v>
      </c>
      <c r="BJ138" s="60"/>
      <c r="BK138" s="22"/>
      <c r="BL138" s="173"/>
      <c r="BM138" s="174"/>
      <c r="BN138" s="175"/>
      <c r="BO138" s="180"/>
      <c r="BP138" s="174"/>
      <c r="BQ138" s="175"/>
      <c r="BR138" s="180"/>
      <c r="BS138" s="174"/>
      <c r="BT138" s="174"/>
      <c r="BU138" s="174"/>
      <c r="BV138" s="174"/>
      <c r="BW138" s="174"/>
      <c r="BX138" s="175"/>
      <c r="BY138" s="122"/>
      <c r="BZ138" s="123"/>
      <c r="CA138" s="123"/>
      <c r="CB138" s="124"/>
      <c r="CC138" s="122"/>
      <c r="CD138" s="123"/>
      <c r="CE138" s="123"/>
      <c r="CF138" s="215"/>
    </row>
    <row r="139" spans="22:142" ht="14.4" customHeight="1" x14ac:dyDescent="0.3">
      <c r="V139" s="33"/>
      <c r="Y139" s="279"/>
      <c r="Z139" s="280"/>
      <c r="AB139" s="259"/>
      <c r="AC139" s="177"/>
      <c r="AD139" s="177"/>
      <c r="AE139" s="178"/>
      <c r="AG139" s="179"/>
      <c r="AH139" s="172"/>
      <c r="AI139" s="179"/>
      <c r="AJ139" s="172"/>
      <c r="AL139" s="179"/>
      <c r="AM139" s="172"/>
      <c r="AN139" s="179"/>
      <c r="AO139" s="172"/>
      <c r="AP139" s="22"/>
      <c r="AQ139" s="49" t="str">
        <f t="shared" si="179"/>
        <v/>
      </c>
      <c r="AR139" s="38" t="str" cm="1">
        <f t="array" ref="AR139">IF(AT112="", "", IF(AND(AT112&lt;=MIN(AZ112:BK112,AQ125:BK125),AU112&gt;=MAX(AZ112:BK112,AQ125:BK125)),"ACCEPT",IF(AND(AZ112:BK112,AQ125:BK125="OK"),"ACCEPT","REJECT")))</f>
        <v/>
      </c>
      <c r="AS139" s="38" t="str">
        <f t="shared" si="168"/>
        <v/>
      </c>
      <c r="AT139" s="38" t="str">
        <f t="shared" si="169"/>
        <v/>
      </c>
      <c r="AU139" s="38">
        <f t="shared" si="180"/>
        <v>0</v>
      </c>
      <c r="AV139" s="38">
        <f t="shared" si="170"/>
        <v>0</v>
      </c>
      <c r="AW139" s="38">
        <f t="shared" si="171"/>
        <v>0</v>
      </c>
      <c r="AX139" s="57" t="str">
        <f t="shared" si="172"/>
        <v>-</v>
      </c>
      <c r="AY139" s="49" t="str">
        <f t="shared" si="181"/>
        <v/>
      </c>
      <c r="AZ139" s="38" t="str" cm="1">
        <f t="array" ref="AZ139">IF(AT118="", "", IF(AND(Y119&lt;=MIN(AZ118:BK118,AQ131:BK131),AU118&gt;=MAX(AZ118:BK118,AQ131:BK131)),"ACCEPT",IF(AND(AZ118:BK118,AQ131:BK131="OK"),"ACCEPT","REJECT")))</f>
        <v/>
      </c>
      <c r="BA139" s="38" t="str">
        <f t="shared" si="173"/>
        <v/>
      </c>
      <c r="BB139" s="38" t="str">
        <f t="shared" si="174"/>
        <v/>
      </c>
      <c r="BC139" s="38">
        <f t="shared" si="175"/>
        <v>0</v>
      </c>
      <c r="BD139" s="38">
        <f t="shared" si="176"/>
        <v>0</v>
      </c>
      <c r="BE139" s="38">
        <f t="shared" si="177"/>
        <v>0</v>
      </c>
      <c r="BF139" s="57" t="str">
        <f t="shared" si="178"/>
        <v>-</v>
      </c>
      <c r="BG139" s="170"/>
      <c r="BH139" s="172"/>
      <c r="BI139" s="179"/>
      <c r="BJ139" s="172"/>
      <c r="BK139" s="22"/>
      <c r="BL139" s="173"/>
      <c r="BM139" s="174"/>
      <c r="BN139" s="175"/>
      <c r="BO139" s="180"/>
      <c r="BP139" s="174"/>
      <c r="BQ139" s="175"/>
      <c r="BR139" s="180"/>
      <c r="BS139" s="174"/>
      <c r="BT139" s="174"/>
      <c r="BU139" s="174"/>
      <c r="BV139" s="174"/>
      <c r="BW139" s="174"/>
      <c r="BX139" s="175"/>
      <c r="BY139" s="122"/>
      <c r="BZ139" s="123"/>
      <c r="CA139" s="123"/>
      <c r="CB139" s="124"/>
      <c r="CC139" s="122"/>
      <c r="CD139" s="123"/>
      <c r="CE139" s="123"/>
      <c r="CF139" s="215"/>
    </row>
    <row r="140" spans="22:142" ht="14.4" customHeight="1" x14ac:dyDescent="0.3">
      <c r="V140" s="33" t="s">
        <v>36</v>
      </c>
      <c r="W140" s="247"/>
      <c r="X140" s="248"/>
      <c r="Y140" s="281"/>
      <c r="Z140" s="282"/>
      <c r="AB140" s="273" t="s">
        <v>141</v>
      </c>
      <c r="AC140" s="48" t="s">
        <v>127</v>
      </c>
      <c r="AD140" s="276" t="s">
        <v>128</v>
      </c>
      <c r="AE140" s="276"/>
      <c r="AG140" s="180"/>
      <c r="AH140" s="175"/>
      <c r="AI140" s="180"/>
      <c r="AJ140" s="175"/>
      <c r="AL140" s="180"/>
      <c r="AM140" s="175"/>
      <c r="AN140" s="180"/>
      <c r="AO140" s="175"/>
      <c r="AP140" s="22"/>
      <c r="AQ140" s="49" t="str">
        <f t="shared" si="179"/>
        <v/>
      </c>
      <c r="AR140" s="38" t="str" cm="1">
        <f t="array" ref="AR140">IF(AT113="", "", IF(AND(AT113&lt;=MIN(AZ113:BK113,AQ126:BK126),AU113&gt;=MAX(AZ113:BK113,AQ126:BK126)),"ACCEPT",IF(AND(AZ113:BK113,AQ126:BK126="OK"),"ACCEPT","REJECT")))</f>
        <v/>
      </c>
      <c r="AS140" s="38" t="str">
        <f t="shared" si="168"/>
        <v/>
      </c>
      <c r="AT140" s="38" t="str">
        <f t="shared" si="169"/>
        <v/>
      </c>
      <c r="AU140" s="38">
        <f t="shared" si="180"/>
        <v>0</v>
      </c>
      <c r="AV140" s="38">
        <f t="shared" si="170"/>
        <v>0</v>
      </c>
      <c r="AW140" s="38">
        <f t="shared" si="171"/>
        <v>0</v>
      </c>
      <c r="AX140" s="57" t="str">
        <f t="shared" si="172"/>
        <v>-</v>
      </c>
      <c r="AY140" s="49" t="str">
        <f t="shared" si="181"/>
        <v/>
      </c>
      <c r="AZ140" s="38" t="str" cm="1">
        <f t="array" ref="AZ140">IF(AT119="", "", IF(AND(Y120&lt;=MIN(AZ119:BK119,AQ132:BK132),AU119&gt;=MAX(AZ119:BK119,AQ132:BK132)),"ACCEPT",IF(AND(AZ119:BK119,AQ132:BK132="OK"),"ACCEPT","REJECT")))</f>
        <v/>
      </c>
      <c r="BA140" s="38" t="str">
        <f t="shared" si="173"/>
        <v/>
      </c>
      <c r="BB140" s="38" t="str">
        <f t="shared" si="174"/>
        <v/>
      </c>
      <c r="BC140" s="38">
        <f t="shared" si="175"/>
        <v>0</v>
      </c>
      <c r="BD140" s="38">
        <f t="shared" si="176"/>
        <v>0</v>
      </c>
      <c r="BE140" s="38">
        <f t="shared" si="177"/>
        <v>0</v>
      </c>
      <c r="BF140" s="57" t="str">
        <f t="shared" si="178"/>
        <v>-</v>
      </c>
      <c r="BG140" s="173"/>
      <c r="BH140" s="175"/>
      <c r="BI140" s="180"/>
      <c r="BJ140" s="175"/>
      <c r="BK140" s="22"/>
      <c r="BL140" s="173"/>
      <c r="BM140" s="174"/>
      <c r="BN140" s="175"/>
      <c r="BO140" s="180"/>
      <c r="BP140" s="174"/>
      <c r="BQ140" s="175"/>
      <c r="BR140" s="180"/>
      <c r="BS140" s="174"/>
      <c r="BT140" s="174"/>
      <c r="BU140" s="174"/>
      <c r="BV140" s="174"/>
      <c r="BW140" s="174"/>
      <c r="BX140" s="175"/>
      <c r="BY140" s="122"/>
      <c r="BZ140" s="123"/>
      <c r="CA140" s="123"/>
      <c r="CB140" s="124"/>
      <c r="CC140" s="122"/>
      <c r="CD140" s="123"/>
      <c r="CE140" s="123"/>
      <c r="CF140" s="215"/>
    </row>
    <row r="141" spans="22:142" ht="14.4" customHeight="1" x14ac:dyDescent="0.3">
      <c r="V141" s="33"/>
      <c r="Y141" s="283"/>
      <c r="Z141" s="284"/>
      <c r="AB141" s="274"/>
      <c r="AC141" s="48" t="s">
        <v>129</v>
      </c>
      <c r="AD141" s="276" t="s">
        <v>130</v>
      </c>
      <c r="AE141" s="276"/>
      <c r="AG141" s="181"/>
      <c r="AH141" s="178"/>
      <c r="AI141" s="181"/>
      <c r="AJ141" s="178"/>
      <c r="AL141" s="181"/>
      <c r="AM141" s="178"/>
      <c r="AN141" s="181"/>
      <c r="AO141" s="178"/>
      <c r="AP141" s="22"/>
      <c r="AQ141" s="49" t="str">
        <f t="shared" si="179"/>
        <v/>
      </c>
      <c r="AR141" s="38" t="str" cm="1">
        <f t="array" ref="AR141">IF(AT114="", "", IF(AND(AT114&lt;=MIN(AZ114:BK114,AQ127:BK127),AU114&gt;=MAX(AZ114:BK114,AQ127:BK127)),"ACCEPT",IF(AND(AZ114:BK114,AQ127:BK127="OK"),"ACCEPT","REJECT")))</f>
        <v/>
      </c>
      <c r="AS141" s="38" t="str">
        <f t="shared" si="168"/>
        <v/>
      </c>
      <c r="AT141" s="38" t="str">
        <f t="shared" si="169"/>
        <v/>
      </c>
      <c r="AU141" s="38">
        <f t="shared" si="180"/>
        <v>0</v>
      </c>
      <c r="AV141" s="38">
        <f t="shared" si="170"/>
        <v>0</v>
      </c>
      <c r="AW141" s="38">
        <f t="shared" si="171"/>
        <v>0</v>
      </c>
      <c r="AX141" s="57" t="str">
        <f t="shared" si="172"/>
        <v>-</v>
      </c>
      <c r="AY141" s="49" t="str">
        <f t="shared" si="181"/>
        <v/>
      </c>
      <c r="AZ141" s="38" t="str" cm="1">
        <f t="array" ref="AZ141">IF(AT120="", "", IF(AND(Y121&lt;=MIN(AZ120:BK120,AQ133:BK133),AU120&gt;=MAX(AZ120:BK120,AQ133:BK133)),"ACCEPT",IF(AND(AZ120:BK120,AQ133:BK133="OK"),"ACCEPT","REJECT")))</f>
        <v/>
      </c>
      <c r="BA141" s="38" t="str">
        <f t="shared" si="173"/>
        <v/>
      </c>
      <c r="BB141" s="38" t="str">
        <f t="shared" si="174"/>
        <v/>
      </c>
      <c r="BC141" s="38">
        <f t="shared" si="175"/>
        <v>0</v>
      </c>
      <c r="BD141" s="38">
        <f t="shared" si="176"/>
        <v>0</v>
      </c>
      <c r="BE141" s="38">
        <f t="shared" si="177"/>
        <v>0</v>
      </c>
      <c r="BF141" s="57" t="str">
        <f t="shared" si="178"/>
        <v>-</v>
      </c>
      <c r="BG141" s="176"/>
      <c r="BH141" s="178"/>
      <c r="BI141" s="181"/>
      <c r="BJ141" s="178"/>
      <c r="BK141" s="22"/>
      <c r="BL141" s="173"/>
      <c r="BM141" s="174"/>
      <c r="BN141" s="175"/>
      <c r="BO141" s="180"/>
      <c r="BP141" s="174"/>
      <c r="BQ141" s="175"/>
      <c r="BR141" s="180"/>
      <c r="BS141" s="174"/>
      <c r="BT141" s="174"/>
      <c r="BU141" s="174"/>
      <c r="BV141" s="174"/>
      <c r="BW141" s="174"/>
      <c r="BX141" s="175"/>
      <c r="BY141" s="122"/>
      <c r="BZ141" s="123"/>
      <c r="CA141" s="123"/>
      <c r="CB141" s="124"/>
      <c r="CC141" s="125"/>
      <c r="CD141" s="126"/>
      <c r="CE141" s="126"/>
      <c r="CF141" s="216"/>
    </row>
    <row r="142" spans="22:142" ht="14.4" customHeight="1" thickBot="1" x14ac:dyDescent="0.35">
      <c r="V142" s="55"/>
      <c r="W142" s="56"/>
      <c r="X142" s="56"/>
      <c r="Y142" s="75" t="s">
        <v>48</v>
      </c>
      <c r="Z142" s="62"/>
      <c r="AB142" s="275"/>
      <c r="AC142" s="48" t="s">
        <v>131</v>
      </c>
      <c r="AD142" s="276" t="s">
        <v>132</v>
      </c>
      <c r="AE142" s="276"/>
      <c r="AG142" s="83" t="s">
        <v>48</v>
      </c>
      <c r="AH142" s="35"/>
      <c r="AI142" s="83" t="s">
        <v>48</v>
      </c>
      <c r="AJ142" s="35"/>
      <c r="AL142" s="83" t="s">
        <v>48</v>
      </c>
      <c r="AM142" s="35"/>
      <c r="AN142" s="83" t="s">
        <v>48</v>
      </c>
      <c r="AO142" s="35"/>
      <c r="AP142" s="22"/>
      <c r="AQ142" s="49" t="str">
        <f t="shared" si="179"/>
        <v/>
      </c>
      <c r="AR142" s="38" t="str" cm="1">
        <f t="array" ref="AR142">IF(AT115="", "", IF(AND(AT115&lt;=MIN(AZ115:BK115,AQ128:BK128),AU115&gt;=MAX(AZ115:BK115,AQ128:BK128)),"ACCEPT",IF(AND(AZ115:BK115,AQ128:BK128="OK"),"ACCEPT","REJECT")))</f>
        <v/>
      </c>
      <c r="AS142" s="38" t="str">
        <f t="shared" si="168"/>
        <v/>
      </c>
      <c r="AT142" s="38" t="str">
        <f t="shared" si="169"/>
        <v/>
      </c>
      <c r="AU142" s="38">
        <f t="shared" si="180"/>
        <v>0</v>
      </c>
      <c r="AV142" s="38">
        <f t="shared" si="170"/>
        <v>0</v>
      </c>
      <c r="AW142" s="38">
        <f t="shared" si="171"/>
        <v>0</v>
      </c>
      <c r="AX142" s="57" t="str">
        <f t="shared" si="172"/>
        <v>-</v>
      </c>
      <c r="AY142" s="49" t="str">
        <f t="shared" si="181"/>
        <v/>
      </c>
      <c r="AZ142" s="38" t="str" cm="1">
        <f t="array" ref="AZ142">IF(AT121="", "", IF(AND(Y122&lt;=MIN(AZ121:BK121,AQ134:BK134),AU121&gt;=MAX(AZ121:BK121,AQ134:BK134)),"ACCEPT",IF(AND(AZ121:BK121,AQ134:BK134="OK"),"ACCEPT","REJECT")))</f>
        <v/>
      </c>
      <c r="BA142" s="63" t="str">
        <f t="shared" si="173"/>
        <v/>
      </c>
      <c r="BB142" s="63" t="str">
        <f t="shared" si="174"/>
        <v/>
      </c>
      <c r="BC142" s="63">
        <f t="shared" si="175"/>
        <v>0</v>
      </c>
      <c r="BD142" s="63">
        <f t="shared" si="176"/>
        <v>0</v>
      </c>
      <c r="BE142" s="63">
        <f t="shared" si="177"/>
        <v>0</v>
      </c>
      <c r="BF142" s="64" t="str">
        <f t="shared" si="178"/>
        <v>-</v>
      </c>
      <c r="BG142" s="61" t="s">
        <v>48</v>
      </c>
      <c r="BH142" s="35"/>
      <c r="BI142" s="59" t="s">
        <v>48</v>
      </c>
      <c r="BJ142" s="35"/>
      <c r="BK142" s="22"/>
      <c r="BL142" s="173"/>
      <c r="BM142" s="174"/>
      <c r="BN142" s="175"/>
      <c r="BO142" s="180"/>
      <c r="BP142" s="174"/>
      <c r="BQ142" s="175"/>
      <c r="BR142" s="180"/>
      <c r="BS142" s="174"/>
      <c r="BT142" s="174"/>
      <c r="BU142" s="174"/>
      <c r="BV142" s="174"/>
      <c r="BW142" s="174"/>
      <c r="BX142" s="175"/>
      <c r="BY142" s="122"/>
      <c r="BZ142" s="123"/>
      <c r="CA142" s="123"/>
      <c r="CB142" s="124"/>
      <c r="CC142" s="150" t="s">
        <v>123</v>
      </c>
      <c r="CD142" s="151"/>
      <c r="CE142" s="151"/>
      <c r="CF142" s="152"/>
    </row>
    <row r="143" spans="22:142" ht="14.4" customHeight="1" thickBot="1" x14ac:dyDescent="0.35">
      <c r="V143" s="55"/>
      <c r="W143" s="56"/>
      <c r="X143" s="56"/>
      <c r="Y143" s="56"/>
      <c r="Z143" s="56"/>
      <c r="AA143" s="56"/>
      <c r="AB143" s="56"/>
      <c r="AC143" s="56"/>
      <c r="AD143" s="56"/>
      <c r="AE143" s="56"/>
      <c r="AF143" s="56"/>
      <c r="AG143" s="56"/>
      <c r="AH143" s="56"/>
      <c r="AI143" s="56"/>
      <c r="AJ143" s="56"/>
      <c r="AK143" s="56"/>
      <c r="AL143" s="56"/>
      <c r="AM143" s="56"/>
      <c r="AN143" s="56"/>
      <c r="AO143" s="56"/>
      <c r="AP143" s="65"/>
      <c r="AQ143" s="55"/>
      <c r="AR143" s="66"/>
      <c r="AS143" s="56"/>
      <c r="AT143" s="56"/>
      <c r="AU143" s="56"/>
      <c r="AV143" s="56"/>
      <c r="AW143" s="56"/>
      <c r="AX143" s="56"/>
      <c r="AY143" s="56"/>
      <c r="AZ143" s="56"/>
      <c r="BA143" s="56"/>
      <c r="BB143" s="56"/>
      <c r="BC143" s="56"/>
      <c r="BD143" s="56"/>
      <c r="BE143" s="56"/>
      <c r="BF143" s="56"/>
      <c r="BG143" s="56"/>
      <c r="BH143" s="56"/>
      <c r="BI143" s="56"/>
      <c r="BJ143" s="56"/>
      <c r="BK143" s="65"/>
      <c r="BL143" s="176"/>
      <c r="BM143" s="177"/>
      <c r="BN143" s="178"/>
      <c r="BO143" s="181"/>
      <c r="BP143" s="177"/>
      <c r="BQ143" s="178"/>
      <c r="BR143" s="181"/>
      <c r="BS143" s="177"/>
      <c r="BT143" s="177"/>
      <c r="BU143" s="177"/>
      <c r="BV143" s="177"/>
      <c r="BW143" s="177"/>
      <c r="BX143" s="178"/>
      <c r="BY143" s="125"/>
      <c r="BZ143" s="126"/>
      <c r="CA143" s="126"/>
      <c r="CB143" s="127"/>
      <c r="CC143" s="153"/>
      <c r="CD143" s="154"/>
      <c r="CE143" s="154"/>
      <c r="CF143" s="155"/>
    </row>
    <row r="144" spans="22:142" ht="14.4" customHeight="1" thickBot="1" x14ac:dyDescent="0.35">
      <c r="V144" s="67"/>
      <c r="W144" s="68"/>
      <c r="X144" s="68"/>
      <c r="Y144" s="68"/>
      <c r="Z144" s="68"/>
      <c r="AA144" s="68"/>
      <c r="AB144" s="68"/>
      <c r="AC144" s="68"/>
      <c r="AD144" s="68"/>
      <c r="AE144" s="68"/>
      <c r="AF144" s="68"/>
      <c r="AG144" s="233" t="s">
        <v>140</v>
      </c>
      <c r="AH144" s="233"/>
      <c r="AI144" s="233"/>
      <c r="AJ144" s="234" t="s">
        <v>139</v>
      </c>
      <c r="AK144" s="234"/>
      <c r="AL144" s="234"/>
      <c r="AM144" s="234"/>
      <c r="AN144" s="234" t="s">
        <v>138</v>
      </c>
      <c r="AO144" s="234"/>
      <c r="AP144" s="235"/>
      <c r="AQ144" s="67"/>
      <c r="AR144" s="68"/>
      <c r="AS144" s="68"/>
      <c r="AT144" s="68"/>
      <c r="AU144" s="68"/>
      <c r="AV144" s="68"/>
      <c r="AW144" s="68"/>
      <c r="AX144" s="68"/>
      <c r="AY144" s="68"/>
      <c r="AZ144" s="68"/>
      <c r="BA144" s="68"/>
      <c r="BB144" s="233" t="s">
        <v>140</v>
      </c>
      <c r="BC144" s="233"/>
      <c r="BD144" s="233"/>
      <c r="BE144" s="234" t="s">
        <v>139</v>
      </c>
      <c r="BF144" s="234"/>
      <c r="BG144" s="234"/>
      <c r="BH144" s="234"/>
      <c r="BI144" s="234" t="s">
        <v>142</v>
      </c>
      <c r="BJ144" s="234"/>
      <c r="BK144" s="235"/>
      <c r="BL144" s="67"/>
      <c r="BM144" s="68"/>
      <c r="BN144" s="68"/>
      <c r="BO144" s="68"/>
      <c r="BP144" s="68"/>
      <c r="BQ144" s="68"/>
      <c r="BR144" s="68"/>
      <c r="BS144" s="68"/>
      <c r="BT144" s="68"/>
      <c r="BU144" s="68"/>
      <c r="BV144" s="68"/>
      <c r="BW144" s="68"/>
      <c r="BX144" s="68"/>
      <c r="BY144" s="68"/>
      <c r="BZ144" s="71" t="s">
        <v>133</v>
      </c>
      <c r="CA144" s="68"/>
      <c r="CB144" s="68"/>
      <c r="CC144" s="68"/>
      <c r="CD144" s="68"/>
      <c r="CE144" s="68"/>
      <c r="CF144" s="69"/>
    </row>
    <row r="145" spans="22:84" ht="14.4" customHeight="1" x14ac:dyDescent="0.3">
      <c r="V145" s="183" t="e" vm="1">
        <v>#VALUE!</v>
      </c>
      <c r="W145" s="184"/>
      <c r="X145" s="189" t="s">
        <v>1</v>
      </c>
      <c r="Y145" s="189"/>
      <c r="Z145" s="189"/>
      <c r="AA145" s="189"/>
      <c r="AB145" s="189"/>
      <c r="AC145" s="189"/>
      <c r="AD145" s="189"/>
      <c r="AE145" s="189"/>
      <c r="AF145" s="291" t="s">
        <v>2</v>
      </c>
      <c r="AG145" s="191"/>
      <c r="AH145" s="191"/>
      <c r="AI145" s="191"/>
      <c r="AJ145" s="191"/>
      <c r="AK145" s="191"/>
      <c r="AL145" s="191"/>
      <c r="AM145" s="191"/>
      <c r="AN145" s="191" t="e" vm="5">
        <v>#VALUE!</v>
      </c>
      <c r="AO145" s="191"/>
      <c r="AP145" s="192"/>
      <c r="AQ145" s="183" t="e" vm="1">
        <v>#VALUE!</v>
      </c>
      <c r="AR145" s="184"/>
      <c r="AS145" s="190" t="s">
        <v>1</v>
      </c>
      <c r="AT145" s="190"/>
      <c r="AU145" s="190"/>
      <c r="AV145" s="190"/>
      <c r="AW145" s="190"/>
      <c r="AX145" s="190"/>
      <c r="AY145" s="190"/>
      <c r="AZ145" s="190"/>
      <c r="BA145" s="190" t="s">
        <v>3</v>
      </c>
      <c r="BB145" s="190"/>
      <c r="BC145" s="190"/>
      <c r="BD145" s="190"/>
      <c r="BE145" s="190"/>
      <c r="BF145" s="190"/>
      <c r="BG145" s="190"/>
      <c r="BH145" s="190"/>
      <c r="BI145" s="191" t="e" vm="4">
        <v>#VALUE!</v>
      </c>
      <c r="BJ145" s="191"/>
      <c r="BK145" s="192"/>
      <c r="BL145" s="183" t="e" vm="1">
        <v>#VALUE!</v>
      </c>
      <c r="BM145" s="184"/>
      <c r="BN145" s="189" t="s">
        <v>1</v>
      </c>
      <c r="BO145" s="189"/>
      <c r="BP145" s="189"/>
      <c r="BQ145" s="189"/>
      <c r="BR145" s="189"/>
      <c r="BS145" s="189"/>
      <c r="BT145" s="189"/>
      <c r="BU145" s="189"/>
      <c r="BV145" s="189" t="s">
        <v>4</v>
      </c>
      <c r="BW145" s="189"/>
      <c r="BX145" s="189"/>
      <c r="BY145" s="189"/>
      <c r="BZ145" s="189"/>
      <c r="CA145" s="189"/>
      <c r="CB145" s="189"/>
      <c r="CC145" s="189"/>
      <c r="CD145" s="191" t="e" vm="3">
        <v>#VALUE!</v>
      </c>
      <c r="CE145" s="191"/>
      <c r="CF145" s="192"/>
    </row>
    <row r="146" spans="22:84" ht="14.4" customHeight="1" x14ac:dyDescent="0.3">
      <c r="V146" s="185"/>
      <c r="W146" s="186"/>
      <c r="X146" s="190"/>
      <c r="Y146" s="190"/>
      <c r="Z146" s="190"/>
      <c r="AA146" s="190"/>
      <c r="AB146" s="190"/>
      <c r="AC146" s="190"/>
      <c r="AD146" s="190"/>
      <c r="AE146" s="190"/>
      <c r="AF146" s="293"/>
      <c r="AG146" s="193"/>
      <c r="AH146" s="193"/>
      <c r="AI146" s="193"/>
      <c r="AJ146" s="193"/>
      <c r="AK146" s="193"/>
      <c r="AL146" s="193"/>
      <c r="AM146" s="193"/>
      <c r="AN146" s="193"/>
      <c r="AO146" s="193"/>
      <c r="AP146" s="194"/>
      <c r="AQ146" s="185"/>
      <c r="AR146" s="186"/>
      <c r="AS146" s="190"/>
      <c r="AT146" s="190"/>
      <c r="AU146" s="190"/>
      <c r="AV146" s="190"/>
      <c r="AW146" s="190"/>
      <c r="AX146" s="190"/>
      <c r="AY146" s="190"/>
      <c r="AZ146" s="190"/>
      <c r="BA146" s="190"/>
      <c r="BB146" s="190"/>
      <c r="BC146" s="190"/>
      <c r="BD146" s="190"/>
      <c r="BE146" s="190"/>
      <c r="BF146" s="190"/>
      <c r="BG146" s="190"/>
      <c r="BH146" s="190"/>
      <c r="BI146" s="193"/>
      <c r="BJ146" s="193"/>
      <c r="BK146" s="194"/>
      <c r="BL146" s="185"/>
      <c r="BM146" s="186"/>
      <c r="BN146" s="190"/>
      <c r="BO146" s="190"/>
      <c r="BP146" s="190"/>
      <c r="BQ146" s="190"/>
      <c r="BR146" s="190"/>
      <c r="BS146" s="190"/>
      <c r="BT146" s="190"/>
      <c r="BU146" s="190"/>
      <c r="BV146" s="190"/>
      <c r="BW146" s="190"/>
      <c r="BX146" s="190"/>
      <c r="BY146" s="190"/>
      <c r="BZ146" s="190"/>
      <c r="CA146" s="190"/>
      <c r="CB146" s="190"/>
      <c r="CC146" s="190"/>
      <c r="CD146" s="193"/>
      <c r="CE146" s="193"/>
      <c r="CF146" s="194"/>
    </row>
    <row r="147" spans="22:84" ht="14.4" customHeight="1" x14ac:dyDescent="0.3">
      <c r="V147" s="187"/>
      <c r="W147" s="188"/>
      <c r="X147" s="190"/>
      <c r="Y147" s="190"/>
      <c r="Z147" s="190"/>
      <c r="AA147" s="190"/>
      <c r="AB147" s="190"/>
      <c r="AC147" s="190"/>
      <c r="AD147" s="190"/>
      <c r="AE147" s="190"/>
      <c r="AF147" s="295"/>
      <c r="AG147" s="195"/>
      <c r="AH147" s="195"/>
      <c r="AI147" s="195"/>
      <c r="AJ147" s="195"/>
      <c r="AK147" s="195"/>
      <c r="AL147" s="195"/>
      <c r="AM147" s="195"/>
      <c r="AN147" s="193"/>
      <c r="AO147" s="193"/>
      <c r="AP147" s="194"/>
      <c r="AQ147" s="187"/>
      <c r="AR147" s="188"/>
      <c r="AS147" s="190"/>
      <c r="AT147" s="190"/>
      <c r="AU147" s="190"/>
      <c r="AV147" s="190"/>
      <c r="AW147" s="190"/>
      <c r="AX147" s="190"/>
      <c r="AY147" s="190"/>
      <c r="AZ147" s="190"/>
      <c r="BA147" s="190"/>
      <c r="BB147" s="190"/>
      <c r="BC147" s="190"/>
      <c r="BD147" s="190"/>
      <c r="BE147" s="190"/>
      <c r="BF147" s="190"/>
      <c r="BG147" s="190"/>
      <c r="BH147" s="190"/>
      <c r="BI147" s="195"/>
      <c r="BJ147" s="195"/>
      <c r="BK147" s="196"/>
      <c r="BL147" s="187"/>
      <c r="BM147" s="188"/>
      <c r="BN147" s="190"/>
      <c r="BO147" s="190"/>
      <c r="BP147" s="190"/>
      <c r="BQ147" s="190"/>
      <c r="BR147" s="190"/>
      <c r="BS147" s="190"/>
      <c r="BT147" s="190"/>
      <c r="BU147" s="190"/>
      <c r="BV147" s="190"/>
      <c r="BW147" s="190"/>
      <c r="BX147" s="190"/>
      <c r="BY147" s="190"/>
      <c r="BZ147" s="190"/>
      <c r="CA147" s="190"/>
      <c r="CB147" s="190"/>
      <c r="CC147" s="190"/>
      <c r="CD147" s="195"/>
      <c r="CE147" s="195"/>
      <c r="CF147" s="196"/>
    </row>
    <row r="148" spans="22:84" ht="14.4" customHeight="1" x14ac:dyDescent="0.3">
      <c r="V148" s="107" t="s">
        <v>7</v>
      </c>
      <c r="W148" s="106"/>
      <c r="X148" s="182" t="str">
        <f>IF(ISBLANK($C$4),"",$C$4)</f>
        <v/>
      </c>
      <c r="Y148" s="182"/>
      <c r="Z148" s="182"/>
      <c r="AA148" s="182"/>
      <c r="AB148" s="182"/>
      <c r="AC148" s="105" t="s">
        <v>8</v>
      </c>
      <c r="AD148" s="112"/>
      <c r="AE148" s="106"/>
      <c r="AF148" s="105" t="s">
        <v>9</v>
      </c>
      <c r="AG148" s="112"/>
      <c r="AH148" s="106"/>
      <c r="AI148" s="105" t="s">
        <v>10</v>
      </c>
      <c r="AJ148" s="112"/>
      <c r="AK148" s="106"/>
      <c r="AL148" s="113" t="s">
        <v>11</v>
      </c>
      <c r="AM148" s="117"/>
      <c r="AN148" s="113" t="str">
        <f>IF(ISBLANK($S$4),"",$S$4)</f>
        <v/>
      </c>
      <c r="AO148" s="117"/>
      <c r="AP148" s="114"/>
      <c r="AQ148" s="112" t="s">
        <v>7</v>
      </c>
      <c r="AR148" s="106"/>
      <c r="AS148" s="182" t="str">
        <f>IF(ISBLANK($C$4),"",$C$4)</f>
        <v/>
      </c>
      <c r="AT148" s="182"/>
      <c r="AU148" s="182"/>
      <c r="AV148" s="182"/>
      <c r="AW148" s="182"/>
      <c r="AX148" s="108" t="s">
        <v>8</v>
      </c>
      <c r="AY148" s="109"/>
      <c r="AZ148" s="110"/>
      <c r="BA148" s="108" t="s">
        <v>9</v>
      </c>
      <c r="BB148" s="109"/>
      <c r="BC148" s="110"/>
      <c r="BD148" s="108" t="s">
        <v>10</v>
      </c>
      <c r="BE148" s="109"/>
      <c r="BF148" s="110"/>
      <c r="BG148" s="113" t="s">
        <v>11</v>
      </c>
      <c r="BH148" s="114"/>
      <c r="BI148" s="113" t="str">
        <f>IF(ISBLANK($S$4),"",$S$4)</f>
        <v/>
      </c>
      <c r="BJ148" s="117"/>
      <c r="BK148" s="114"/>
      <c r="BL148" s="112" t="s">
        <v>7</v>
      </c>
      <c r="BM148" s="106"/>
      <c r="BN148" s="182" t="str">
        <f>IF(ISBLANK($C$4),"",$C$4)</f>
        <v/>
      </c>
      <c r="BO148" s="182"/>
      <c r="BP148" s="182"/>
      <c r="BQ148" s="182"/>
      <c r="BR148" s="182"/>
      <c r="BS148" s="108" t="s">
        <v>8</v>
      </c>
      <c r="BT148" s="109"/>
      <c r="BU148" s="110"/>
      <c r="BV148" s="108" t="s">
        <v>9</v>
      </c>
      <c r="BW148" s="109"/>
      <c r="BX148" s="110"/>
      <c r="BY148" s="108" t="s">
        <v>10</v>
      </c>
      <c r="BZ148" s="109"/>
      <c r="CA148" s="110"/>
      <c r="CB148" s="113" t="s">
        <v>11</v>
      </c>
      <c r="CC148" s="114"/>
      <c r="CD148" s="113" t="str">
        <f>IF(ISBLANK($S$4),"",$S$4)</f>
        <v/>
      </c>
      <c r="CE148" s="117"/>
      <c r="CF148" s="114"/>
    </row>
    <row r="149" spans="22:84" ht="14.4" customHeight="1" x14ac:dyDescent="0.3">
      <c r="V149" s="107" t="s">
        <v>12</v>
      </c>
      <c r="W149" s="106"/>
      <c r="X149" s="182" t="str">
        <f>IF(ISBLANK($C$5),"",$C$5)</f>
        <v/>
      </c>
      <c r="Y149" s="182"/>
      <c r="Z149" s="182"/>
      <c r="AA149" s="182"/>
      <c r="AB149" s="182"/>
      <c r="AC149" s="105" t="s">
        <v>13</v>
      </c>
      <c r="AD149" s="112"/>
      <c r="AE149" s="106"/>
      <c r="AF149" s="105" t="s">
        <v>14</v>
      </c>
      <c r="AG149" s="112"/>
      <c r="AH149" s="106"/>
      <c r="AI149" s="105" t="s">
        <v>15</v>
      </c>
      <c r="AJ149" s="112"/>
      <c r="AK149" s="106"/>
      <c r="AL149" s="115"/>
      <c r="AM149" s="118"/>
      <c r="AN149" s="115" t="str">
        <f>IF(ISBLANK($S$5),"",$S$5)</f>
        <v/>
      </c>
      <c r="AO149" s="118"/>
      <c r="AP149" s="116"/>
      <c r="AQ149" s="112" t="s">
        <v>12</v>
      </c>
      <c r="AR149" s="106"/>
      <c r="AS149" s="182" t="str">
        <f>IF(ISBLANK($C$5),"",$C$5)</f>
        <v/>
      </c>
      <c r="AT149" s="182"/>
      <c r="AU149" s="182"/>
      <c r="AV149" s="182"/>
      <c r="AW149" s="182"/>
      <c r="AX149" s="108" t="s">
        <v>13</v>
      </c>
      <c r="AY149" s="109"/>
      <c r="AZ149" s="110"/>
      <c r="BA149" s="108" t="s">
        <v>14</v>
      </c>
      <c r="BB149" s="109"/>
      <c r="BC149" s="110"/>
      <c r="BD149" s="108" t="s">
        <v>15</v>
      </c>
      <c r="BE149" s="109"/>
      <c r="BF149" s="110"/>
      <c r="BG149" s="115"/>
      <c r="BH149" s="116"/>
      <c r="BI149" s="115" t="str">
        <f>IF(ISBLANK($S$5),"",$S$5)</f>
        <v/>
      </c>
      <c r="BJ149" s="118"/>
      <c r="BK149" s="116"/>
      <c r="BL149" s="112" t="s">
        <v>12</v>
      </c>
      <c r="BM149" s="106"/>
      <c r="BN149" s="182" t="str">
        <f>IF(ISBLANK($C$5),"",$C$5)</f>
        <v/>
      </c>
      <c r="BO149" s="182"/>
      <c r="BP149" s="182"/>
      <c r="BQ149" s="182"/>
      <c r="BR149" s="182"/>
      <c r="BS149" s="108" t="s">
        <v>143</v>
      </c>
      <c r="BT149" s="109"/>
      <c r="BU149" s="110"/>
      <c r="BV149" s="108" t="s">
        <v>144</v>
      </c>
      <c r="BW149" s="109"/>
      <c r="BX149" s="110"/>
      <c r="BY149" s="108" t="s">
        <v>15</v>
      </c>
      <c r="BZ149" s="109"/>
      <c r="CA149" s="110"/>
      <c r="CB149" s="115"/>
      <c r="CC149" s="116"/>
      <c r="CD149" s="115" t="str">
        <f>IF(ISBLANK($S$5),"",$S$5)</f>
        <v/>
      </c>
      <c r="CE149" s="118"/>
      <c r="CF149" s="116"/>
    </row>
    <row r="150" spans="22:84" ht="14.4" customHeight="1" x14ac:dyDescent="0.3">
      <c r="V150" s="107" t="s">
        <v>42</v>
      </c>
      <c r="W150" s="106"/>
      <c r="X150" s="182" t="str">
        <f>IF(ISBLANK($C$6),"",$C$6)</f>
        <v/>
      </c>
      <c r="Y150" s="182"/>
      <c r="Z150" s="182"/>
      <c r="AA150" s="182"/>
      <c r="AB150" s="182"/>
      <c r="AC150" s="253"/>
      <c r="AD150" s="254"/>
      <c r="AE150" s="255"/>
      <c r="AF150" s="253"/>
      <c r="AG150" s="254"/>
      <c r="AH150" s="255"/>
      <c r="AI150" s="253"/>
      <c r="AJ150" s="254"/>
      <c r="AK150" s="255"/>
      <c r="AL150" s="105" t="s">
        <v>43</v>
      </c>
      <c r="AM150" s="106"/>
      <c r="AN150" s="115" t="str">
        <f>IF(ISBLANK($S$6),"",$S$6)</f>
        <v/>
      </c>
      <c r="AO150" s="118"/>
      <c r="AP150" s="252"/>
      <c r="AQ150" s="107" t="s">
        <v>42</v>
      </c>
      <c r="AR150" s="106"/>
      <c r="AS150" s="182" t="str">
        <f>IF(ISBLANK($C$6),"",$C$6)</f>
        <v/>
      </c>
      <c r="AT150" s="182"/>
      <c r="AU150" s="182"/>
      <c r="AV150" s="182"/>
      <c r="AW150" s="182"/>
      <c r="AX150" s="253"/>
      <c r="AY150" s="254"/>
      <c r="AZ150" s="255"/>
      <c r="BA150" s="253"/>
      <c r="BB150" s="254"/>
      <c r="BC150" s="255"/>
      <c r="BD150" s="253"/>
      <c r="BE150" s="254"/>
      <c r="BF150" s="255"/>
      <c r="BG150" s="105" t="s">
        <v>43</v>
      </c>
      <c r="BH150" s="106"/>
      <c r="BI150" s="115" t="str">
        <f>IF(ISBLANK($S$6),"",$S$6)</f>
        <v/>
      </c>
      <c r="BJ150" s="118"/>
      <c r="BK150" s="252"/>
      <c r="BL150" s="107" t="s">
        <v>42</v>
      </c>
      <c r="BM150" s="106"/>
      <c r="BN150" s="182" t="str">
        <f>IF(ISBLANK($C$6),"",$C$6)</f>
        <v/>
      </c>
      <c r="BO150" s="182"/>
      <c r="BP150" s="182"/>
      <c r="BQ150" s="182"/>
      <c r="BR150" s="182"/>
      <c r="BS150" s="141"/>
      <c r="BT150" s="142"/>
      <c r="BU150" s="143"/>
      <c r="BV150" s="141"/>
      <c r="BW150" s="142"/>
      <c r="BX150" s="143"/>
      <c r="BY150" s="141"/>
      <c r="BZ150" s="142"/>
      <c r="CA150" s="143"/>
      <c r="CB150" s="105" t="s">
        <v>43</v>
      </c>
      <c r="CC150" s="106"/>
      <c r="CD150" s="115" t="str">
        <f>IF(ISBLANK($S$6),"",$S$6)</f>
        <v/>
      </c>
      <c r="CE150" s="118"/>
      <c r="CF150" s="252"/>
    </row>
    <row r="151" spans="22:84" ht="14.4" customHeight="1" x14ac:dyDescent="0.3">
      <c r="V151" s="107" t="s">
        <v>16</v>
      </c>
      <c r="W151" s="106"/>
      <c r="X151" s="182" t="str">
        <f>IF(ISBLANK($C$7),"",$C$7)</f>
        <v/>
      </c>
      <c r="Y151" s="182"/>
      <c r="Z151" s="182"/>
      <c r="AA151" s="182"/>
      <c r="AB151" s="182"/>
      <c r="AC151" s="256"/>
      <c r="AD151" s="257"/>
      <c r="AE151" s="258"/>
      <c r="AF151" s="256"/>
      <c r="AG151" s="257"/>
      <c r="AH151" s="258"/>
      <c r="AI151" s="256"/>
      <c r="AJ151" s="257"/>
      <c r="AK151" s="258"/>
      <c r="AL151" s="105" t="s">
        <v>44</v>
      </c>
      <c r="AM151" s="106"/>
      <c r="AN151" s="313" t="str">
        <f>IF(AJ153&lt;&gt;"", AJ153+7, "")</f>
        <v/>
      </c>
      <c r="AO151" s="314"/>
      <c r="AP151" s="315"/>
      <c r="AQ151" s="107" t="s">
        <v>16</v>
      </c>
      <c r="AR151" s="106"/>
      <c r="AS151" s="182" t="str">
        <f>IF(ISBLANK($C$7),"",$C$7)</f>
        <v/>
      </c>
      <c r="AT151" s="182"/>
      <c r="AU151" s="182"/>
      <c r="AV151" s="182"/>
      <c r="AW151" s="182"/>
      <c r="AX151" s="256"/>
      <c r="AY151" s="257"/>
      <c r="AZ151" s="258"/>
      <c r="BA151" s="256"/>
      <c r="BB151" s="257"/>
      <c r="BC151" s="258"/>
      <c r="BD151" s="256"/>
      <c r="BE151" s="257"/>
      <c r="BF151" s="258"/>
      <c r="BG151" s="105" t="s">
        <v>44</v>
      </c>
      <c r="BH151" s="106"/>
      <c r="BI151" s="313" t="str">
        <f>IF(BE153&lt;&gt;"", BE153+7, "")</f>
        <v/>
      </c>
      <c r="BJ151" s="314"/>
      <c r="BK151" s="315"/>
      <c r="BL151" s="107" t="s">
        <v>16</v>
      </c>
      <c r="BM151" s="106"/>
      <c r="BN151" s="182" t="str">
        <f>IF(ISBLANK($C$7),"",$C$7)</f>
        <v/>
      </c>
      <c r="BO151" s="182"/>
      <c r="BP151" s="182"/>
      <c r="BQ151" s="182"/>
      <c r="BR151" s="182"/>
      <c r="BS151" s="144"/>
      <c r="BT151" s="145"/>
      <c r="BU151" s="146"/>
      <c r="BV151" s="144"/>
      <c r="BW151" s="145"/>
      <c r="BX151" s="146"/>
      <c r="BY151" s="144"/>
      <c r="BZ151" s="145"/>
      <c r="CA151" s="146"/>
      <c r="CB151" s="105" t="s">
        <v>44</v>
      </c>
      <c r="CC151" s="106"/>
      <c r="CD151" s="105" t="str">
        <f>IF(ISBLANK($S$7),"",$S$7)</f>
        <v/>
      </c>
      <c r="CE151" s="112"/>
      <c r="CF151" s="311"/>
    </row>
    <row r="152" spans="22:84" ht="14.4" customHeight="1" x14ac:dyDescent="0.3">
      <c r="V152" s="107" t="s">
        <v>17</v>
      </c>
      <c r="W152" s="106"/>
      <c r="X152" s="182" t="str">
        <f>IF(ISBLANK($C$8),"",$C$8)</f>
        <v/>
      </c>
      <c r="Y152" s="182"/>
      <c r="Z152" s="182"/>
      <c r="AA152" s="182"/>
      <c r="AB152" s="182"/>
      <c r="AC152" s="259"/>
      <c r="AD152" s="257"/>
      <c r="AE152" s="260"/>
      <c r="AF152" s="259"/>
      <c r="AG152" s="261"/>
      <c r="AH152" s="260"/>
      <c r="AI152" s="259"/>
      <c r="AJ152" s="261"/>
      <c r="AK152" s="260"/>
      <c r="AL152" s="105" t="s">
        <v>46</v>
      </c>
      <c r="AM152" s="106"/>
      <c r="AN152" s="78">
        <v>4</v>
      </c>
      <c r="AO152" s="78" t="s">
        <v>47</v>
      </c>
      <c r="AP152" s="82">
        <f>COUNTA(V15,V63,V111,V159,V207,V255,V303,V351,V399,V447)</f>
        <v>0</v>
      </c>
      <c r="AQ152" s="107" t="s">
        <v>17</v>
      </c>
      <c r="AR152" s="106"/>
      <c r="AS152" s="182" t="str">
        <f>IF(ISBLANK($C$8),"",$C$8)</f>
        <v/>
      </c>
      <c r="AT152" s="182"/>
      <c r="AU152" s="182"/>
      <c r="AV152" s="182"/>
      <c r="AW152" s="182"/>
      <c r="AX152" s="259"/>
      <c r="AY152" s="257"/>
      <c r="AZ152" s="260"/>
      <c r="BA152" s="259"/>
      <c r="BB152" s="261"/>
      <c r="BC152" s="260"/>
      <c r="BD152" s="259"/>
      <c r="BE152" s="261"/>
      <c r="BF152" s="260"/>
      <c r="BG152" s="105" t="s">
        <v>46</v>
      </c>
      <c r="BH152" s="106"/>
      <c r="BI152" s="78">
        <v>4</v>
      </c>
      <c r="BJ152" s="78" t="s">
        <v>47</v>
      </c>
      <c r="BK152" s="82">
        <f>IF(ISBLANK(AP8),"",AP8)</f>
        <v>0</v>
      </c>
      <c r="BL152" s="107" t="s">
        <v>17</v>
      </c>
      <c r="BM152" s="106"/>
      <c r="BN152" s="182" t="str">
        <f>IF(ISBLANK($C$8),"",$C$8)</f>
        <v/>
      </c>
      <c r="BO152" s="182"/>
      <c r="BP152" s="182"/>
      <c r="BQ152" s="182"/>
      <c r="BR152" s="182"/>
      <c r="BS152" s="147"/>
      <c r="BT152" s="148"/>
      <c r="BU152" s="149"/>
      <c r="BV152" s="147"/>
      <c r="BW152" s="148"/>
      <c r="BX152" s="149"/>
      <c r="BY152" s="147"/>
      <c r="BZ152" s="148"/>
      <c r="CA152" s="149"/>
      <c r="CB152" s="18" t="s">
        <v>46</v>
      </c>
      <c r="CC152" s="11"/>
      <c r="CD152" s="14">
        <v>4</v>
      </c>
      <c r="CE152" s="14" t="s">
        <v>47</v>
      </c>
      <c r="CF152" s="19">
        <f>COUNT(BN157,BN205,BN253,BN301,BN349,BN397,BN445,BN493,BN541,BN589)</f>
        <v>0</v>
      </c>
    </row>
    <row r="153" spans="22:84" ht="14.4" customHeight="1" x14ac:dyDescent="0.3">
      <c r="V153" s="107" t="s">
        <v>18</v>
      </c>
      <c r="W153" s="106"/>
      <c r="X153" s="108" t="e">
        <f>IF(ISBLANK($S$10),"",$S$10)</f>
        <v>#N/A</v>
      </c>
      <c r="Y153" s="109"/>
      <c r="Z153" s="109"/>
      <c r="AA153" s="3"/>
      <c r="AB153" s="74"/>
      <c r="AC153" s="103" t="s">
        <v>48</v>
      </c>
      <c r="AD153" s="244"/>
      <c r="AE153" s="236"/>
      <c r="AF153" s="103" t="s">
        <v>48</v>
      </c>
      <c r="AG153" s="236"/>
      <c r="AH153" s="236"/>
      <c r="AI153" s="103" t="s">
        <v>48</v>
      </c>
      <c r="AJ153" s="237"/>
      <c r="AK153" s="238"/>
      <c r="AL153" s="85"/>
      <c r="AM153" s="85"/>
      <c r="AN153" s="85"/>
      <c r="AO153" s="85"/>
      <c r="AP153" s="22"/>
      <c r="AQ153" s="107" t="s">
        <v>18</v>
      </c>
      <c r="AR153" s="106"/>
      <c r="AS153" s="108" t="e">
        <f>IF(ISBLANK($S$10),"",$S$10)</f>
        <v>#N/A</v>
      </c>
      <c r="AT153" s="109"/>
      <c r="AU153" s="110"/>
      <c r="AV153" s="20"/>
      <c r="AW153" s="4"/>
      <c r="AX153" s="104" t="s">
        <v>48</v>
      </c>
      <c r="AY153" s="244"/>
      <c r="AZ153" s="236"/>
      <c r="BA153" s="104" t="s">
        <v>48</v>
      </c>
      <c r="BB153" s="236"/>
      <c r="BC153" s="236"/>
      <c r="BD153" s="104" t="s">
        <v>48</v>
      </c>
      <c r="BE153" s="237"/>
      <c r="BF153" s="238"/>
      <c r="BJ153" s="20"/>
      <c r="BK153" s="23"/>
      <c r="BL153" s="107" t="s">
        <v>18</v>
      </c>
      <c r="BM153" s="106"/>
      <c r="BN153" s="108" t="e">
        <f>IF(ISBLANK($S$10),"",$S$10)</f>
        <v>#N/A</v>
      </c>
      <c r="BO153" s="109"/>
      <c r="BP153" s="110"/>
      <c r="BQ153" s="20"/>
      <c r="BR153" s="4"/>
      <c r="BS153" s="78" t="s">
        <v>48</v>
      </c>
      <c r="BT153" s="197" t="str">
        <f>IF(ISBLANK($I$9),"",$I$9)</f>
        <v/>
      </c>
      <c r="BU153" s="198"/>
      <c r="BV153" s="78" t="s">
        <v>48</v>
      </c>
      <c r="BW153" s="197" t="str">
        <f>IF(ISBLANK($L$9),"",$L$9)</f>
        <v/>
      </c>
      <c r="BX153" s="198"/>
      <c r="BY153" s="78" t="s">
        <v>48</v>
      </c>
      <c r="BZ153" s="197" t="str">
        <f>IF(ISBLANK($O$9),"",$O$9)</f>
        <v/>
      </c>
      <c r="CA153" s="198"/>
      <c r="CB153" s="24"/>
      <c r="CC153" s="24"/>
      <c r="CD153" s="24"/>
      <c r="CE153" s="20"/>
      <c r="CF153" s="23"/>
    </row>
    <row r="154" spans="22:84" ht="14.4" customHeight="1" x14ac:dyDescent="0.3">
      <c r="V154" s="107" t="s">
        <v>19</v>
      </c>
      <c r="W154" s="106"/>
      <c r="X154" s="14" t="str">
        <f>IF(ISBLANK($S$11),"",$S$11)</f>
        <v/>
      </c>
      <c r="Y154" s="14" t="s">
        <v>47</v>
      </c>
      <c r="Z154" s="14">
        <f>IF(ISBLANK($U$11),"",$U$11)</f>
        <v>0</v>
      </c>
      <c r="AB154" s="269" t="s">
        <v>58</v>
      </c>
      <c r="AC154" s="87" t="s">
        <v>59</v>
      </c>
      <c r="AD154" s="270"/>
      <c r="AE154" s="271"/>
      <c r="AF154" s="84" t="s">
        <v>60</v>
      </c>
      <c r="AG154" s="88"/>
      <c r="AH154" s="85"/>
      <c r="AI154" s="335" t="s">
        <v>61</v>
      </c>
      <c r="AJ154" s="78" t="s">
        <v>62</v>
      </c>
      <c r="AK154" s="81"/>
      <c r="AL154" s="85"/>
      <c r="AM154" s="85"/>
      <c r="AN154" s="85"/>
      <c r="AO154" s="85"/>
      <c r="AP154" s="22"/>
      <c r="AQ154" s="107" t="s">
        <v>19</v>
      </c>
      <c r="AR154" s="106"/>
      <c r="AS154" s="14" t="str">
        <f>IF(ISBLANK($S$11),"",$S$11)</f>
        <v/>
      </c>
      <c r="AT154" s="14" t="s">
        <v>47</v>
      </c>
      <c r="AU154" s="14">
        <f>IF(ISBLANK($U$11),"",$U$11)</f>
        <v>0</v>
      </c>
      <c r="AW154" s="20"/>
      <c r="AX154" s="30"/>
      <c r="AY154" s="30"/>
      <c r="BC154" s="30"/>
      <c r="BD154" s="335" t="s">
        <v>61</v>
      </c>
      <c r="BE154" s="29" t="s">
        <v>62</v>
      </c>
      <c r="BF154" s="29" t="str">
        <f>IF(ISBLANK($BF$10),"",$BF$10)</f>
        <v/>
      </c>
      <c r="BG154" s="266" t="s">
        <v>63</v>
      </c>
      <c r="BH154" s="266"/>
      <c r="BI154" s="14" t="str">
        <f>IF(ISBLANK($BI$10),"",BI106)</f>
        <v/>
      </c>
      <c r="BJ154" s="20"/>
      <c r="BK154" s="23"/>
      <c r="BL154" s="111" t="s">
        <v>19</v>
      </c>
      <c r="BM154" s="110"/>
      <c r="BN154" s="14" t="str">
        <f>IF(ISBLANK($S$11),"",$S$11)</f>
        <v/>
      </c>
      <c r="BO154" s="14" t="s">
        <v>47</v>
      </c>
      <c r="BP154" s="14">
        <f>IF(ISBLANK($U$11),"",$U$11)</f>
        <v>0</v>
      </c>
      <c r="BR154" s="20"/>
      <c r="BS154" s="30"/>
      <c r="BT154" s="30"/>
      <c r="BU154" s="30"/>
      <c r="BV154" s="30"/>
      <c r="BW154" s="30"/>
      <c r="BX154" s="30"/>
      <c r="BY154" s="30"/>
      <c r="BZ154" s="30"/>
      <c r="CA154" s="30"/>
      <c r="CB154" s="30"/>
      <c r="CC154" s="30"/>
      <c r="CD154" s="30"/>
      <c r="CE154" s="20"/>
      <c r="CF154" s="23"/>
    </row>
    <row r="155" spans="22:84" ht="14.4" customHeight="1" x14ac:dyDescent="0.3">
      <c r="V155" s="33"/>
      <c r="AB155" s="269"/>
      <c r="AC155" s="87" t="s">
        <v>80</v>
      </c>
      <c r="AD155" s="245"/>
      <c r="AE155" s="246"/>
      <c r="AF155" s="90" t="s">
        <v>81</v>
      </c>
      <c r="AG155" s="88"/>
      <c r="AH155" s="85"/>
      <c r="AI155" s="335"/>
      <c r="AJ155" s="78" t="s">
        <v>82</v>
      </c>
      <c r="AK155" s="88"/>
      <c r="AL155" s="267" t="s">
        <v>83</v>
      </c>
      <c r="AM155" s="268"/>
      <c r="AN155" s="81"/>
      <c r="AO155" s="85"/>
      <c r="AP155" s="22"/>
      <c r="AQ155" s="34"/>
      <c r="AR155" s="20"/>
      <c r="AS155" s="20"/>
      <c r="AT155" s="20"/>
      <c r="AU155" s="20"/>
      <c r="AV155" s="20"/>
      <c r="AW155" s="20"/>
      <c r="AX155" s="20"/>
      <c r="AY155" s="20"/>
      <c r="BC155" s="20"/>
      <c r="BD155" s="335"/>
      <c r="BE155" s="29" t="s">
        <v>82</v>
      </c>
      <c r="BF155" s="29" t="str">
        <f>IF(ISBLANK($BF$11),"",$BF$11)</f>
        <v/>
      </c>
      <c r="BG155" s="20"/>
      <c r="BH155" s="20"/>
      <c r="BI155" s="20"/>
      <c r="BJ155" s="20"/>
      <c r="BK155" s="23"/>
      <c r="BL155" s="33"/>
      <c r="CF155" s="22"/>
    </row>
    <row r="156" spans="22:84" ht="14.4" customHeight="1" x14ac:dyDescent="0.3">
      <c r="V156" s="33"/>
      <c r="AP156" s="22"/>
      <c r="AQ156" s="356" t="s">
        <v>49</v>
      </c>
      <c r="AR156" s="342" t="s">
        <v>85</v>
      </c>
      <c r="AS156" s="342"/>
      <c r="AT156" s="14" t="s">
        <v>51</v>
      </c>
      <c r="AU156" s="14" t="s">
        <v>86</v>
      </c>
      <c r="AV156" s="10"/>
      <c r="AW156" s="14" t="s">
        <v>87</v>
      </c>
      <c r="AX156" s="272" t="s">
        <v>54</v>
      </c>
      <c r="AY156" s="272"/>
      <c r="AZ156" s="20"/>
      <c r="BA156" s="20"/>
      <c r="BB156" s="20"/>
      <c r="BC156" s="20"/>
      <c r="BD156" s="20"/>
      <c r="BE156" s="20"/>
      <c r="BF156" s="20"/>
      <c r="BG156" s="20"/>
      <c r="BH156" s="20"/>
      <c r="BI156" s="20"/>
      <c r="BJ156" s="20"/>
      <c r="BK156" s="23"/>
      <c r="BL156" s="128" t="s">
        <v>88</v>
      </c>
      <c r="BM156" s="129"/>
      <c r="BN156" s="130"/>
      <c r="BO156" s="131" t="s">
        <v>89</v>
      </c>
      <c r="BP156" s="132"/>
      <c r="BQ156" s="133"/>
      <c r="BR156" s="131" t="s">
        <v>90</v>
      </c>
      <c r="BS156" s="132"/>
      <c r="BT156" s="132"/>
      <c r="BU156" s="132"/>
      <c r="BV156" s="132"/>
      <c r="BW156" s="132"/>
      <c r="BX156" s="133"/>
      <c r="BY156" s="131" t="s">
        <v>91</v>
      </c>
      <c r="BZ156" s="132"/>
      <c r="CA156" s="132"/>
      <c r="CB156" s="133"/>
      <c r="CC156" s="131" t="s">
        <v>92</v>
      </c>
      <c r="CD156" s="132"/>
      <c r="CE156" s="132"/>
      <c r="CF156" s="156"/>
    </row>
    <row r="157" spans="22:84" ht="14.4" customHeight="1" x14ac:dyDescent="0.3">
      <c r="V157" s="262" t="s">
        <v>49</v>
      </c>
      <c r="W157" s="264" t="s">
        <v>94</v>
      </c>
      <c r="X157" s="264"/>
      <c r="Y157" s="31" t="s">
        <v>51</v>
      </c>
      <c r="Z157" s="14" t="s">
        <v>52</v>
      </c>
      <c r="AA157" s="14" t="s">
        <v>53</v>
      </c>
      <c r="AB157" s="108" t="s">
        <v>54</v>
      </c>
      <c r="AC157" s="110"/>
      <c r="AD157" s="363" t="s">
        <v>145</v>
      </c>
      <c r="AE157" s="364"/>
      <c r="AF157" s="108" t="s">
        <v>56</v>
      </c>
      <c r="AG157" s="109"/>
      <c r="AH157" s="109"/>
      <c r="AI157" s="109"/>
      <c r="AJ157" s="110"/>
      <c r="AK157" s="108" t="s">
        <v>57</v>
      </c>
      <c r="AL157" s="109"/>
      <c r="AM157" s="109"/>
      <c r="AN157" s="109"/>
      <c r="AO157" s="110"/>
      <c r="AP157" s="22"/>
      <c r="AQ157" s="357"/>
      <c r="AR157" s="342"/>
      <c r="AS157" s="342"/>
      <c r="AT157" s="14" t="s">
        <v>64</v>
      </c>
      <c r="AU157" s="14" t="s">
        <v>65</v>
      </c>
      <c r="AV157" s="14" t="s">
        <v>95</v>
      </c>
      <c r="AW157" s="14" t="s">
        <v>66</v>
      </c>
      <c r="AX157" s="14" t="s">
        <v>67</v>
      </c>
      <c r="AY157" s="14" t="s">
        <v>68</v>
      </c>
      <c r="AZ157" s="239" t="s">
        <v>69</v>
      </c>
      <c r="BA157" s="239"/>
      <c r="BB157" s="239"/>
      <c r="BC157" s="239" t="s">
        <v>70</v>
      </c>
      <c r="BD157" s="239"/>
      <c r="BE157" s="239"/>
      <c r="BF157" s="239" t="s">
        <v>71</v>
      </c>
      <c r="BG157" s="239"/>
      <c r="BH157" s="239"/>
      <c r="BI157" s="239" t="s">
        <v>72</v>
      </c>
      <c r="BJ157" s="239"/>
      <c r="BK157" s="240"/>
      <c r="BL157" s="158" t="s">
        <v>96</v>
      </c>
      <c r="BM157" s="159"/>
      <c r="BN157" s="35"/>
      <c r="BO157" s="134"/>
      <c r="BP157" s="135"/>
      <c r="BQ157" s="136"/>
      <c r="BR157" s="134"/>
      <c r="BS157" s="135"/>
      <c r="BT157" s="135"/>
      <c r="BU157" s="135"/>
      <c r="BV157" s="135"/>
      <c r="BW157" s="135"/>
      <c r="BX157" s="136"/>
      <c r="BY157" s="134"/>
      <c r="BZ157" s="135"/>
      <c r="CA157" s="135"/>
      <c r="CB157" s="136"/>
      <c r="CC157" s="134"/>
      <c r="CD157" s="135"/>
      <c r="CE157" s="135"/>
      <c r="CF157" s="157"/>
    </row>
    <row r="158" spans="22:84" ht="14.4" customHeight="1" x14ac:dyDescent="0.3">
      <c r="V158" s="263"/>
      <c r="W158" s="264"/>
      <c r="X158" s="264"/>
      <c r="Y158" s="31" t="s">
        <v>64</v>
      </c>
      <c r="Z158" s="14" t="s">
        <v>65</v>
      </c>
      <c r="AA158" s="14" t="s">
        <v>66</v>
      </c>
      <c r="AB158" s="14" t="s">
        <v>67</v>
      </c>
      <c r="AC158" s="14" t="s">
        <v>68</v>
      </c>
      <c r="AD158" s="365"/>
      <c r="AE158" s="366"/>
      <c r="AF158" s="14">
        <v>1</v>
      </c>
      <c r="AG158" s="14">
        <v>2</v>
      </c>
      <c r="AH158" s="14">
        <v>3</v>
      </c>
      <c r="AI158" s="14">
        <v>4</v>
      </c>
      <c r="AJ158" s="14">
        <v>5</v>
      </c>
      <c r="AK158" s="14">
        <v>1</v>
      </c>
      <c r="AL158" s="14">
        <v>2</v>
      </c>
      <c r="AM158" s="14">
        <v>3</v>
      </c>
      <c r="AN158" s="14">
        <v>4</v>
      </c>
      <c r="AO158" s="14">
        <v>5</v>
      </c>
      <c r="AP158" s="22"/>
      <c r="AQ158" s="36" t="str">
        <f>IF(ISBLANK(V159),"",V159)</f>
        <v/>
      </c>
      <c r="AR158" s="287" t="str">
        <f>IF(OR(AW158="QC",ISTEXT(Y159)), W159, "")</f>
        <v/>
      </c>
      <c r="AS158" s="288"/>
      <c r="AT158" s="37" t="str">
        <f>IF(OR(AW158="QC",ISTEXT(Y159)), Y159, "")</f>
        <v/>
      </c>
      <c r="AU158" s="37" t="str">
        <f>IF(OR(AW158="QC",ISTEXT(Y159)), Z159, "")</f>
        <v/>
      </c>
      <c r="AV158" s="37" t="str">
        <f>IF(ISBLANK(Z173),"",Z173)</f>
        <v/>
      </c>
      <c r="AW158" s="38" t="str">
        <f>IF(ISBLANK(AA159),"",AA159)</f>
        <v/>
      </c>
      <c r="AX158" s="38" t="str">
        <f>IF(OR(AW158="QC",ISTEXT(Y159)), AB159, "")</f>
        <v/>
      </c>
      <c r="AY158" s="38" t="str">
        <f>IF(OR(AW158="QC",ISTEXT(Y159)), AC159, "")</f>
        <v/>
      </c>
      <c r="AZ158" s="39"/>
      <c r="BA158" s="39"/>
      <c r="BB158" s="39"/>
      <c r="BC158" s="39"/>
      <c r="BD158" s="39"/>
      <c r="BE158" s="39"/>
      <c r="BF158" s="39"/>
      <c r="BG158" s="39"/>
      <c r="BH158" s="39"/>
      <c r="BI158" s="39"/>
      <c r="BJ158" s="39"/>
      <c r="BK158" s="40"/>
      <c r="BL158" s="158" t="s">
        <v>97</v>
      </c>
      <c r="BM158" s="159"/>
      <c r="BN158" s="41" t="s">
        <v>98</v>
      </c>
      <c r="BO158" s="204" t="s">
        <v>99</v>
      </c>
      <c r="BP158" s="205"/>
      <c r="BQ158" s="206"/>
      <c r="BR158" s="207" t="s">
        <v>100</v>
      </c>
      <c r="BS158" s="208"/>
      <c r="BT158" s="208"/>
      <c r="BU158" s="209"/>
      <c r="BV158" s="217"/>
      <c r="BW158" s="218"/>
      <c r="BX158" s="219"/>
      <c r="BY158" s="119"/>
      <c r="BZ158" s="120"/>
      <c r="CA158" s="120"/>
      <c r="CB158" s="121"/>
      <c r="CC158" s="119"/>
      <c r="CD158" s="120"/>
      <c r="CE158" s="120"/>
      <c r="CF158" s="214"/>
    </row>
    <row r="159" spans="22:84" ht="14.4" customHeight="1" x14ac:dyDescent="0.3">
      <c r="V159" s="36"/>
      <c r="W159" s="249"/>
      <c r="X159" s="250"/>
      <c r="Y159" s="37"/>
      <c r="Z159" s="38"/>
      <c r="AA159" s="38"/>
      <c r="AB159" s="38" t="str">
        <f t="shared" ref="AB159:AB170" si="182">IF(ISNUMBER(Y159),(Y159+Z159)/2-3*(Z159 - (Y159+Z159)/2) / (3 * AA173),"")</f>
        <v/>
      </c>
      <c r="AC159" s="38" t="str">
        <f t="shared" ref="AC159:AC170" si="183">IF(ISNUMBER(Z159),(Y159+Z159)/2+3*(Z159 - (Y159+Z159)/2) / (3 * AA173),"")</f>
        <v/>
      </c>
      <c r="AD159" s="247"/>
      <c r="AE159" s="248"/>
      <c r="AF159" s="39"/>
      <c r="AG159" s="39"/>
      <c r="AH159" s="39"/>
      <c r="AI159" s="39"/>
      <c r="AJ159" s="39"/>
      <c r="AK159" s="39"/>
      <c r="AL159" s="39"/>
      <c r="AM159" s="39"/>
      <c r="AN159" s="39"/>
      <c r="AO159" s="39"/>
      <c r="AP159" s="22"/>
      <c r="AQ159" s="36" t="str">
        <f t="shared" ref="AQ159:AQ169" si="184">IF(ISBLANK(V160),"",V160)</f>
        <v/>
      </c>
      <c r="AR159" s="287" t="str">
        <f t="shared" ref="AR159:AR169" si="185">IF(OR(AW159="QC",ISTEXT(Y160)), W160, "")</f>
        <v/>
      </c>
      <c r="AS159" s="288"/>
      <c r="AT159" s="37" t="str">
        <f t="shared" ref="AT159:AT169" si="186">IF(OR(AW159="QC",ISTEXT(Y160)), Y160, "")</f>
        <v/>
      </c>
      <c r="AU159" s="37" t="str">
        <f t="shared" ref="AU159:AU169" si="187">IF(OR(AW159="QC",ISTEXT(Y160)), Z160, "")</f>
        <v/>
      </c>
      <c r="AV159" s="37" t="str">
        <f t="shared" ref="AV159:AV169" si="188">IF(ISBLANK(Z174),"",Z174)</f>
        <v/>
      </c>
      <c r="AW159" s="38" t="str">
        <f t="shared" ref="AW159:AW169" si="189">IF(ISBLANK(AA160),"",AA160)</f>
        <v/>
      </c>
      <c r="AX159" s="38" t="str">
        <f t="shared" ref="AX159:AX169" si="190">IF(OR(AW159="QC",ISTEXT(Y160)), AB160, "")</f>
        <v/>
      </c>
      <c r="AY159" s="38" t="str">
        <f t="shared" ref="AY159:AY169" si="191">IF(OR(AW159="QC",ISTEXT(Y160)), AC160, "")</f>
        <v/>
      </c>
      <c r="AZ159" s="39"/>
      <c r="BA159" s="39"/>
      <c r="BB159" s="39"/>
      <c r="BC159" s="39"/>
      <c r="BD159" s="39"/>
      <c r="BE159" s="39"/>
      <c r="BF159" s="39"/>
      <c r="BG159" s="39"/>
      <c r="BH159" s="39"/>
      <c r="BI159" s="39"/>
      <c r="BJ159" s="39"/>
      <c r="BK159" s="40"/>
      <c r="BL159" s="158" t="s">
        <v>102</v>
      </c>
      <c r="BM159" s="159"/>
      <c r="BN159" s="42" t="s">
        <v>103</v>
      </c>
      <c r="BO159" s="119"/>
      <c r="BP159" s="120"/>
      <c r="BQ159" s="121"/>
      <c r="BR159" s="137" t="s">
        <v>104</v>
      </c>
      <c r="BS159" s="138"/>
      <c r="BT159" s="164"/>
      <c r="BU159" s="165"/>
      <c r="BV159" s="165"/>
      <c r="BW159" s="165"/>
      <c r="BX159" s="166"/>
      <c r="BY159" s="122"/>
      <c r="BZ159" s="123"/>
      <c r="CA159" s="123"/>
      <c r="CB159" s="124"/>
      <c r="CC159" s="122"/>
      <c r="CD159" s="123"/>
      <c r="CE159" s="123"/>
      <c r="CF159" s="215"/>
    </row>
    <row r="160" spans="22:84" ht="14.4" customHeight="1" x14ac:dyDescent="0.3">
      <c r="V160" s="36"/>
      <c r="W160" s="249"/>
      <c r="X160" s="250"/>
      <c r="Y160" s="37"/>
      <c r="Z160" s="38"/>
      <c r="AA160" s="38"/>
      <c r="AB160" s="38" t="str">
        <f t="shared" si="182"/>
        <v/>
      </c>
      <c r="AC160" s="38" t="str">
        <f t="shared" si="183"/>
        <v/>
      </c>
      <c r="AD160" s="247"/>
      <c r="AE160" s="248"/>
      <c r="AF160" s="39"/>
      <c r="AG160" s="39"/>
      <c r="AH160" s="39"/>
      <c r="AI160" s="39"/>
      <c r="AJ160" s="39"/>
      <c r="AK160" s="39"/>
      <c r="AL160" s="39"/>
      <c r="AM160" s="39"/>
      <c r="AN160" s="39"/>
      <c r="AO160" s="39"/>
      <c r="AP160" s="22"/>
      <c r="AQ160" s="36" t="str">
        <f t="shared" si="184"/>
        <v/>
      </c>
      <c r="AR160" s="287" t="str">
        <f t="shared" si="185"/>
        <v/>
      </c>
      <c r="AS160" s="288"/>
      <c r="AT160" s="37" t="str">
        <f t="shared" si="186"/>
        <v/>
      </c>
      <c r="AU160" s="37" t="str">
        <f t="shared" si="187"/>
        <v/>
      </c>
      <c r="AV160" s="37" t="str">
        <f t="shared" si="188"/>
        <v/>
      </c>
      <c r="AW160" s="38" t="str">
        <f t="shared" si="189"/>
        <v/>
      </c>
      <c r="AX160" s="38" t="str">
        <f t="shared" si="190"/>
        <v/>
      </c>
      <c r="AY160" s="38" t="str">
        <f t="shared" si="191"/>
        <v/>
      </c>
      <c r="AZ160" s="39"/>
      <c r="BA160" s="39"/>
      <c r="BB160" s="39"/>
      <c r="BC160" s="39"/>
      <c r="BD160" s="39"/>
      <c r="BE160" s="39"/>
      <c r="BF160" s="39"/>
      <c r="BG160" s="39"/>
      <c r="BH160" s="39"/>
      <c r="BI160" s="39"/>
      <c r="BJ160" s="39"/>
      <c r="BK160" s="40"/>
      <c r="BL160" s="210" t="s">
        <v>105</v>
      </c>
      <c r="BM160" s="211"/>
      <c r="BN160" s="28" t="s">
        <v>101</v>
      </c>
      <c r="BO160" s="125"/>
      <c r="BP160" s="126"/>
      <c r="BQ160" s="127"/>
      <c r="BR160" s="139"/>
      <c r="BS160" s="140"/>
      <c r="BT160" s="167"/>
      <c r="BU160" s="168"/>
      <c r="BV160" s="168"/>
      <c r="BW160" s="168"/>
      <c r="BX160" s="169"/>
      <c r="BY160" s="122"/>
      <c r="BZ160" s="123"/>
      <c r="CA160" s="123"/>
      <c r="CB160" s="124"/>
      <c r="CC160" s="122"/>
      <c r="CD160" s="123"/>
      <c r="CE160" s="123"/>
      <c r="CF160" s="215"/>
    </row>
    <row r="161" spans="22:84" ht="14.4" customHeight="1" x14ac:dyDescent="0.3">
      <c r="V161" s="36"/>
      <c r="W161" s="249"/>
      <c r="X161" s="250"/>
      <c r="Y161" s="37"/>
      <c r="Z161" s="38"/>
      <c r="AA161" s="38"/>
      <c r="AB161" s="38" t="str">
        <f t="shared" si="182"/>
        <v/>
      </c>
      <c r="AC161" s="38" t="str">
        <f t="shared" si="183"/>
        <v/>
      </c>
      <c r="AD161" s="247"/>
      <c r="AE161" s="248"/>
      <c r="AF161" s="39"/>
      <c r="AG161" s="39"/>
      <c r="AH161" s="39"/>
      <c r="AI161" s="39"/>
      <c r="AJ161" s="39"/>
      <c r="AK161" s="39"/>
      <c r="AL161" s="39"/>
      <c r="AM161" s="39"/>
      <c r="AN161" s="39"/>
      <c r="AO161" s="39"/>
      <c r="AP161" s="22"/>
      <c r="AQ161" s="36" t="str">
        <f t="shared" si="184"/>
        <v/>
      </c>
      <c r="AR161" s="287" t="str">
        <f t="shared" si="185"/>
        <v/>
      </c>
      <c r="AS161" s="288"/>
      <c r="AT161" s="37" t="str">
        <f t="shared" si="186"/>
        <v/>
      </c>
      <c r="AU161" s="37" t="str">
        <f t="shared" si="187"/>
        <v/>
      </c>
      <c r="AV161" s="37" t="str">
        <f t="shared" si="188"/>
        <v/>
      </c>
      <c r="AW161" s="38" t="str">
        <f t="shared" si="189"/>
        <v/>
      </c>
      <c r="AX161" s="38" t="str">
        <f t="shared" si="190"/>
        <v/>
      </c>
      <c r="AY161" s="38" t="str">
        <f t="shared" si="191"/>
        <v/>
      </c>
      <c r="AZ161" s="39"/>
      <c r="BA161" s="39"/>
      <c r="BB161" s="39"/>
      <c r="BC161" s="39"/>
      <c r="BD161" s="39"/>
      <c r="BE161" s="39"/>
      <c r="BF161" s="39"/>
      <c r="BG161" s="39"/>
      <c r="BH161" s="39"/>
      <c r="BI161" s="39"/>
      <c r="BJ161" s="39"/>
      <c r="BK161" s="40"/>
      <c r="BL161" s="212" t="s">
        <v>106</v>
      </c>
      <c r="BM161" s="205"/>
      <c r="BN161" s="206"/>
      <c r="BO161" s="213" t="s">
        <v>107</v>
      </c>
      <c r="BP161" s="159"/>
      <c r="BQ161" s="43"/>
      <c r="BR161" s="220" t="s">
        <v>108</v>
      </c>
      <c r="BS161" s="44" t="s">
        <v>109</v>
      </c>
      <c r="BT161" s="45"/>
      <c r="BU161" s="220" t="s">
        <v>110</v>
      </c>
      <c r="BV161" s="119"/>
      <c r="BW161" s="120"/>
      <c r="BX161" s="121"/>
      <c r="BY161" s="122"/>
      <c r="BZ161" s="123"/>
      <c r="CA161" s="123"/>
      <c r="CB161" s="124"/>
      <c r="CC161" s="122"/>
      <c r="CD161" s="123"/>
      <c r="CE161" s="123"/>
      <c r="CF161" s="215"/>
    </row>
    <row r="162" spans="22:84" ht="14.4" customHeight="1" x14ac:dyDescent="0.3">
      <c r="V162" s="36"/>
      <c r="W162" s="249"/>
      <c r="X162" s="250"/>
      <c r="Y162" s="37"/>
      <c r="Z162" s="38"/>
      <c r="AA162" s="38"/>
      <c r="AB162" s="38" t="str">
        <f t="shared" si="182"/>
        <v/>
      </c>
      <c r="AC162" s="38" t="str">
        <f t="shared" si="183"/>
        <v/>
      </c>
      <c r="AD162" s="247"/>
      <c r="AE162" s="248"/>
      <c r="AF162" s="39"/>
      <c r="AG162" s="39"/>
      <c r="AH162" s="39"/>
      <c r="AI162" s="39"/>
      <c r="AJ162" s="39"/>
      <c r="AK162" s="39"/>
      <c r="AL162" s="39"/>
      <c r="AM162" s="39"/>
      <c r="AN162" s="39"/>
      <c r="AO162" s="39"/>
      <c r="AP162" s="22"/>
      <c r="AQ162" s="36" t="str">
        <f t="shared" si="184"/>
        <v/>
      </c>
      <c r="AR162" s="287" t="str">
        <f t="shared" si="185"/>
        <v/>
      </c>
      <c r="AS162" s="288"/>
      <c r="AT162" s="37" t="str">
        <f t="shared" si="186"/>
        <v/>
      </c>
      <c r="AU162" s="37" t="str">
        <f t="shared" si="187"/>
        <v/>
      </c>
      <c r="AV162" s="37" t="str">
        <f t="shared" si="188"/>
        <v/>
      </c>
      <c r="AW162" s="38" t="str">
        <f t="shared" si="189"/>
        <v/>
      </c>
      <c r="AX162" s="38" t="str">
        <f t="shared" si="190"/>
        <v/>
      </c>
      <c r="AY162" s="38" t="str">
        <f t="shared" si="191"/>
        <v/>
      </c>
      <c r="AZ162" s="39"/>
      <c r="BA162" s="39"/>
      <c r="BB162" s="39"/>
      <c r="BC162" s="39"/>
      <c r="BD162" s="39"/>
      <c r="BE162" s="39"/>
      <c r="BF162" s="39"/>
      <c r="BG162" s="39"/>
      <c r="BH162" s="39"/>
      <c r="BI162" s="39"/>
      <c r="BJ162" s="39"/>
      <c r="BK162" s="40"/>
      <c r="BL162" s="199" t="s">
        <v>111</v>
      </c>
      <c r="BM162" s="154"/>
      <c r="BN162" s="200"/>
      <c r="BO162" s="201"/>
      <c r="BP162" s="202"/>
      <c r="BQ162" s="203"/>
      <c r="BR162" s="221"/>
      <c r="BS162" s="44" t="s">
        <v>112</v>
      </c>
      <c r="BT162" s="45"/>
      <c r="BU162" s="221"/>
      <c r="BV162" s="125"/>
      <c r="BW162" s="126"/>
      <c r="BX162" s="127"/>
      <c r="BY162" s="122"/>
      <c r="BZ162" s="123"/>
      <c r="CA162" s="123"/>
      <c r="CB162" s="124"/>
      <c r="CC162" s="122"/>
      <c r="CD162" s="123"/>
      <c r="CE162" s="123"/>
      <c r="CF162" s="215"/>
    </row>
    <row r="163" spans="22:84" ht="14.4" customHeight="1" x14ac:dyDescent="0.3">
      <c r="V163" s="36"/>
      <c r="W163" s="249"/>
      <c r="X163" s="250"/>
      <c r="Y163" s="37"/>
      <c r="Z163" s="38"/>
      <c r="AA163" s="38"/>
      <c r="AB163" s="38" t="str">
        <f t="shared" si="182"/>
        <v/>
      </c>
      <c r="AC163" s="38" t="str">
        <f t="shared" si="183"/>
        <v/>
      </c>
      <c r="AD163" s="247"/>
      <c r="AE163" s="248"/>
      <c r="AF163" s="39"/>
      <c r="AG163" s="39"/>
      <c r="AH163" s="39"/>
      <c r="AI163" s="39"/>
      <c r="AJ163" s="39"/>
      <c r="AK163" s="39"/>
      <c r="AL163" s="39"/>
      <c r="AM163" s="39"/>
      <c r="AN163" s="39"/>
      <c r="AO163" s="39"/>
      <c r="AP163" s="22"/>
      <c r="AQ163" s="36" t="str">
        <f t="shared" si="184"/>
        <v/>
      </c>
      <c r="AR163" s="287" t="str">
        <f t="shared" si="185"/>
        <v/>
      </c>
      <c r="AS163" s="288"/>
      <c r="AT163" s="37" t="str">
        <f t="shared" si="186"/>
        <v/>
      </c>
      <c r="AU163" s="37" t="str">
        <f t="shared" si="187"/>
        <v/>
      </c>
      <c r="AV163" s="37" t="str">
        <f t="shared" si="188"/>
        <v/>
      </c>
      <c r="AW163" s="38" t="str">
        <f t="shared" si="189"/>
        <v/>
      </c>
      <c r="AX163" s="38" t="str">
        <f t="shared" si="190"/>
        <v/>
      </c>
      <c r="AY163" s="38" t="str">
        <f t="shared" si="191"/>
        <v/>
      </c>
      <c r="AZ163" s="39"/>
      <c r="BA163" s="39"/>
      <c r="BB163" s="39"/>
      <c r="BC163" s="39"/>
      <c r="BD163" s="39"/>
      <c r="BE163" s="39"/>
      <c r="BF163" s="39"/>
      <c r="BG163" s="39"/>
      <c r="BH163" s="39"/>
      <c r="BI163" s="39"/>
      <c r="BJ163" s="39"/>
      <c r="BK163" s="40"/>
      <c r="BL163" s="170"/>
      <c r="BM163" s="171"/>
      <c r="BN163" s="172"/>
      <c r="BO163" s="179"/>
      <c r="BP163" s="171"/>
      <c r="BQ163" s="172"/>
      <c r="BR163" s="179"/>
      <c r="BS163" s="171"/>
      <c r="BT163" s="171"/>
      <c r="BU163" s="171"/>
      <c r="BV163" s="171"/>
      <c r="BW163" s="171"/>
      <c r="BX163" s="172"/>
      <c r="BY163" s="122"/>
      <c r="BZ163" s="123"/>
      <c r="CA163" s="123"/>
      <c r="CB163" s="124"/>
      <c r="CC163" s="122"/>
      <c r="CD163" s="123"/>
      <c r="CE163" s="123"/>
      <c r="CF163" s="215"/>
    </row>
    <row r="164" spans="22:84" ht="14.4" customHeight="1" x14ac:dyDescent="0.3">
      <c r="V164" s="36"/>
      <c r="W164" s="249"/>
      <c r="X164" s="250"/>
      <c r="Y164" s="37"/>
      <c r="Z164" s="38"/>
      <c r="AA164" s="38"/>
      <c r="AB164" s="38" t="str">
        <f t="shared" si="182"/>
        <v/>
      </c>
      <c r="AC164" s="38" t="str">
        <f t="shared" si="183"/>
        <v/>
      </c>
      <c r="AD164" s="247"/>
      <c r="AE164" s="248"/>
      <c r="AF164" s="39"/>
      <c r="AG164" s="39"/>
      <c r="AH164" s="39"/>
      <c r="AI164" s="39"/>
      <c r="AJ164" s="39"/>
      <c r="AK164" s="39"/>
      <c r="AL164" s="39"/>
      <c r="AM164" s="39"/>
      <c r="AN164" s="39"/>
      <c r="AO164" s="39"/>
      <c r="AP164" s="22"/>
      <c r="AQ164" s="36" t="str">
        <f t="shared" si="184"/>
        <v/>
      </c>
      <c r="AR164" s="287" t="str">
        <f t="shared" si="185"/>
        <v/>
      </c>
      <c r="AS164" s="288"/>
      <c r="AT164" s="37" t="str">
        <f t="shared" si="186"/>
        <v/>
      </c>
      <c r="AU164" s="37" t="str">
        <f t="shared" si="187"/>
        <v/>
      </c>
      <c r="AV164" s="37" t="str">
        <f t="shared" si="188"/>
        <v/>
      </c>
      <c r="AW164" s="38" t="str">
        <f t="shared" si="189"/>
        <v/>
      </c>
      <c r="AX164" s="38" t="str">
        <f t="shared" si="190"/>
        <v/>
      </c>
      <c r="AY164" s="38" t="str">
        <f t="shared" si="191"/>
        <v/>
      </c>
      <c r="AZ164" s="39"/>
      <c r="BA164" s="39"/>
      <c r="BB164" s="39"/>
      <c r="BC164" s="39"/>
      <c r="BD164" s="39"/>
      <c r="BE164" s="39"/>
      <c r="BF164" s="39"/>
      <c r="BG164" s="39"/>
      <c r="BH164" s="39"/>
      <c r="BI164" s="39"/>
      <c r="BJ164" s="39"/>
      <c r="BK164" s="40"/>
      <c r="BL164" s="173"/>
      <c r="BM164" s="174"/>
      <c r="BN164" s="175"/>
      <c r="BO164" s="180"/>
      <c r="BP164" s="174"/>
      <c r="BQ164" s="175"/>
      <c r="BR164" s="180"/>
      <c r="BS164" s="174"/>
      <c r="BT164" s="174"/>
      <c r="BU164" s="174"/>
      <c r="BV164" s="174"/>
      <c r="BW164" s="174"/>
      <c r="BX164" s="175"/>
      <c r="BY164" s="122"/>
      <c r="BZ164" s="123"/>
      <c r="CA164" s="123"/>
      <c r="CB164" s="124"/>
      <c r="CC164" s="122"/>
      <c r="CD164" s="123"/>
      <c r="CE164" s="123"/>
      <c r="CF164" s="215"/>
    </row>
    <row r="165" spans="22:84" ht="14.4" customHeight="1" x14ac:dyDescent="0.3">
      <c r="V165" s="36"/>
      <c r="W165" s="249"/>
      <c r="X165" s="250"/>
      <c r="Y165" s="37"/>
      <c r="Z165" s="38"/>
      <c r="AA165" s="38"/>
      <c r="AB165" s="38" t="str">
        <f t="shared" si="182"/>
        <v/>
      </c>
      <c r="AC165" s="38" t="str">
        <f t="shared" si="183"/>
        <v/>
      </c>
      <c r="AD165" s="247"/>
      <c r="AE165" s="248"/>
      <c r="AF165" s="39"/>
      <c r="AG165" s="39"/>
      <c r="AH165" s="39"/>
      <c r="AI165" s="39"/>
      <c r="AJ165" s="39"/>
      <c r="AK165" s="39"/>
      <c r="AL165" s="39"/>
      <c r="AM165" s="39"/>
      <c r="AN165" s="39"/>
      <c r="AO165" s="39"/>
      <c r="AP165" s="22"/>
      <c r="AQ165" s="36" t="str">
        <f t="shared" si="184"/>
        <v/>
      </c>
      <c r="AR165" s="287" t="str">
        <f t="shared" si="185"/>
        <v/>
      </c>
      <c r="AS165" s="288"/>
      <c r="AT165" s="37" t="str">
        <f t="shared" si="186"/>
        <v/>
      </c>
      <c r="AU165" s="37" t="str">
        <f t="shared" si="187"/>
        <v/>
      </c>
      <c r="AV165" s="37" t="str">
        <f t="shared" si="188"/>
        <v/>
      </c>
      <c r="AW165" s="38" t="str">
        <f t="shared" si="189"/>
        <v/>
      </c>
      <c r="AX165" s="38" t="str">
        <f t="shared" si="190"/>
        <v/>
      </c>
      <c r="AY165" s="38" t="str">
        <f t="shared" si="191"/>
        <v/>
      </c>
      <c r="AZ165" s="39"/>
      <c r="BA165" s="39"/>
      <c r="BB165" s="39"/>
      <c r="BC165" s="39"/>
      <c r="BD165" s="39"/>
      <c r="BE165" s="39"/>
      <c r="BF165" s="39"/>
      <c r="BG165" s="39"/>
      <c r="BH165" s="39"/>
      <c r="BI165" s="39"/>
      <c r="BJ165" s="39"/>
      <c r="BK165" s="40"/>
      <c r="BL165" s="173"/>
      <c r="BM165" s="174"/>
      <c r="BN165" s="175"/>
      <c r="BO165" s="180"/>
      <c r="BP165" s="174"/>
      <c r="BQ165" s="175"/>
      <c r="BR165" s="180"/>
      <c r="BS165" s="174"/>
      <c r="BT165" s="174"/>
      <c r="BU165" s="174"/>
      <c r="BV165" s="174"/>
      <c r="BW165" s="174"/>
      <c r="BX165" s="175"/>
      <c r="BY165" s="122"/>
      <c r="BZ165" s="123"/>
      <c r="CA165" s="123"/>
      <c r="CB165" s="124"/>
      <c r="CC165" s="122"/>
      <c r="CD165" s="123"/>
      <c r="CE165" s="123"/>
      <c r="CF165" s="215"/>
    </row>
    <row r="166" spans="22:84" ht="14.4" customHeight="1" x14ac:dyDescent="0.3">
      <c r="V166" s="36"/>
      <c r="W166" s="249"/>
      <c r="X166" s="250"/>
      <c r="Y166" s="37"/>
      <c r="Z166" s="38"/>
      <c r="AA166" s="38"/>
      <c r="AB166" s="38" t="str">
        <f t="shared" si="182"/>
        <v/>
      </c>
      <c r="AC166" s="38" t="str">
        <f t="shared" si="183"/>
        <v/>
      </c>
      <c r="AD166" s="247"/>
      <c r="AE166" s="248"/>
      <c r="AF166" s="39"/>
      <c r="AG166" s="39"/>
      <c r="AH166" s="39"/>
      <c r="AI166" s="39"/>
      <c r="AJ166" s="39"/>
      <c r="AK166" s="39"/>
      <c r="AL166" s="39"/>
      <c r="AM166" s="39"/>
      <c r="AN166" s="39"/>
      <c r="AO166" s="39"/>
      <c r="AP166" s="22"/>
      <c r="AQ166" s="36" t="str">
        <f t="shared" si="184"/>
        <v/>
      </c>
      <c r="AR166" s="287" t="str">
        <f t="shared" si="185"/>
        <v/>
      </c>
      <c r="AS166" s="288"/>
      <c r="AT166" s="37" t="str">
        <f t="shared" si="186"/>
        <v/>
      </c>
      <c r="AU166" s="37" t="str">
        <f t="shared" si="187"/>
        <v/>
      </c>
      <c r="AV166" s="37" t="str">
        <f t="shared" si="188"/>
        <v/>
      </c>
      <c r="AW166" s="38" t="str">
        <f t="shared" si="189"/>
        <v/>
      </c>
      <c r="AX166" s="38" t="str">
        <f t="shared" si="190"/>
        <v/>
      </c>
      <c r="AY166" s="38" t="str">
        <f t="shared" si="191"/>
        <v/>
      </c>
      <c r="AZ166" s="39"/>
      <c r="BA166" s="39"/>
      <c r="BB166" s="39"/>
      <c r="BC166" s="39"/>
      <c r="BD166" s="39"/>
      <c r="BE166" s="39"/>
      <c r="BF166" s="39"/>
      <c r="BG166" s="39"/>
      <c r="BH166" s="39"/>
      <c r="BI166" s="39"/>
      <c r="BJ166" s="39"/>
      <c r="BK166" s="40"/>
      <c r="BL166" s="173"/>
      <c r="BM166" s="174"/>
      <c r="BN166" s="175"/>
      <c r="BO166" s="180"/>
      <c r="BP166" s="174"/>
      <c r="BQ166" s="175"/>
      <c r="BR166" s="180"/>
      <c r="BS166" s="174"/>
      <c r="BT166" s="174"/>
      <c r="BU166" s="174"/>
      <c r="BV166" s="174"/>
      <c r="BW166" s="174"/>
      <c r="BX166" s="175"/>
      <c r="BY166" s="122"/>
      <c r="BZ166" s="123"/>
      <c r="CA166" s="123"/>
      <c r="CB166" s="124"/>
      <c r="CC166" s="122"/>
      <c r="CD166" s="123"/>
      <c r="CE166" s="123"/>
      <c r="CF166" s="215"/>
    </row>
    <row r="167" spans="22:84" ht="14.4" customHeight="1" x14ac:dyDescent="0.3">
      <c r="V167" s="36"/>
      <c r="W167" s="249"/>
      <c r="X167" s="250"/>
      <c r="Y167" s="37"/>
      <c r="Z167" s="38"/>
      <c r="AA167" s="38"/>
      <c r="AB167" s="38" t="str">
        <f t="shared" si="182"/>
        <v/>
      </c>
      <c r="AC167" s="38" t="str">
        <f t="shared" si="183"/>
        <v/>
      </c>
      <c r="AD167" s="247"/>
      <c r="AE167" s="248"/>
      <c r="AF167" s="39"/>
      <c r="AG167" s="39"/>
      <c r="AH167" s="39"/>
      <c r="AI167" s="39"/>
      <c r="AJ167" s="39"/>
      <c r="AK167" s="39"/>
      <c r="AL167" s="39"/>
      <c r="AM167" s="39"/>
      <c r="AN167" s="39"/>
      <c r="AO167" s="39"/>
      <c r="AP167" s="22"/>
      <c r="AQ167" s="36" t="str">
        <f t="shared" si="184"/>
        <v/>
      </c>
      <c r="AR167" s="287" t="str">
        <f t="shared" si="185"/>
        <v/>
      </c>
      <c r="AS167" s="288"/>
      <c r="AT167" s="37" t="str">
        <f t="shared" si="186"/>
        <v/>
      </c>
      <c r="AU167" s="37" t="str">
        <f t="shared" si="187"/>
        <v/>
      </c>
      <c r="AV167" s="37" t="str">
        <f t="shared" si="188"/>
        <v/>
      </c>
      <c r="AW167" s="38" t="str">
        <f t="shared" si="189"/>
        <v/>
      </c>
      <c r="AX167" s="38" t="str">
        <f t="shared" si="190"/>
        <v/>
      </c>
      <c r="AY167" s="38" t="str">
        <f t="shared" si="191"/>
        <v/>
      </c>
      <c r="AZ167" s="39"/>
      <c r="BA167" s="39"/>
      <c r="BB167" s="39"/>
      <c r="BC167" s="39"/>
      <c r="BD167" s="39"/>
      <c r="BE167" s="39"/>
      <c r="BF167" s="39"/>
      <c r="BG167" s="39"/>
      <c r="BH167" s="39"/>
      <c r="BI167" s="39"/>
      <c r="BJ167" s="39"/>
      <c r="BK167" s="40"/>
      <c r="BL167" s="173"/>
      <c r="BM167" s="174"/>
      <c r="BN167" s="175"/>
      <c r="BO167" s="180"/>
      <c r="BP167" s="174"/>
      <c r="BQ167" s="175"/>
      <c r="BR167" s="180"/>
      <c r="BS167" s="174"/>
      <c r="BT167" s="174"/>
      <c r="BU167" s="174"/>
      <c r="BV167" s="174"/>
      <c r="BW167" s="174"/>
      <c r="BX167" s="175"/>
      <c r="BY167" s="122"/>
      <c r="BZ167" s="123"/>
      <c r="CA167" s="123"/>
      <c r="CB167" s="124"/>
      <c r="CC167" s="122"/>
      <c r="CD167" s="123"/>
      <c r="CE167" s="123"/>
      <c r="CF167" s="215"/>
    </row>
    <row r="168" spans="22:84" ht="14.4" customHeight="1" x14ac:dyDescent="0.3">
      <c r="V168" s="36"/>
      <c r="W168" s="249"/>
      <c r="X168" s="250"/>
      <c r="Y168" s="37"/>
      <c r="Z168" s="38"/>
      <c r="AA168" s="38"/>
      <c r="AB168" s="38" t="str">
        <f t="shared" si="182"/>
        <v/>
      </c>
      <c r="AC168" s="38" t="str">
        <f t="shared" si="183"/>
        <v/>
      </c>
      <c r="AD168" s="247"/>
      <c r="AE168" s="248"/>
      <c r="AF168" s="39"/>
      <c r="AG168" s="39"/>
      <c r="AH168" s="39"/>
      <c r="AI168" s="39"/>
      <c r="AJ168" s="39"/>
      <c r="AK168" s="39"/>
      <c r="AL168" s="39"/>
      <c r="AM168" s="39"/>
      <c r="AN168" s="39"/>
      <c r="AO168" s="39"/>
      <c r="AP168" s="22"/>
      <c r="AQ168" s="36" t="str">
        <f t="shared" si="184"/>
        <v/>
      </c>
      <c r="AR168" s="287" t="str">
        <f t="shared" si="185"/>
        <v/>
      </c>
      <c r="AS168" s="288"/>
      <c r="AT168" s="37" t="str">
        <f t="shared" si="186"/>
        <v/>
      </c>
      <c r="AU168" s="37" t="str">
        <f t="shared" si="187"/>
        <v/>
      </c>
      <c r="AV168" s="37" t="str">
        <f t="shared" si="188"/>
        <v/>
      </c>
      <c r="AW168" s="38" t="str">
        <f t="shared" si="189"/>
        <v/>
      </c>
      <c r="AX168" s="38" t="str">
        <f t="shared" si="190"/>
        <v/>
      </c>
      <c r="AY168" s="38" t="str">
        <f t="shared" si="191"/>
        <v/>
      </c>
      <c r="AZ168" s="39"/>
      <c r="BA168" s="39"/>
      <c r="BB168" s="39"/>
      <c r="BC168" s="39"/>
      <c r="BD168" s="39"/>
      <c r="BE168" s="39"/>
      <c r="BF168" s="39"/>
      <c r="BG168" s="39"/>
      <c r="BH168" s="39"/>
      <c r="BI168" s="39"/>
      <c r="BJ168" s="39"/>
      <c r="BK168" s="40"/>
      <c r="BL168" s="173"/>
      <c r="BM168" s="174"/>
      <c r="BN168" s="175"/>
      <c r="BO168" s="180"/>
      <c r="BP168" s="174"/>
      <c r="BQ168" s="175"/>
      <c r="BR168" s="180"/>
      <c r="BS168" s="174"/>
      <c r="BT168" s="174"/>
      <c r="BU168" s="174"/>
      <c r="BV168" s="174"/>
      <c r="BW168" s="174"/>
      <c r="BX168" s="175"/>
      <c r="BY168" s="122"/>
      <c r="BZ168" s="123"/>
      <c r="CA168" s="123"/>
      <c r="CB168" s="124"/>
      <c r="CC168" s="122"/>
      <c r="CD168" s="123"/>
      <c r="CE168" s="123"/>
      <c r="CF168" s="215"/>
    </row>
    <row r="169" spans="22:84" ht="14.4" customHeight="1" x14ac:dyDescent="0.3">
      <c r="V169" s="36"/>
      <c r="W169" s="249"/>
      <c r="X169" s="250"/>
      <c r="Y169" s="37"/>
      <c r="Z169" s="38"/>
      <c r="AA169" s="38"/>
      <c r="AB169" s="38" t="str">
        <f t="shared" si="182"/>
        <v/>
      </c>
      <c r="AC169" s="38" t="str">
        <f t="shared" si="183"/>
        <v/>
      </c>
      <c r="AD169" s="247"/>
      <c r="AE169" s="248"/>
      <c r="AF169" s="39"/>
      <c r="AG169" s="39"/>
      <c r="AH169" s="39"/>
      <c r="AI169" s="39"/>
      <c r="AJ169" s="39"/>
      <c r="AK169" s="39"/>
      <c r="AL169" s="39"/>
      <c r="AM169" s="39"/>
      <c r="AN169" s="39"/>
      <c r="AO169" s="39"/>
      <c r="AP169" s="22"/>
      <c r="AQ169" s="36" t="str">
        <f t="shared" si="184"/>
        <v/>
      </c>
      <c r="AR169" s="287" t="str">
        <f t="shared" si="185"/>
        <v/>
      </c>
      <c r="AS169" s="288"/>
      <c r="AT169" s="37" t="str">
        <f t="shared" si="186"/>
        <v/>
      </c>
      <c r="AU169" s="37" t="str">
        <f t="shared" si="187"/>
        <v/>
      </c>
      <c r="AV169" s="37" t="str">
        <f t="shared" si="188"/>
        <v/>
      </c>
      <c r="AW169" s="38" t="str">
        <f t="shared" si="189"/>
        <v/>
      </c>
      <c r="AX169" s="38" t="str">
        <f t="shared" si="190"/>
        <v/>
      </c>
      <c r="AY169" s="38" t="str">
        <f t="shared" si="191"/>
        <v/>
      </c>
      <c r="AZ169" s="39"/>
      <c r="BA169" s="39"/>
      <c r="BB169" s="39"/>
      <c r="BC169" s="39"/>
      <c r="BD169" s="39"/>
      <c r="BE169" s="39"/>
      <c r="BF169" s="39"/>
      <c r="BG169" s="39"/>
      <c r="BH169" s="39"/>
      <c r="BI169" s="39"/>
      <c r="BJ169" s="39"/>
      <c r="BK169" s="40"/>
      <c r="BL169" s="173"/>
      <c r="BM169" s="174"/>
      <c r="BN169" s="175"/>
      <c r="BO169" s="180"/>
      <c r="BP169" s="174"/>
      <c r="BQ169" s="175"/>
      <c r="BR169" s="180"/>
      <c r="BS169" s="174"/>
      <c r="BT169" s="174"/>
      <c r="BU169" s="174"/>
      <c r="BV169" s="174"/>
      <c r="BW169" s="174"/>
      <c r="BX169" s="175"/>
      <c r="BY169" s="122"/>
      <c r="BZ169" s="123"/>
      <c r="CA169" s="123"/>
      <c r="CB169" s="124"/>
      <c r="CC169" s="122"/>
      <c r="CD169" s="123"/>
      <c r="CE169" s="123"/>
      <c r="CF169" s="215"/>
    </row>
    <row r="170" spans="22:84" ht="14.4" customHeight="1" x14ac:dyDescent="0.3">
      <c r="V170" s="36"/>
      <c r="W170" s="249"/>
      <c r="X170" s="250"/>
      <c r="Y170" s="37"/>
      <c r="Z170" s="38"/>
      <c r="AA170" s="38"/>
      <c r="AB170" s="38" t="str">
        <f t="shared" si="182"/>
        <v/>
      </c>
      <c r="AC170" s="38" t="str">
        <f t="shared" si="183"/>
        <v/>
      </c>
      <c r="AD170" s="247"/>
      <c r="AE170" s="248"/>
      <c r="AF170" s="39"/>
      <c r="AG170" s="39"/>
      <c r="AH170" s="39"/>
      <c r="AI170" s="39"/>
      <c r="AJ170" s="39"/>
      <c r="AK170" s="39"/>
      <c r="AL170" s="39"/>
      <c r="AM170" s="39"/>
      <c r="AN170" s="39"/>
      <c r="AO170" s="39"/>
      <c r="AP170" s="22"/>
      <c r="AQ170" s="325" t="s">
        <v>73</v>
      </c>
      <c r="AR170" s="318"/>
      <c r="AS170" s="318"/>
      <c r="AT170" s="317" t="s">
        <v>74</v>
      </c>
      <c r="AU170" s="318"/>
      <c r="AV170" s="318"/>
      <c r="AW170" s="317" t="s">
        <v>75</v>
      </c>
      <c r="AX170" s="318"/>
      <c r="AY170" s="319"/>
      <c r="AZ170" s="241" t="s">
        <v>76</v>
      </c>
      <c r="BA170" s="242"/>
      <c r="BB170" s="242"/>
      <c r="BC170" s="241" t="s">
        <v>77</v>
      </c>
      <c r="BD170" s="242"/>
      <c r="BE170" s="242"/>
      <c r="BF170" s="241" t="s">
        <v>78</v>
      </c>
      <c r="BG170" s="242"/>
      <c r="BH170" s="242"/>
      <c r="BI170" s="241" t="s">
        <v>79</v>
      </c>
      <c r="BJ170" s="242"/>
      <c r="BK170" s="243"/>
      <c r="BL170" s="173"/>
      <c r="BM170" s="174"/>
      <c r="BN170" s="175"/>
      <c r="BO170" s="180"/>
      <c r="BP170" s="174"/>
      <c r="BQ170" s="175"/>
      <c r="BR170" s="180"/>
      <c r="BS170" s="174"/>
      <c r="BT170" s="174"/>
      <c r="BU170" s="174"/>
      <c r="BV170" s="174"/>
      <c r="BW170" s="174"/>
      <c r="BX170" s="175"/>
      <c r="BY170" s="122"/>
      <c r="BZ170" s="123"/>
      <c r="CA170" s="123"/>
      <c r="CB170" s="124"/>
      <c r="CC170" s="122"/>
      <c r="CD170" s="123"/>
      <c r="CE170" s="123"/>
      <c r="CF170" s="215"/>
    </row>
    <row r="171" spans="22:84" ht="14.4" customHeight="1" x14ac:dyDescent="0.3">
      <c r="V171" s="353" t="s">
        <v>113</v>
      </c>
      <c r="W171" s="222"/>
      <c r="X171" s="222"/>
      <c r="Y171" s="222"/>
      <c r="Z171" s="222"/>
      <c r="AA171" s="222"/>
      <c r="AB171" s="222"/>
      <c r="AC171" s="222"/>
      <c r="AD171" s="222"/>
      <c r="AE171" s="250"/>
      <c r="AP171" s="22"/>
      <c r="AQ171" s="46"/>
      <c r="AR171" s="39"/>
      <c r="AS171" s="39"/>
      <c r="AT171" s="39"/>
      <c r="AU171" s="39"/>
      <c r="AV171" s="39"/>
      <c r="AW171" s="39"/>
      <c r="AX171" s="39"/>
      <c r="AY171" s="39"/>
      <c r="AZ171" s="39"/>
      <c r="BA171" s="39"/>
      <c r="BB171" s="39"/>
      <c r="BC171" s="39"/>
      <c r="BD171" s="39"/>
      <c r="BE171" s="39"/>
      <c r="BF171" s="39"/>
      <c r="BG171" s="39"/>
      <c r="BH171" s="39"/>
      <c r="BI171" s="39"/>
      <c r="BJ171" s="39"/>
      <c r="BK171" s="40"/>
      <c r="BL171" s="173"/>
      <c r="BM171" s="174"/>
      <c r="BN171" s="175"/>
      <c r="BO171" s="180"/>
      <c r="BP171" s="174"/>
      <c r="BQ171" s="175"/>
      <c r="BR171" s="180"/>
      <c r="BS171" s="174"/>
      <c r="BT171" s="174"/>
      <c r="BU171" s="174"/>
      <c r="BV171" s="174"/>
      <c r="BW171" s="174"/>
      <c r="BX171" s="175"/>
      <c r="BY171" s="122"/>
      <c r="BZ171" s="123"/>
      <c r="CA171" s="123"/>
      <c r="CB171" s="124"/>
      <c r="CC171" s="125"/>
      <c r="CD171" s="126"/>
      <c r="CE171" s="126"/>
      <c r="CF171" s="216"/>
    </row>
    <row r="172" spans="22:84" ht="14.4" customHeight="1" x14ac:dyDescent="0.3">
      <c r="V172" s="47"/>
      <c r="W172" s="10" t="s">
        <v>114</v>
      </c>
      <c r="X172" s="10" t="s">
        <v>115</v>
      </c>
      <c r="Y172" s="10" t="s">
        <v>116</v>
      </c>
      <c r="Z172" s="48" t="s">
        <v>117</v>
      </c>
      <c r="AA172" s="14" t="s">
        <v>118</v>
      </c>
      <c r="AB172" s="10" t="s">
        <v>119</v>
      </c>
      <c r="AC172" s="10" t="s">
        <v>120</v>
      </c>
      <c r="AD172" s="10" t="s">
        <v>121</v>
      </c>
      <c r="AE172" s="10" t="s">
        <v>122</v>
      </c>
      <c r="AP172" s="22"/>
      <c r="AQ172" s="46"/>
      <c r="AR172" s="28"/>
      <c r="AS172" s="28"/>
      <c r="AT172" s="28"/>
      <c r="AU172" s="28"/>
      <c r="AV172" s="28"/>
      <c r="AW172" s="28"/>
      <c r="AX172" s="28"/>
      <c r="AY172" s="28"/>
      <c r="AZ172" s="28"/>
      <c r="BA172" s="28"/>
      <c r="BB172" s="28"/>
      <c r="BC172" s="28"/>
      <c r="BD172" s="28"/>
      <c r="BE172" s="28"/>
      <c r="BF172" s="28"/>
      <c r="BG172" s="28"/>
      <c r="BH172" s="28"/>
      <c r="BI172" s="28"/>
      <c r="BJ172" s="28"/>
      <c r="BK172" s="51"/>
      <c r="BL172" s="173"/>
      <c r="BM172" s="174"/>
      <c r="BN172" s="175"/>
      <c r="BO172" s="180"/>
      <c r="BP172" s="174"/>
      <c r="BQ172" s="175"/>
      <c r="BR172" s="180"/>
      <c r="BS172" s="174"/>
      <c r="BT172" s="174"/>
      <c r="BU172" s="174"/>
      <c r="BV172" s="174"/>
      <c r="BW172" s="174"/>
      <c r="BX172" s="175"/>
      <c r="BY172" s="122"/>
      <c r="BZ172" s="123"/>
      <c r="CA172" s="123"/>
      <c r="CB172" s="124"/>
      <c r="CC172" s="150" t="s">
        <v>123</v>
      </c>
      <c r="CD172" s="151"/>
      <c r="CE172" s="151"/>
      <c r="CF172" s="152"/>
    </row>
    <row r="173" spans="22:84" ht="14.4" customHeight="1" x14ac:dyDescent="0.3">
      <c r="V173" s="49" t="str">
        <f>IF(ISBLANK(V159),"",V159)</f>
        <v/>
      </c>
      <c r="W173" s="38" t="str" cm="1">
        <f t="array" ref="W173">IF(Y159="", "", IF(AND(Y159&lt;=MIN(AF159:AO159),Z159&gt;=MAX(AF159:AO159)),"ACCEPT",IF(AND(AF159:AO159="OK"),"ACCEPT","REJECT")))</f>
        <v/>
      </c>
      <c r="X173" s="38" t="str">
        <f t="shared" ref="X173:X178" si="192">IF(TRIM(W173)="", "", MAX(AF159:AO159))</f>
        <v/>
      </c>
      <c r="Y173" s="38" t="str">
        <f t="shared" ref="Y173:Y184" si="193">IF(TRIM(W173)="", "", MIN(AF159:AO159))</f>
        <v/>
      </c>
      <c r="Z173" s="38" t="str">
        <f t="shared" ref="Z173:Z184" si="194">IF(ISNUMBER(Y159),"VARIABLE",IF(ISBLANK(Y159),"","ATTRIBUTE"))</f>
        <v/>
      </c>
      <c r="AA173" s="38">
        <f t="shared" ref="AA173:AA184" si="195">IF((AA159="QC"),1.33,1)</f>
        <v>1</v>
      </c>
      <c r="AB173" s="38">
        <f t="shared" ref="AB173:AB184" si="196">IF(COUNT(AF159:AO159)=0,0,AVERAGE(AF159:AO159))</f>
        <v>0</v>
      </c>
      <c r="AC173" s="38">
        <f t="shared" ref="AC173:AC184" si="197">MAX(AF159:AO159)-MIN(AF159:AO159)</f>
        <v>0</v>
      </c>
      <c r="AD173" s="38">
        <f t="shared" ref="AD173:AD184" si="198">IF(COUNT(AF159:AO159)=0,0,_xlfn.STDEV.S(AF159:AO159))</f>
        <v>0</v>
      </c>
      <c r="AE173" s="38" t="str">
        <f t="shared" ref="AE173:AE184" si="199">IF(AB173=0,"-",IF(AB173-Y159&lt;Z159-AB173,AB173-Y159,Z159-AB173)/(AD173*3))</f>
        <v>-</v>
      </c>
      <c r="AP173" s="22"/>
      <c r="AQ173" s="46"/>
      <c r="AR173" s="39"/>
      <c r="AS173" s="39"/>
      <c r="AT173" s="39"/>
      <c r="AU173" s="39"/>
      <c r="AV173" s="39"/>
      <c r="AW173" s="39"/>
      <c r="AX173" s="39"/>
      <c r="AY173" s="39"/>
      <c r="AZ173" s="39"/>
      <c r="BA173" s="39"/>
      <c r="BB173" s="39"/>
      <c r="BC173" s="39"/>
      <c r="BD173" s="39"/>
      <c r="BE173" s="39"/>
      <c r="BF173" s="39"/>
      <c r="BG173" s="39"/>
      <c r="BH173" s="39"/>
      <c r="BI173" s="39"/>
      <c r="BJ173" s="39"/>
      <c r="BK173" s="40"/>
      <c r="BL173" s="176"/>
      <c r="BM173" s="177"/>
      <c r="BN173" s="178"/>
      <c r="BO173" s="181"/>
      <c r="BP173" s="177"/>
      <c r="BQ173" s="178"/>
      <c r="BR173" s="181"/>
      <c r="BS173" s="177"/>
      <c r="BT173" s="177"/>
      <c r="BU173" s="177"/>
      <c r="BV173" s="177"/>
      <c r="BW173" s="177"/>
      <c r="BX173" s="178"/>
      <c r="BY173" s="125"/>
      <c r="BZ173" s="126"/>
      <c r="CA173" s="126"/>
      <c r="CB173" s="127"/>
      <c r="CC173" s="153"/>
      <c r="CD173" s="154"/>
      <c r="CE173" s="154"/>
      <c r="CF173" s="155"/>
    </row>
    <row r="174" spans="22:84" ht="14.4" customHeight="1" x14ac:dyDescent="0.3">
      <c r="V174" s="49" t="str">
        <f t="shared" ref="V174:V183" si="200">IF(ISBLANK(V160),"",V160)</f>
        <v/>
      </c>
      <c r="W174" s="38" t="str" cm="1">
        <f t="array" ref="W174">IF(Y160="", "", IF(AND(Y160&lt;=MIN(AF160:AO160),Z160&gt;=MAX(AF160:AO160)),"ACCEPT",IF(AND(AF160:AO160="OK"),"ACCEPT","REJECT")))</f>
        <v/>
      </c>
      <c r="X174" s="38" t="str">
        <f t="shared" si="192"/>
        <v/>
      </c>
      <c r="Y174" s="38" t="str">
        <f t="shared" si="193"/>
        <v/>
      </c>
      <c r="Z174" s="38" t="str">
        <f t="shared" si="194"/>
        <v/>
      </c>
      <c r="AA174" s="38">
        <f t="shared" si="195"/>
        <v>1</v>
      </c>
      <c r="AB174" s="38">
        <f t="shared" si="196"/>
        <v>0</v>
      </c>
      <c r="AC174" s="38">
        <f t="shared" si="197"/>
        <v>0</v>
      </c>
      <c r="AD174" s="38">
        <f t="shared" si="198"/>
        <v>0</v>
      </c>
      <c r="AE174" s="38" t="str">
        <f t="shared" si="199"/>
        <v>-</v>
      </c>
      <c r="AP174" s="22"/>
      <c r="AQ174" s="50"/>
      <c r="AR174" s="28"/>
      <c r="AS174" s="28"/>
      <c r="AT174" s="28"/>
      <c r="AU174" s="28"/>
      <c r="AV174" s="28"/>
      <c r="AW174" s="28"/>
      <c r="AX174" s="28"/>
      <c r="AY174" s="28"/>
      <c r="AZ174" s="28"/>
      <c r="BA174" s="28"/>
      <c r="BB174" s="28"/>
      <c r="BC174" s="28"/>
      <c r="BD174" s="28"/>
      <c r="BE174" s="28"/>
      <c r="BF174" s="28"/>
      <c r="BG174" s="28"/>
      <c r="BH174" s="28"/>
      <c r="BI174" s="28"/>
      <c r="BJ174" s="28"/>
      <c r="BK174" s="51"/>
      <c r="BL174" s="128" t="s">
        <v>88</v>
      </c>
      <c r="BM174" s="129"/>
      <c r="BN174" s="130"/>
      <c r="BO174" s="131" t="s">
        <v>89</v>
      </c>
      <c r="BP174" s="132"/>
      <c r="BQ174" s="133"/>
      <c r="BR174" s="131" t="s">
        <v>90</v>
      </c>
      <c r="BS174" s="132"/>
      <c r="BT174" s="132"/>
      <c r="BU174" s="132"/>
      <c r="BV174" s="132"/>
      <c r="BW174" s="132"/>
      <c r="BX174" s="133"/>
      <c r="BY174" s="131" t="s">
        <v>91</v>
      </c>
      <c r="BZ174" s="132"/>
      <c r="CA174" s="132"/>
      <c r="CB174" s="133"/>
      <c r="CC174" s="131" t="s">
        <v>92</v>
      </c>
      <c r="CD174" s="132"/>
      <c r="CE174" s="132"/>
      <c r="CF174" s="156"/>
    </row>
    <row r="175" spans="22:84" ht="14.4" customHeight="1" x14ac:dyDescent="0.3">
      <c r="V175" s="49" t="str">
        <f t="shared" si="200"/>
        <v/>
      </c>
      <c r="W175" s="38" t="str" cm="1">
        <f t="array" ref="W175">IF(Y161="", "", IF(AND(Y161&lt;=MIN(AF161:AO161),Z161&gt;=MAX(AF161:AO161)),"ACCEPT",IF(AND(AF161:AO161="OK"),"ACCEPT","REJECT")))</f>
        <v/>
      </c>
      <c r="X175" s="38" t="str">
        <f t="shared" si="192"/>
        <v/>
      </c>
      <c r="Y175" s="38" t="str">
        <f t="shared" si="193"/>
        <v/>
      </c>
      <c r="Z175" s="38" t="str">
        <f t="shared" si="194"/>
        <v/>
      </c>
      <c r="AA175" s="38">
        <f t="shared" si="195"/>
        <v>1</v>
      </c>
      <c r="AB175" s="38">
        <f t="shared" si="196"/>
        <v>0</v>
      </c>
      <c r="AC175" s="38">
        <f t="shared" si="197"/>
        <v>0</v>
      </c>
      <c r="AD175" s="38">
        <f t="shared" si="198"/>
        <v>0</v>
      </c>
      <c r="AE175" s="38" t="str">
        <f t="shared" si="199"/>
        <v>-</v>
      </c>
      <c r="AP175" s="22"/>
      <c r="AQ175" s="50"/>
      <c r="AR175" s="28"/>
      <c r="AS175" s="28"/>
      <c r="AT175" s="28"/>
      <c r="AU175" s="28"/>
      <c r="AV175" s="28"/>
      <c r="AW175" s="28"/>
      <c r="AX175" s="28"/>
      <c r="AY175" s="28"/>
      <c r="AZ175" s="28"/>
      <c r="BA175" s="28"/>
      <c r="BB175" s="28"/>
      <c r="BC175" s="28"/>
      <c r="BD175" s="28"/>
      <c r="BE175" s="28"/>
      <c r="BF175" s="28"/>
      <c r="BG175" s="28"/>
      <c r="BH175" s="28"/>
      <c r="BI175" s="28"/>
      <c r="BJ175" s="28"/>
      <c r="BK175" s="51"/>
      <c r="BL175" s="158" t="s">
        <v>96</v>
      </c>
      <c r="BM175" s="159"/>
      <c r="BN175" s="35"/>
      <c r="BO175" s="134"/>
      <c r="BP175" s="135"/>
      <c r="BQ175" s="136"/>
      <c r="BR175" s="134"/>
      <c r="BS175" s="135"/>
      <c r="BT175" s="135"/>
      <c r="BU175" s="135"/>
      <c r="BV175" s="135"/>
      <c r="BW175" s="135"/>
      <c r="BX175" s="136"/>
      <c r="BY175" s="134"/>
      <c r="BZ175" s="135"/>
      <c r="CA175" s="135"/>
      <c r="CB175" s="136"/>
      <c r="CC175" s="134"/>
      <c r="CD175" s="135"/>
      <c r="CE175" s="135"/>
      <c r="CF175" s="157"/>
    </row>
    <row r="176" spans="22:84" ht="14.4" customHeight="1" x14ac:dyDescent="0.3">
      <c r="V176" s="49" t="str">
        <f t="shared" si="200"/>
        <v/>
      </c>
      <c r="W176" s="38" t="str" cm="1">
        <f t="array" ref="W176">IF(Y162="", "", IF(AND(Y162&lt;=MIN(AF162:AO162),Z162&gt;=MAX(AF162:AO162)),"ACCEPT",IF(AND(AF162:AO162="OK"),"ACCEPT","REJECT")))</f>
        <v/>
      </c>
      <c r="X176" s="38" t="str">
        <f t="shared" si="192"/>
        <v/>
      </c>
      <c r="Y176" s="38" t="str">
        <f t="shared" si="193"/>
        <v/>
      </c>
      <c r="Z176" s="38" t="str">
        <f t="shared" si="194"/>
        <v/>
      </c>
      <c r="AA176" s="38">
        <f t="shared" si="195"/>
        <v>1</v>
      </c>
      <c r="AB176" s="38">
        <f t="shared" si="196"/>
        <v>0</v>
      </c>
      <c r="AC176" s="38">
        <f t="shared" si="197"/>
        <v>0</v>
      </c>
      <c r="AD176" s="38">
        <f t="shared" si="198"/>
        <v>0</v>
      </c>
      <c r="AE176" s="38" t="str">
        <f t="shared" si="199"/>
        <v>-</v>
      </c>
      <c r="AP176" s="22"/>
      <c r="AQ176" s="46"/>
      <c r="AR176" s="28"/>
      <c r="AS176" s="28"/>
      <c r="AT176" s="28"/>
      <c r="AU176" s="28"/>
      <c r="AV176" s="28"/>
      <c r="AW176" s="28"/>
      <c r="AX176" s="28"/>
      <c r="AY176" s="28"/>
      <c r="AZ176" s="28"/>
      <c r="BA176" s="28"/>
      <c r="BB176" s="28"/>
      <c r="BC176" s="28"/>
      <c r="BD176" s="28"/>
      <c r="BE176" s="28"/>
      <c r="BF176" s="28"/>
      <c r="BG176" s="28"/>
      <c r="BH176" s="28"/>
      <c r="BI176" s="28"/>
      <c r="BJ176" s="28"/>
      <c r="BK176" s="51"/>
      <c r="BL176" s="158" t="s">
        <v>97</v>
      </c>
      <c r="BM176" s="159"/>
      <c r="BN176" s="41" t="s">
        <v>98</v>
      </c>
      <c r="BO176" s="204" t="s">
        <v>99</v>
      </c>
      <c r="BP176" s="205"/>
      <c r="BQ176" s="206"/>
      <c r="BR176" s="207" t="s">
        <v>100</v>
      </c>
      <c r="BS176" s="208"/>
      <c r="BT176" s="208"/>
      <c r="BU176" s="209"/>
      <c r="BV176" s="217"/>
      <c r="BW176" s="218"/>
      <c r="BX176" s="219"/>
      <c r="BY176" s="119"/>
      <c r="BZ176" s="120"/>
      <c r="CA176" s="120"/>
      <c r="CB176" s="121"/>
      <c r="CC176" s="119"/>
      <c r="CD176" s="120"/>
      <c r="CE176" s="120"/>
      <c r="CF176" s="214"/>
    </row>
    <row r="177" spans="22:84" ht="14.4" customHeight="1" x14ac:dyDescent="0.3">
      <c r="V177" s="49" t="str">
        <f t="shared" si="200"/>
        <v/>
      </c>
      <c r="W177" s="38" t="str" cm="1">
        <f t="array" ref="W177">IF(Y163="", "", IF(AND(Y163&lt;=MIN(AF163:AO163),Z163&gt;=MAX(AF163:AO163)),"ACCEPT",IF(AND(AF163:AO163="OK"),"ACCEPT","REJECT")))</f>
        <v/>
      </c>
      <c r="X177" s="38" t="str">
        <f t="shared" si="192"/>
        <v/>
      </c>
      <c r="Y177" s="38" t="str">
        <f t="shared" si="193"/>
        <v/>
      </c>
      <c r="Z177" s="38" t="str">
        <f t="shared" si="194"/>
        <v/>
      </c>
      <c r="AA177" s="38">
        <f t="shared" si="195"/>
        <v>1</v>
      </c>
      <c r="AB177" s="38">
        <f t="shared" si="196"/>
        <v>0</v>
      </c>
      <c r="AC177" s="38">
        <f t="shared" si="197"/>
        <v>0</v>
      </c>
      <c r="AD177" s="38">
        <f t="shared" si="198"/>
        <v>0</v>
      </c>
      <c r="AE177" s="38" t="str">
        <f t="shared" si="199"/>
        <v>-</v>
      </c>
      <c r="AP177" s="22"/>
      <c r="AQ177" s="46"/>
      <c r="AR177" s="28"/>
      <c r="AS177" s="28"/>
      <c r="AT177" s="28"/>
      <c r="AU177" s="28"/>
      <c r="AV177" s="28"/>
      <c r="AW177" s="28"/>
      <c r="AX177" s="28"/>
      <c r="AY177" s="28"/>
      <c r="AZ177" s="28"/>
      <c r="BA177" s="28"/>
      <c r="BB177" s="28"/>
      <c r="BC177" s="28"/>
      <c r="BD177" s="28"/>
      <c r="BE177" s="28"/>
      <c r="BF177" s="28"/>
      <c r="BG177" s="28"/>
      <c r="BH177" s="28"/>
      <c r="BI177" s="28"/>
      <c r="BJ177" s="28"/>
      <c r="BK177" s="51"/>
      <c r="BL177" s="158" t="s">
        <v>102</v>
      </c>
      <c r="BM177" s="159"/>
      <c r="BN177" s="42" t="s">
        <v>103</v>
      </c>
      <c r="BO177" s="119"/>
      <c r="BP177" s="120"/>
      <c r="BQ177" s="121"/>
      <c r="BR177" s="160" t="s">
        <v>124</v>
      </c>
      <c r="BS177" s="161"/>
      <c r="BT177" s="164"/>
      <c r="BU177" s="165"/>
      <c r="BV177" s="165"/>
      <c r="BW177" s="165"/>
      <c r="BX177" s="166"/>
      <c r="BY177" s="122"/>
      <c r="BZ177" s="123"/>
      <c r="CA177" s="123"/>
      <c r="CB177" s="124"/>
      <c r="CC177" s="122"/>
      <c r="CD177" s="123"/>
      <c r="CE177" s="123"/>
      <c r="CF177" s="215"/>
    </row>
    <row r="178" spans="22:84" ht="14.4" customHeight="1" x14ac:dyDescent="0.3">
      <c r="V178" s="49" t="str">
        <f t="shared" si="200"/>
        <v/>
      </c>
      <c r="W178" s="38" t="str" cm="1">
        <f t="array" ref="W178">IF(Y164="", "", IF(AND(Y164&lt;=MIN(AF164:AO164),Z164&gt;=MAX(AF164:AO164)),"ACCEPT",IF(AND(AF164:AO164="OK"),"ACCEPT","REJECT")))</f>
        <v/>
      </c>
      <c r="X178" s="38" t="str">
        <f t="shared" si="192"/>
        <v/>
      </c>
      <c r="Y178" s="38" t="str">
        <f t="shared" si="193"/>
        <v/>
      </c>
      <c r="Z178" s="38" t="str">
        <f t="shared" si="194"/>
        <v/>
      </c>
      <c r="AA178" s="38">
        <f t="shared" si="195"/>
        <v>1</v>
      </c>
      <c r="AB178" s="38">
        <f t="shared" si="196"/>
        <v>0</v>
      </c>
      <c r="AC178" s="38">
        <f t="shared" si="197"/>
        <v>0</v>
      </c>
      <c r="AD178" s="38">
        <f t="shared" si="198"/>
        <v>0</v>
      </c>
      <c r="AE178" s="38" t="str">
        <f t="shared" si="199"/>
        <v>-</v>
      </c>
      <c r="AP178" s="22"/>
      <c r="AQ178" s="46"/>
      <c r="AR178" s="28"/>
      <c r="AS178" s="28"/>
      <c r="AT178" s="28"/>
      <c r="AU178" s="28"/>
      <c r="AV178" s="28"/>
      <c r="AW178" s="28"/>
      <c r="AX178" s="28"/>
      <c r="AY178" s="28"/>
      <c r="AZ178" s="28"/>
      <c r="BA178" s="28"/>
      <c r="BB178" s="28"/>
      <c r="BC178" s="28"/>
      <c r="BD178" s="28"/>
      <c r="BE178" s="28"/>
      <c r="BF178" s="28"/>
      <c r="BG178" s="28"/>
      <c r="BH178" s="28"/>
      <c r="BI178" s="28"/>
      <c r="BJ178" s="28"/>
      <c r="BK178" s="51"/>
      <c r="BL178" s="210" t="s">
        <v>105</v>
      </c>
      <c r="BM178" s="211"/>
      <c r="BN178" s="28" t="s">
        <v>101</v>
      </c>
      <c r="BO178" s="125"/>
      <c r="BP178" s="126"/>
      <c r="BQ178" s="127"/>
      <c r="BR178" s="162"/>
      <c r="BS178" s="163"/>
      <c r="BT178" s="167"/>
      <c r="BU178" s="168"/>
      <c r="BV178" s="168"/>
      <c r="BW178" s="168"/>
      <c r="BX178" s="169"/>
      <c r="BY178" s="122"/>
      <c r="BZ178" s="123"/>
      <c r="CA178" s="123"/>
      <c r="CB178" s="124"/>
      <c r="CC178" s="122"/>
      <c r="CD178" s="123"/>
      <c r="CE178" s="123"/>
      <c r="CF178" s="215"/>
    </row>
    <row r="179" spans="22:84" ht="14.4" customHeight="1" x14ac:dyDescent="0.3">
      <c r="V179" s="49" t="str">
        <f t="shared" si="200"/>
        <v/>
      </c>
      <c r="W179" s="38" t="str" cm="1">
        <f t="array" ref="W179">IF(Y165="", "", IF(AND(Y165&lt;=MIN(AF165:AO165),Z165&gt;=MAX(AF165:AO165)),"ACCEPT",IF(AND(AF165:AO165="OK"),"ACCEPT","REJECT")))</f>
        <v/>
      </c>
      <c r="X179" s="38" t="str">
        <f t="shared" ref="X179:X184" si="201">IF(TRIM(W179)="", "", MAX(AF165:AO165))</f>
        <v/>
      </c>
      <c r="Y179" s="38" t="str">
        <f t="shared" si="193"/>
        <v/>
      </c>
      <c r="Z179" s="38" t="str">
        <f t="shared" si="194"/>
        <v/>
      </c>
      <c r="AA179" s="38">
        <f t="shared" si="195"/>
        <v>1</v>
      </c>
      <c r="AB179" s="38">
        <f t="shared" si="196"/>
        <v>0</v>
      </c>
      <c r="AC179" s="38">
        <f t="shared" si="197"/>
        <v>0</v>
      </c>
      <c r="AD179" s="38">
        <f t="shared" si="198"/>
        <v>0</v>
      </c>
      <c r="AE179" s="38" t="str">
        <f t="shared" si="199"/>
        <v>-</v>
      </c>
      <c r="AP179" s="22"/>
      <c r="AQ179" s="46"/>
      <c r="AR179" s="28"/>
      <c r="AS179" s="28"/>
      <c r="AT179" s="28"/>
      <c r="AU179" s="28"/>
      <c r="AV179" s="28"/>
      <c r="AW179" s="28"/>
      <c r="AX179" s="28"/>
      <c r="AY179" s="28"/>
      <c r="AZ179" s="28"/>
      <c r="BA179" s="28"/>
      <c r="BB179" s="28"/>
      <c r="BC179" s="28"/>
      <c r="BD179" s="28"/>
      <c r="BE179" s="28"/>
      <c r="BF179" s="28"/>
      <c r="BG179" s="28"/>
      <c r="BH179" s="28"/>
      <c r="BI179" s="28"/>
      <c r="BJ179" s="28"/>
      <c r="BK179" s="51"/>
      <c r="BL179" s="212" t="s">
        <v>106</v>
      </c>
      <c r="BM179" s="205"/>
      <c r="BN179" s="206"/>
      <c r="BO179" s="213" t="s">
        <v>107</v>
      </c>
      <c r="BP179" s="159"/>
      <c r="BQ179" s="43"/>
      <c r="BR179" s="220" t="s">
        <v>108</v>
      </c>
      <c r="BS179" s="44" t="s">
        <v>109</v>
      </c>
      <c r="BT179" s="45"/>
      <c r="BU179" s="220" t="s">
        <v>110</v>
      </c>
      <c r="BV179" s="119"/>
      <c r="BW179" s="120"/>
      <c r="BX179" s="121"/>
      <c r="BY179" s="122"/>
      <c r="BZ179" s="123"/>
      <c r="CA179" s="123"/>
      <c r="CB179" s="124"/>
      <c r="CC179" s="122"/>
      <c r="CD179" s="123"/>
      <c r="CE179" s="123"/>
      <c r="CF179" s="215"/>
    </row>
    <row r="180" spans="22:84" ht="14.4" customHeight="1" x14ac:dyDescent="0.3">
      <c r="V180" s="49" t="str">
        <f t="shared" si="200"/>
        <v/>
      </c>
      <c r="W180" s="38" t="str" cm="1">
        <f t="array" ref="W180">IF(Y166="", "", IF(AND(Y166&lt;=MIN(AF166:AO166),Z166&gt;=MAX(AF166:AO166)),"ACCEPT",IF(AND(AF166:AO166="OK"),"ACCEPT","REJECT")))</f>
        <v/>
      </c>
      <c r="X180" s="38" t="str">
        <f t="shared" si="201"/>
        <v/>
      </c>
      <c r="Y180" s="38" t="str">
        <f t="shared" si="193"/>
        <v/>
      </c>
      <c r="Z180" s="38" t="str">
        <f t="shared" si="194"/>
        <v/>
      </c>
      <c r="AA180" s="38">
        <f t="shared" si="195"/>
        <v>1</v>
      </c>
      <c r="AB180" s="38">
        <f t="shared" si="196"/>
        <v>0</v>
      </c>
      <c r="AC180" s="38">
        <f t="shared" si="197"/>
        <v>0</v>
      </c>
      <c r="AD180" s="38">
        <f t="shared" si="198"/>
        <v>0</v>
      </c>
      <c r="AE180" s="38" t="str">
        <f t="shared" si="199"/>
        <v>-</v>
      </c>
      <c r="AP180" s="22"/>
      <c r="AQ180" s="46"/>
      <c r="AR180" s="28"/>
      <c r="AS180" s="28"/>
      <c r="AT180" s="28"/>
      <c r="AU180" s="28"/>
      <c r="AV180" s="28"/>
      <c r="AW180" s="28"/>
      <c r="AX180" s="28"/>
      <c r="AY180" s="28"/>
      <c r="AZ180" s="28"/>
      <c r="BA180" s="28"/>
      <c r="BB180" s="28"/>
      <c r="BC180" s="28"/>
      <c r="BD180" s="28"/>
      <c r="BE180" s="28"/>
      <c r="BF180" s="28"/>
      <c r="BG180" s="28"/>
      <c r="BH180" s="28"/>
      <c r="BI180" s="28"/>
      <c r="BJ180" s="28"/>
      <c r="BK180" s="51"/>
      <c r="BL180" s="199"/>
      <c r="BM180" s="154"/>
      <c r="BN180" s="200"/>
      <c r="BO180" s="201"/>
      <c r="BP180" s="202"/>
      <c r="BQ180" s="203"/>
      <c r="BR180" s="221"/>
      <c r="BS180" s="44" t="s">
        <v>112</v>
      </c>
      <c r="BT180" s="45"/>
      <c r="BU180" s="221"/>
      <c r="BV180" s="125"/>
      <c r="BW180" s="126"/>
      <c r="BX180" s="127"/>
      <c r="BY180" s="122"/>
      <c r="BZ180" s="123"/>
      <c r="CA180" s="123"/>
      <c r="CB180" s="124"/>
      <c r="CC180" s="122"/>
      <c r="CD180" s="123"/>
      <c r="CE180" s="123"/>
      <c r="CF180" s="215"/>
    </row>
    <row r="181" spans="22:84" ht="14.4" customHeight="1" x14ac:dyDescent="0.3">
      <c r="V181" s="49" t="str">
        <f t="shared" si="200"/>
        <v/>
      </c>
      <c r="W181" s="38" t="str" cm="1">
        <f t="array" ref="W181">IF(Y167="", "", IF(AND(Y167&lt;=MIN(AF167:AO167),Z167&gt;=MAX(AF167:AO167)),"ACCEPT",IF(AND(AF167:AO167="OK"),"ACCEPT","REJECT")))</f>
        <v/>
      </c>
      <c r="X181" s="38" t="str">
        <f t="shared" si="201"/>
        <v/>
      </c>
      <c r="Y181" s="38" t="str">
        <f t="shared" si="193"/>
        <v/>
      </c>
      <c r="Z181" s="38" t="str">
        <f t="shared" si="194"/>
        <v/>
      </c>
      <c r="AA181" s="38">
        <f t="shared" si="195"/>
        <v>1</v>
      </c>
      <c r="AB181" s="38">
        <f t="shared" si="196"/>
        <v>0</v>
      </c>
      <c r="AC181" s="38">
        <f t="shared" si="197"/>
        <v>0</v>
      </c>
      <c r="AD181" s="38">
        <f t="shared" si="198"/>
        <v>0</v>
      </c>
      <c r="AE181" s="38" t="str">
        <f t="shared" si="199"/>
        <v>-</v>
      </c>
      <c r="AP181" s="22"/>
      <c r="AQ181" s="46"/>
      <c r="AR181" s="28"/>
      <c r="AS181" s="28"/>
      <c r="AT181" s="28"/>
      <c r="AU181" s="28"/>
      <c r="AV181" s="28"/>
      <c r="AW181" s="28"/>
      <c r="AX181" s="28"/>
      <c r="AY181" s="28"/>
      <c r="AZ181" s="28"/>
      <c r="BA181" s="28"/>
      <c r="BB181" s="28"/>
      <c r="BC181" s="28"/>
      <c r="BD181" s="28"/>
      <c r="BE181" s="28"/>
      <c r="BF181" s="28"/>
      <c r="BG181" s="28"/>
      <c r="BH181" s="28"/>
      <c r="BI181" s="28"/>
      <c r="BJ181" s="28"/>
      <c r="BK181" s="51"/>
      <c r="BL181" s="170"/>
      <c r="BM181" s="171"/>
      <c r="BN181" s="172"/>
      <c r="BO181" s="179"/>
      <c r="BP181" s="171"/>
      <c r="BQ181" s="172"/>
      <c r="BR181" s="179"/>
      <c r="BS181" s="171"/>
      <c r="BT181" s="171"/>
      <c r="BU181" s="171"/>
      <c r="BV181" s="171"/>
      <c r="BW181" s="171"/>
      <c r="BX181" s="172"/>
      <c r="BY181" s="122"/>
      <c r="BZ181" s="123"/>
      <c r="CA181" s="123"/>
      <c r="CB181" s="124"/>
      <c r="CC181" s="122"/>
      <c r="CD181" s="123"/>
      <c r="CE181" s="123"/>
      <c r="CF181" s="215"/>
    </row>
    <row r="182" spans="22:84" ht="14.4" customHeight="1" x14ac:dyDescent="0.3">
      <c r="V182" s="49" t="str">
        <f t="shared" si="200"/>
        <v/>
      </c>
      <c r="W182" s="38" t="str" cm="1">
        <f t="array" ref="W182">IF(Y168="", "", IF(AND(Y168&lt;=MIN(AF168:AO168),Z168&gt;=MAX(AF168:AO168)),"ACCEPT",IF(AND(AF168:AO168="OK"),"ACCEPT","REJECT")))</f>
        <v/>
      </c>
      <c r="X182" s="38" t="str">
        <f t="shared" si="201"/>
        <v/>
      </c>
      <c r="Y182" s="38" t="str">
        <f t="shared" si="193"/>
        <v/>
      </c>
      <c r="Z182" s="38" t="str">
        <f t="shared" si="194"/>
        <v/>
      </c>
      <c r="AA182" s="38">
        <f t="shared" si="195"/>
        <v>1</v>
      </c>
      <c r="AB182" s="38">
        <f t="shared" si="196"/>
        <v>0</v>
      </c>
      <c r="AC182" s="38">
        <f t="shared" si="197"/>
        <v>0</v>
      </c>
      <c r="AD182" s="38">
        <f t="shared" si="198"/>
        <v>0</v>
      </c>
      <c r="AE182" s="38" t="str">
        <f t="shared" si="199"/>
        <v>-</v>
      </c>
      <c r="AP182" s="22"/>
      <c r="AQ182" s="46"/>
      <c r="AR182" s="28"/>
      <c r="AS182" s="28"/>
      <c r="AT182" s="28"/>
      <c r="AU182" s="28"/>
      <c r="AV182" s="28"/>
      <c r="AW182" s="28"/>
      <c r="AX182" s="28"/>
      <c r="AY182" s="28"/>
      <c r="AZ182" s="28"/>
      <c r="BA182" s="28"/>
      <c r="BB182" s="28"/>
      <c r="BC182" s="28"/>
      <c r="BD182" s="28"/>
      <c r="BE182" s="28"/>
      <c r="BF182" s="28"/>
      <c r="BG182" s="28"/>
      <c r="BH182" s="28"/>
      <c r="BI182" s="28"/>
      <c r="BJ182" s="28"/>
      <c r="BK182" s="51"/>
      <c r="BL182" s="173"/>
      <c r="BM182" s="174"/>
      <c r="BN182" s="175"/>
      <c r="BO182" s="180"/>
      <c r="BP182" s="174"/>
      <c r="BQ182" s="175"/>
      <c r="BR182" s="180"/>
      <c r="BS182" s="174"/>
      <c r="BT182" s="174"/>
      <c r="BU182" s="174"/>
      <c r="BV182" s="174"/>
      <c r="BW182" s="174"/>
      <c r="BX182" s="175"/>
      <c r="BY182" s="122"/>
      <c r="BZ182" s="123"/>
      <c r="CA182" s="123"/>
      <c r="CB182" s="124"/>
      <c r="CC182" s="122"/>
      <c r="CD182" s="123"/>
      <c r="CE182" s="123"/>
      <c r="CF182" s="215"/>
    </row>
    <row r="183" spans="22:84" ht="14.4" customHeight="1" thickBot="1" x14ac:dyDescent="0.35">
      <c r="V183" s="49" t="str">
        <f t="shared" si="200"/>
        <v/>
      </c>
      <c r="W183" s="38" t="str" cm="1">
        <f t="array" ref="W183">IF(Y169="", "", IF(AND(Y169&lt;=MIN(AF169:AO169),Z169&gt;=MAX(AF169:AO169)),"ACCEPT",IF(AND(AF169:AO169="OK"),"ACCEPT","REJECT")))</f>
        <v/>
      </c>
      <c r="X183" s="38" t="str">
        <f t="shared" si="201"/>
        <v/>
      </c>
      <c r="Y183" s="38" t="str">
        <f t="shared" si="193"/>
        <v/>
      </c>
      <c r="Z183" s="38" t="str">
        <f t="shared" si="194"/>
        <v/>
      </c>
      <c r="AA183" s="38">
        <f t="shared" si="195"/>
        <v>1</v>
      </c>
      <c r="AB183" s="38">
        <f t="shared" si="196"/>
        <v>0</v>
      </c>
      <c r="AC183" s="38">
        <f t="shared" si="197"/>
        <v>0</v>
      </c>
      <c r="AD183" s="38">
        <f t="shared" si="198"/>
        <v>0</v>
      </c>
      <c r="AE183" s="38" t="str">
        <f t="shared" si="199"/>
        <v>-</v>
      </c>
      <c r="AP183" s="22"/>
      <c r="AQ183" s="358" t="s">
        <v>113</v>
      </c>
      <c r="AR183" s="145"/>
      <c r="AS183" s="145"/>
      <c r="AT183" s="145"/>
      <c r="AU183" s="145"/>
      <c r="AV183" s="145"/>
      <c r="AW183" s="145"/>
      <c r="AX183" s="145"/>
      <c r="AY183" s="285"/>
      <c r="AZ183" s="285"/>
      <c r="BA183" s="285"/>
      <c r="BB183" s="285"/>
      <c r="BC183" s="285"/>
      <c r="BD183" s="285"/>
      <c r="BE183" s="285"/>
      <c r="BF183" s="286"/>
      <c r="BK183" s="22"/>
      <c r="BL183" s="173"/>
      <c r="BM183" s="174"/>
      <c r="BN183" s="175"/>
      <c r="BO183" s="180"/>
      <c r="BP183" s="174"/>
      <c r="BQ183" s="175"/>
      <c r="BR183" s="180"/>
      <c r="BS183" s="174"/>
      <c r="BT183" s="174"/>
      <c r="BU183" s="174"/>
      <c r="BV183" s="174"/>
      <c r="BW183" s="174"/>
      <c r="BX183" s="175"/>
      <c r="BY183" s="122"/>
      <c r="BZ183" s="123"/>
      <c r="CA183" s="123"/>
      <c r="CB183" s="124"/>
      <c r="CC183" s="122"/>
      <c r="CD183" s="123"/>
      <c r="CE183" s="123"/>
      <c r="CF183" s="215"/>
    </row>
    <row r="184" spans="22:84" ht="14.4" customHeight="1" x14ac:dyDescent="0.3">
      <c r="V184" s="49" t="str">
        <f>IF(ISBLANK(V170),"",V170)</f>
        <v/>
      </c>
      <c r="W184" s="38" t="str" cm="1">
        <f t="array" ref="W184">IF(Y170="", "", IF(AND(Y170&lt;=MIN(AF170:AO170),Z170&gt;=MAX(AF170:AO170)),"ACCEPT",IF(AND(AF170:AO170="OK"),"ACCEPT","REJECT")))</f>
        <v/>
      </c>
      <c r="X184" s="38" t="str">
        <f t="shared" si="201"/>
        <v/>
      </c>
      <c r="Y184" s="38" t="str">
        <f t="shared" si="193"/>
        <v/>
      </c>
      <c r="Z184" s="38" t="str">
        <f t="shared" si="194"/>
        <v/>
      </c>
      <c r="AA184" s="38">
        <f t="shared" si="195"/>
        <v>1</v>
      </c>
      <c r="AB184" s="38">
        <f t="shared" si="196"/>
        <v>0</v>
      </c>
      <c r="AC184" s="38">
        <f t="shared" si="197"/>
        <v>0</v>
      </c>
      <c r="AD184" s="38">
        <f t="shared" si="198"/>
        <v>0</v>
      </c>
      <c r="AE184" s="38" t="str">
        <f t="shared" si="199"/>
        <v>-</v>
      </c>
      <c r="AP184" s="22"/>
      <c r="AQ184" s="52"/>
      <c r="AR184" s="53" t="s">
        <v>114</v>
      </c>
      <c r="AS184" s="53" t="s">
        <v>115</v>
      </c>
      <c r="AT184" s="53" t="s">
        <v>116</v>
      </c>
      <c r="AU184" s="53" t="s">
        <v>119</v>
      </c>
      <c r="AV184" s="53" t="s">
        <v>120</v>
      </c>
      <c r="AW184" s="53" t="s">
        <v>121</v>
      </c>
      <c r="AX184" s="54" t="s">
        <v>122</v>
      </c>
      <c r="AY184" s="52"/>
      <c r="AZ184" s="53" t="s">
        <v>114</v>
      </c>
      <c r="BA184" s="53" t="s">
        <v>115</v>
      </c>
      <c r="BB184" s="53" t="s">
        <v>116</v>
      </c>
      <c r="BC184" s="53" t="s">
        <v>119</v>
      </c>
      <c r="BD184" s="53" t="s">
        <v>120</v>
      </c>
      <c r="BE184" s="53" t="s">
        <v>121</v>
      </c>
      <c r="BF184" s="54" t="s">
        <v>122</v>
      </c>
      <c r="BK184" s="22"/>
      <c r="BL184" s="173"/>
      <c r="BM184" s="174"/>
      <c r="BN184" s="175"/>
      <c r="BO184" s="180"/>
      <c r="BP184" s="174"/>
      <c r="BQ184" s="175"/>
      <c r="BR184" s="180"/>
      <c r="BS184" s="174"/>
      <c r="BT184" s="174"/>
      <c r="BU184" s="174"/>
      <c r="BV184" s="174"/>
      <c r="BW184" s="174"/>
      <c r="BX184" s="175"/>
      <c r="BY184" s="122"/>
      <c r="BZ184" s="123"/>
      <c r="CA184" s="123"/>
      <c r="CB184" s="124"/>
      <c r="CC184" s="122"/>
      <c r="CD184" s="123"/>
      <c r="CE184" s="123"/>
      <c r="CF184" s="215"/>
    </row>
    <row r="185" spans="22:84" ht="14.4" customHeight="1" x14ac:dyDescent="0.3">
      <c r="V185" s="55"/>
      <c r="W185" s="56"/>
      <c r="X185" s="56"/>
      <c r="Y185" s="56"/>
      <c r="Z185" s="56"/>
      <c r="AP185" s="22"/>
      <c r="AQ185" s="49" t="str">
        <f>IF(ISBLANK(V159),"",V159)</f>
        <v/>
      </c>
      <c r="AR185" s="38" t="str" cm="1">
        <f t="array" ref="AR185">IF(AT158="", "", IF(AND(AT158&lt;=MIN(AZ158:BK158,AQ171:BK171),AU158&gt;=MAX(AZ158:BK158,AQ171:BK171)),"ACCEPT",IF(AND(AZ158:BK158,AQ171:BK171="OK"),"ACCEPT","REJECT")))</f>
        <v/>
      </c>
      <c r="AS185" s="38" t="str">
        <f t="shared" ref="AS185:AS190" si="202">IF(TRIM(AR185)="", "", MAX(AZ158:BK158,AQ171:BK171))</f>
        <v/>
      </c>
      <c r="AT185" s="38" t="str">
        <f t="shared" ref="AT185:AT190" si="203">IF(TRIM(AR185)="", "", MIN(AZ158:BK158,AQ171:BK171))</f>
        <v/>
      </c>
      <c r="AU185" s="38">
        <f>IF(COUNT(AZ158:BK158,AQ171:BK171)=0,0,AVERAGE(AZ158:BK158,AQ171:BK171))</f>
        <v>0</v>
      </c>
      <c r="AV185" s="38">
        <f t="shared" ref="AV185:AV190" si="204">MAX(AZ158:BK158,AQ171:BK171)-MIN(AZ158:BK158,AQ171:BK171)</f>
        <v>0</v>
      </c>
      <c r="AW185" s="38">
        <f>IF(COUNT(AZ158:BK158,AQ171:BK171)=0,0,_xlfn.STDEV.S(AZ158:BK158,AQ171:BK171))</f>
        <v>0</v>
      </c>
      <c r="AX185" s="57" t="str">
        <f t="shared" ref="AX185:AX190" si="205">IF(AU185=0,"-",IF(AU185-AT158&lt;AU158-AU185,AU185-AT158,AU158-AU185)/(AW185*3))</f>
        <v>-</v>
      </c>
      <c r="AY185" s="49" t="str">
        <f>IF(ISBLANK(V165),"",V165)</f>
        <v/>
      </c>
      <c r="AZ185" s="38" t="str" cm="1">
        <f t="array" ref="AZ185">IF(AT164="", "", IF(AND(Y165&lt;=MIN(AZ164:BK164,AQ177:BK177),AU164&gt;=MAX(AZ164:BK164,AQ177:BK177)),"ACCEPT",IF(AND(AZ164:BK164,AQ177:BK177="OK"),"ACCEPT","REJECT")))</f>
        <v/>
      </c>
      <c r="BA185" s="38" t="str">
        <f t="shared" ref="BA185:BA190" si="206">IF(TRIM(AZ185)="", "", MAX(AZ164:BK164,AQ177:BK177))</f>
        <v/>
      </c>
      <c r="BB185" s="38" t="str">
        <f t="shared" ref="BB185:BB190" si="207">IF(TRIM(AZ185)="", "", MIN(AZ164:BK164,AQ177:BK177))</f>
        <v/>
      </c>
      <c r="BC185" s="38">
        <f t="shared" ref="BC185:BC190" si="208">IF(COUNT(AZ164:BK164,AQ177:BK177)=0,0,AVERAGE(AZ164:BK164,AQ177:BK177))</f>
        <v>0</v>
      </c>
      <c r="BD185" s="38">
        <f t="shared" ref="BD185:BD190" si="209">MAX(AZ164:BK164,AQ177:BK177)-MIN(AZ164:BK164,AQ177:BK177)</f>
        <v>0</v>
      </c>
      <c r="BE185" s="38">
        <f t="shared" ref="BE185:BE190" si="210">IF(COUNT(AZ164:BK164,AQ177:BK177)=0,0,_xlfn.STDEV.S(AZ164:BK164,AQ177:BK177))</f>
        <v>0</v>
      </c>
      <c r="BF185" s="57" t="str">
        <f t="shared" ref="BF185:BF190" si="211">IF(BC185=0,"-",IF(BC185-AT164&lt;AU164-BC185,BC185-AT164,AU164-BC185)/(BE185*3))</f>
        <v>-</v>
      </c>
      <c r="BK185" s="22"/>
      <c r="BL185" s="173"/>
      <c r="BM185" s="174"/>
      <c r="BN185" s="175"/>
      <c r="BO185" s="180"/>
      <c r="BP185" s="174"/>
      <c r="BQ185" s="175"/>
      <c r="BR185" s="180"/>
      <c r="BS185" s="174"/>
      <c r="BT185" s="174"/>
      <c r="BU185" s="174"/>
      <c r="BV185" s="174"/>
      <c r="BW185" s="174"/>
      <c r="BX185" s="175"/>
      <c r="BY185" s="122"/>
      <c r="BZ185" s="123"/>
      <c r="CA185" s="123"/>
      <c r="CB185" s="124"/>
      <c r="CC185" s="122"/>
      <c r="CD185" s="123"/>
      <c r="CE185" s="123"/>
      <c r="CF185" s="215"/>
    </row>
    <row r="186" spans="22:84" ht="14.4" customHeight="1" x14ac:dyDescent="0.3">
      <c r="V186" s="58" t="s">
        <v>35</v>
      </c>
      <c r="W186" s="247"/>
      <c r="X186" s="248"/>
      <c r="Y186" s="277" t="s">
        <v>37</v>
      </c>
      <c r="Z186" s="278"/>
      <c r="AB186" s="253" t="s">
        <v>125</v>
      </c>
      <c r="AC186" s="171"/>
      <c r="AD186" s="171"/>
      <c r="AE186" s="172"/>
      <c r="AG186" s="249" t="s">
        <v>126</v>
      </c>
      <c r="AH186" s="250"/>
      <c r="AI186" s="249" t="s">
        <v>9</v>
      </c>
      <c r="AJ186" s="250"/>
      <c r="AL186" s="249" t="s">
        <v>126</v>
      </c>
      <c r="AM186" s="250"/>
      <c r="AN186" s="249" t="s">
        <v>9</v>
      </c>
      <c r="AO186" s="250"/>
      <c r="AP186" s="22"/>
      <c r="AQ186" s="49" t="str">
        <f t="shared" ref="AQ186:AQ190" si="212">IF(ISBLANK(V160),"",V160)</f>
        <v/>
      </c>
      <c r="AR186" s="38" t="str" cm="1">
        <f t="array" ref="AR186">IF(AT159="", "", IF(AND(AT159&lt;=MIN(AZ159:BK159,AQ172:BK172),AU159&gt;=MAX(AZ159:BK159,AQ172:BK172)),"ACCEPT",IF(AND(AZ159:BK159,AQ172:BK172="OK"),"ACCEPT","REJECT")))</f>
        <v/>
      </c>
      <c r="AS186" s="38" t="str">
        <f t="shared" si="202"/>
        <v/>
      </c>
      <c r="AT186" s="38" t="str">
        <f t="shared" si="203"/>
        <v/>
      </c>
      <c r="AU186" s="38">
        <f t="shared" ref="AU186:AU190" si="213">IF(COUNT(AZ159:BK159,AQ172:BK172)=0,0,AVERAGE(AZ159:BK159,AQ172:BK172))</f>
        <v>0</v>
      </c>
      <c r="AV186" s="38">
        <f t="shared" si="204"/>
        <v>0</v>
      </c>
      <c r="AW186" s="38">
        <f t="shared" ref="AW186:AW190" si="214">IF(COUNT(AZ159:BK159,AQ172:BK172)=0,0,_xlfn.STDEV.S(AZ159:BK159,AQ172:BK172))</f>
        <v>0</v>
      </c>
      <c r="AX186" s="57" t="str">
        <f t="shared" si="205"/>
        <v>-</v>
      </c>
      <c r="AY186" s="49" t="str">
        <f t="shared" ref="AY186:AY190" si="215">IF(ISBLANK(V166),"",V166)</f>
        <v/>
      </c>
      <c r="AZ186" s="38" t="str" cm="1">
        <f t="array" ref="AZ186">IF(AT165="", "", IF(AND(Y166&lt;=MIN(AZ165:BK165,AQ178:BK178),AU165&gt;=MAX(AZ165:BK165,AQ178:BK178)),"ACCEPT",IF(AND(AZ165:BK165,AQ178:BK178="OK"),"ACCEPT","REJECT")))</f>
        <v/>
      </c>
      <c r="BA186" s="38" t="str">
        <f t="shared" si="206"/>
        <v/>
      </c>
      <c r="BB186" s="38" t="str">
        <f t="shared" si="207"/>
        <v/>
      </c>
      <c r="BC186" s="38">
        <f t="shared" si="208"/>
        <v>0</v>
      </c>
      <c r="BD186" s="38">
        <f t="shared" si="209"/>
        <v>0</v>
      </c>
      <c r="BE186" s="38">
        <f t="shared" si="210"/>
        <v>0</v>
      </c>
      <c r="BF186" s="57" t="str">
        <f t="shared" si="211"/>
        <v>-</v>
      </c>
      <c r="BG186" s="61" t="s">
        <v>126</v>
      </c>
      <c r="BH186" s="60"/>
      <c r="BI186" s="59" t="s">
        <v>9</v>
      </c>
      <c r="BJ186" s="60"/>
      <c r="BK186" s="22"/>
      <c r="BL186" s="173"/>
      <c r="BM186" s="174"/>
      <c r="BN186" s="175"/>
      <c r="BO186" s="180"/>
      <c r="BP186" s="174"/>
      <c r="BQ186" s="175"/>
      <c r="BR186" s="180"/>
      <c r="BS186" s="174"/>
      <c r="BT186" s="174"/>
      <c r="BU186" s="174"/>
      <c r="BV186" s="174"/>
      <c r="BW186" s="174"/>
      <c r="BX186" s="175"/>
      <c r="BY186" s="122"/>
      <c r="BZ186" s="123"/>
      <c r="CA186" s="123"/>
      <c r="CB186" s="124"/>
      <c r="CC186" s="122"/>
      <c r="CD186" s="123"/>
      <c r="CE186" s="123"/>
      <c r="CF186" s="215"/>
    </row>
    <row r="187" spans="22:84" ht="14.4" customHeight="1" x14ac:dyDescent="0.3">
      <c r="V187" s="33"/>
      <c r="Y187" s="279"/>
      <c r="Z187" s="280"/>
      <c r="AB187" s="259"/>
      <c r="AC187" s="177"/>
      <c r="AD187" s="177"/>
      <c r="AE187" s="178"/>
      <c r="AG187" s="179"/>
      <c r="AH187" s="172"/>
      <c r="AI187" s="179"/>
      <c r="AJ187" s="172"/>
      <c r="AL187" s="179"/>
      <c r="AM187" s="172"/>
      <c r="AN187" s="179"/>
      <c r="AO187" s="172"/>
      <c r="AP187" s="22"/>
      <c r="AQ187" s="49" t="str">
        <f t="shared" si="212"/>
        <v/>
      </c>
      <c r="AR187" s="38" t="str" cm="1">
        <f t="array" ref="AR187">IF(AT160="", "", IF(AND(AT160&lt;=MIN(AZ160:BK160,AQ173:BK173),AU160&gt;=MAX(AZ160:BK160,AQ173:BK173)),"ACCEPT",IF(AND(AZ160:BK160,AQ173:BK173="OK"),"ACCEPT","REJECT")))</f>
        <v/>
      </c>
      <c r="AS187" s="38" t="str">
        <f t="shared" si="202"/>
        <v/>
      </c>
      <c r="AT187" s="38" t="str">
        <f t="shared" si="203"/>
        <v/>
      </c>
      <c r="AU187" s="38">
        <f t="shared" si="213"/>
        <v>0</v>
      </c>
      <c r="AV187" s="38">
        <f t="shared" si="204"/>
        <v>0</v>
      </c>
      <c r="AW187" s="38">
        <f t="shared" si="214"/>
        <v>0</v>
      </c>
      <c r="AX187" s="57" t="str">
        <f t="shared" si="205"/>
        <v>-</v>
      </c>
      <c r="AY187" s="49" t="str">
        <f t="shared" si="215"/>
        <v/>
      </c>
      <c r="AZ187" s="38" t="str" cm="1">
        <f t="array" ref="AZ187">IF(AT166="", "", IF(AND(Y167&lt;=MIN(AZ166:BK166,AQ179:BK179),AU166&gt;=MAX(AZ166:BK166,AQ179:BK179)),"ACCEPT",IF(AND(AZ166:BK166,AQ179:BK179="OK"),"ACCEPT","REJECT")))</f>
        <v/>
      </c>
      <c r="BA187" s="38" t="str">
        <f t="shared" si="206"/>
        <v/>
      </c>
      <c r="BB187" s="38" t="str">
        <f t="shared" si="207"/>
        <v/>
      </c>
      <c r="BC187" s="38">
        <f t="shared" si="208"/>
        <v>0</v>
      </c>
      <c r="BD187" s="38">
        <f t="shared" si="209"/>
        <v>0</v>
      </c>
      <c r="BE187" s="38">
        <f t="shared" si="210"/>
        <v>0</v>
      </c>
      <c r="BF187" s="57" t="str">
        <f t="shared" si="211"/>
        <v>-</v>
      </c>
      <c r="BG187" s="170"/>
      <c r="BH187" s="172"/>
      <c r="BI187" s="179"/>
      <c r="BJ187" s="172"/>
      <c r="BK187" s="22"/>
      <c r="BL187" s="173"/>
      <c r="BM187" s="174"/>
      <c r="BN187" s="175"/>
      <c r="BO187" s="180"/>
      <c r="BP187" s="174"/>
      <c r="BQ187" s="175"/>
      <c r="BR187" s="180"/>
      <c r="BS187" s="174"/>
      <c r="BT187" s="174"/>
      <c r="BU187" s="174"/>
      <c r="BV187" s="174"/>
      <c r="BW187" s="174"/>
      <c r="BX187" s="175"/>
      <c r="BY187" s="122"/>
      <c r="BZ187" s="123"/>
      <c r="CA187" s="123"/>
      <c r="CB187" s="124"/>
      <c r="CC187" s="122"/>
      <c r="CD187" s="123"/>
      <c r="CE187" s="123"/>
      <c r="CF187" s="215"/>
    </row>
    <row r="188" spans="22:84" ht="14.4" customHeight="1" x14ac:dyDescent="0.3">
      <c r="V188" s="33" t="s">
        <v>36</v>
      </c>
      <c r="W188" s="247"/>
      <c r="X188" s="248"/>
      <c r="Y188" s="281"/>
      <c r="Z188" s="282"/>
      <c r="AB188" s="273" t="s">
        <v>141</v>
      </c>
      <c r="AC188" s="48" t="s">
        <v>127</v>
      </c>
      <c r="AD188" s="276" t="s">
        <v>128</v>
      </c>
      <c r="AE188" s="276"/>
      <c r="AG188" s="180"/>
      <c r="AH188" s="175"/>
      <c r="AI188" s="180"/>
      <c r="AJ188" s="175"/>
      <c r="AL188" s="180"/>
      <c r="AM188" s="175"/>
      <c r="AN188" s="180"/>
      <c r="AO188" s="175"/>
      <c r="AP188" s="22"/>
      <c r="AQ188" s="49" t="str">
        <f t="shared" si="212"/>
        <v/>
      </c>
      <c r="AR188" s="38" t="str" cm="1">
        <f t="array" ref="AR188">IF(AT161="", "", IF(AND(AT161&lt;=MIN(AZ161:BK161,AQ174:BK174),AU161&gt;=MAX(AZ161:BK161,AQ174:BK174)),"ACCEPT",IF(AND(AZ161:BK161,AQ174:BK174="OK"),"ACCEPT","REJECT")))</f>
        <v/>
      </c>
      <c r="AS188" s="38" t="str">
        <f t="shared" si="202"/>
        <v/>
      </c>
      <c r="AT188" s="38" t="str">
        <f t="shared" si="203"/>
        <v/>
      </c>
      <c r="AU188" s="38">
        <f t="shared" si="213"/>
        <v>0</v>
      </c>
      <c r="AV188" s="38">
        <f t="shared" si="204"/>
        <v>0</v>
      </c>
      <c r="AW188" s="38">
        <f t="shared" si="214"/>
        <v>0</v>
      </c>
      <c r="AX188" s="57" t="str">
        <f t="shared" si="205"/>
        <v>-</v>
      </c>
      <c r="AY188" s="49" t="str">
        <f t="shared" si="215"/>
        <v/>
      </c>
      <c r="AZ188" s="38" t="str" cm="1">
        <f t="array" ref="AZ188">IF(AT167="", "", IF(AND(Y168&lt;=MIN(AZ167:BK167,AQ180:BK180),AU167&gt;=MAX(AZ167:BK167,AQ180:BK180)),"ACCEPT",IF(AND(AZ167:BK167,AQ180:BK180="OK"),"ACCEPT","REJECT")))</f>
        <v/>
      </c>
      <c r="BA188" s="38" t="str">
        <f t="shared" si="206"/>
        <v/>
      </c>
      <c r="BB188" s="38" t="str">
        <f t="shared" si="207"/>
        <v/>
      </c>
      <c r="BC188" s="38">
        <f t="shared" si="208"/>
        <v>0</v>
      </c>
      <c r="BD188" s="38">
        <f t="shared" si="209"/>
        <v>0</v>
      </c>
      <c r="BE188" s="38">
        <f t="shared" si="210"/>
        <v>0</v>
      </c>
      <c r="BF188" s="57" t="str">
        <f t="shared" si="211"/>
        <v>-</v>
      </c>
      <c r="BG188" s="173"/>
      <c r="BH188" s="175"/>
      <c r="BI188" s="180"/>
      <c r="BJ188" s="175"/>
      <c r="BK188" s="22"/>
      <c r="BL188" s="173"/>
      <c r="BM188" s="174"/>
      <c r="BN188" s="175"/>
      <c r="BO188" s="180"/>
      <c r="BP188" s="174"/>
      <c r="BQ188" s="175"/>
      <c r="BR188" s="180"/>
      <c r="BS188" s="174"/>
      <c r="BT188" s="174"/>
      <c r="BU188" s="174"/>
      <c r="BV188" s="174"/>
      <c r="BW188" s="174"/>
      <c r="BX188" s="175"/>
      <c r="BY188" s="122"/>
      <c r="BZ188" s="123"/>
      <c r="CA188" s="123"/>
      <c r="CB188" s="124"/>
      <c r="CC188" s="122"/>
      <c r="CD188" s="123"/>
      <c r="CE188" s="123"/>
      <c r="CF188" s="215"/>
    </row>
    <row r="189" spans="22:84" ht="14.4" customHeight="1" x14ac:dyDescent="0.3">
      <c r="V189" s="33"/>
      <c r="Y189" s="283"/>
      <c r="Z189" s="284"/>
      <c r="AB189" s="274"/>
      <c r="AC189" s="48" t="s">
        <v>129</v>
      </c>
      <c r="AD189" s="276" t="s">
        <v>130</v>
      </c>
      <c r="AE189" s="276"/>
      <c r="AG189" s="181"/>
      <c r="AH189" s="178"/>
      <c r="AI189" s="181"/>
      <c r="AJ189" s="178"/>
      <c r="AL189" s="181"/>
      <c r="AM189" s="178"/>
      <c r="AN189" s="181"/>
      <c r="AO189" s="178"/>
      <c r="AP189" s="22"/>
      <c r="AQ189" s="49" t="str">
        <f t="shared" si="212"/>
        <v/>
      </c>
      <c r="AR189" s="38" t="str" cm="1">
        <f t="array" ref="AR189">IF(AT162="", "", IF(AND(AT162&lt;=MIN(AZ162:BK162,AQ175:BK175),AU162&gt;=MAX(AZ162:BK162,AQ175:BK175)),"ACCEPT",IF(AND(AZ162:BK162,AQ175:BK175="OK"),"ACCEPT","REJECT")))</f>
        <v/>
      </c>
      <c r="AS189" s="38" t="str">
        <f t="shared" si="202"/>
        <v/>
      </c>
      <c r="AT189" s="38" t="str">
        <f t="shared" si="203"/>
        <v/>
      </c>
      <c r="AU189" s="38">
        <f t="shared" si="213"/>
        <v>0</v>
      </c>
      <c r="AV189" s="38">
        <f t="shared" si="204"/>
        <v>0</v>
      </c>
      <c r="AW189" s="38">
        <f t="shared" si="214"/>
        <v>0</v>
      </c>
      <c r="AX189" s="57" t="str">
        <f t="shared" si="205"/>
        <v>-</v>
      </c>
      <c r="AY189" s="49" t="str">
        <f t="shared" si="215"/>
        <v/>
      </c>
      <c r="AZ189" s="38" t="str" cm="1">
        <f t="array" ref="AZ189">IF(AT168="", "", IF(AND(Y169&lt;=MIN(AZ168:BK168,AQ181:BK181),AU168&gt;=MAX(AZ168:BK168,AQ181:BK181)),"ACCEPT",IF(AND(AZ168:BK168,AQ181:BK181="OK"),"ACCEPT","REJECT")))</f>
        <v/>
      </c>
      <c r="BA189" s="38" t="str">
        <f t="shared" si="206"/>
        <v/>
      </c>
      <c r="BB189" s="38" t="str">
        <f t="shared" si="207"/>
        <v/>
      </c>
      <c r="BC189" s="38">
        <f t="shared" si="208"/>
        <v>0</v>
      </c>
      <c r="BD189" s="38">
        <f t="shared" si="209"/>
        <v>0</v>
      </c>
      <c r="BE189" s="38">
        <f t="shared" si="210"/>
        <v>0</v>
      </c>
      <c r="BF189" s="57" t="str">
        <f t="shared" si="211"/>
        <v>-</v>
      </c>
      <c r="BG189" s="176"/>
      <c r="BH189" s="178"/>
      <c r="BI189" s="181"/>
      <c r="BJ189" s="178"/>
      <c r="BK189" s="22"/>
      <c r="BL189" s="173"/>
      <c r="BM189" s="174"/>
      <c r="BN189" s="175"/>
      <c r="BO189" s="180"/>
      <c r="BP189" s="174"/>
      <c r="BQ189" s="175"/>
      <c r="BR189" s="180"/>
      <c r="BS189" s="174"/>
      <c r="BT189" s="174"/>
      <c r="BU189" s="174"/>
      <c r="BV189" s="174"/>
      <c r="BW189" s="174"/>
      <c r="BX189" s="175"/>
      <c r="BY189" s="122"/>
      <c r="BZ189" s="123"/>
      <c r="CA189" s="123"/>
      <c r="CB189" s="124"/>
      <c r="CC189" s="125"/>
      <c r="CD189" s="126"/>
      <c r="CE189" s="126"/>
      <c r="CF189" s="216"/>
    </row>
    <row r="190" spans="22:84" ht="14.4" customHeight="1" thickBot="1" x14ac:dyDescent="0.35">
      <c r="V190" s="55"/>
      <c r="W190" s="56"/>
      <c r="X190" s="56"/>
      <c r="Y190" s="75" t="s">
        <v>48</v>
      </c>
      <c r="Z190" s="62"/>
      <c r="AB190" s="275"/>
      <c r="AC190" s="48" t="s">
        <v>131</v>
      </c>
      <c r="AD190" s="276" t="s">
        <v>132</v>
      </c>
      <c r="AE190" s="276"/>
      <c r="AG190" s="83" t="s">
        <v>48</v>
      </c>
      <c r="AH190" s="35"/>
      <c r="AI190" s="83" t="s">
        <v>48</v>
      </c>
      <c r="AJ190" s="35"/>
      <c r="AL190" s="83" t="s">
        <v>48</v>
      </c>
      <c r="AM190" s="35"/>
      <c r="AN190" s="83" t="s">
        <v>48</v>
      </c>
      <c r="AO190" s="35"/>
      <c r="AP190" s="22"/>
      <c r="AQ190" s="49" t="str">
        <f t="shared" si="212"/>
        <v/>
      </c>
      <c r="AR190" s="38" t="str" cm="1">
        <f t="array" ref="AR190">IF(AT163="", "", IF(AND(AT163&lt;=MIN(AZ163:BK163,AQ176:BK176),AU163&gt;=MAX(AZ163:BK163,AQ176:BK176)),"ACCEPT",IF(AND(AZ163:BK163,AQ176:BK176="OK"),"ACCEPT","REJECT")))</f>
        <v/>
      </c>
      <c r="AS190" s="38" t="str">
        <f t="shared" si="202"/>
        <v/>
      </c>
      <c r="AT190" s="38" t="str">
        <f t="shared" si="203"/>
        <v/>
      </c>
      <c r="AU190" s="38">
        <f t="shared" si="213"/>
        <v>0</v>
      </c>
      <c r="AV190" s="38">
        <f t="shared" si="204"/>
        <v>0</v>
      </c>
      <c r="AW190" s="38">
        <f t="shared" si="214"/>
        <v>0</v>
      </c>
      <c r="AX190" s="57" t="str">
        <f t="shared" si="205"/>
        <v>-</v>
      </c>
      <c r="AY190" s="49" t="str">
        <f t="shared" si="215"/>
        <v/>
      </c>
      <c r="AZ190" s="38" t="str" cm="1">
        <f t="array" ref="AZ190">IF(AT169="", "", IF(AND(Y170&lt;=MIN(AZ169:BK169,AQ182:BK182),AU169&gt;=MAX(AZ169:BK169,AQ182:BK182)),"ACCEPT",IF(AND(AZ169:BK169,AQ182:BK182="OK"),"ACCEPT","REJECT")))</f>
        <v/>
      </c>
      <c r="BA190" s="63" t="str">
        <f t="shared" si="206"/>
        <v/>
      </c>
      <c r="BB190" s="63" t="str">
        <f t="shared" si="207"/>
        <v/>
      </c>
      <c r="BC190" s="63">
        <f t="shared" si="208"/>
        <v>0</v>
      </c>
      <c r="BD190" s="63">
        <f t="shared" si="209"/>
        <v>0</v>
      </c>
      <c r="BE190" s="63">
        <f t="shared" si="210"/>
        <v>0</v>
      </c>
      <c r="BF190" s="64" t="str">
        <f t="shared" si="211"/>
        <v>-</v>
      </c>
      <c r="BG190" s="61" t="s">
        <v>48</v>
      </c>
      <c r="BH190" s="35"/>
      <c r="BI190" s="59" t="s">
        <v>48</v>
      </c>
      <c r="BJ190" s="35"/>
      <c r="BK190" s="22"/>
      <c r="BL190" s="173"/>
      <c r="BM190" s="174"/>
      <c r="BN190" s="175"/>
      <c r="BO190" s="180"/>
      <c r="BP190" s="174"/>
      <c r="BQ190" s="175"/>
      <c r="BR190" s="180"/>
      <c r="BS190" s="174"/>
      <c r="BT190" s="174"/>
      <c r="BU190" s="174"/>
      <c r="BV190" s="174"/>
      <c r="BW190" s="174"/>
      <c r="BX190" s="175"/>
      <c r="BY190" s="122"/>
      <c r="BZ190" s="123"/>
      <c r="CA190" s="123"/>
      <c r="CB190" s="124"/>
      <c r="CC190" s="150" t="s">
        <v>123</v>
      </c>
      <c r="CD190" s="151"/>
      <c r="CE190" s="151"/>
      <c r="CF190" s="152"/>
    </row>
    <row r="191" spans="22:84" ht="14.4" customHeight="1" thickBot="1" x14ac:dyDescent="0.35">
      <c r="V191" s="55"/>
      <c r="W191" s="56"/>
      <c r="X191" s="56"/>
      <c r="Y191" s="56"/>
      <c r="Z191" s="56"/>
      <c r="AA191" s="56"/>
      <c r="AB191" s="56"/>
      <c r="AC191" s="56"/>
      <c r="AD191" s="56"/>
      <c r="AE191" s="56"/>
      <c r="AF191" s="56"/>
      <c r="AG191" s="56"/>
      <c r="AH191" s="56"/>
      <c r="AI191" s="56"/>
      <c r="AJ191" s="56"/>
      <c r="AK191" s="56"/>
      <c r="AL191" s="56"/>
      <c r="AM191" s="56"/>
      <c r="AN191" s="56"/>
      <c r="AO191" s="56"/>
      <c r="AP191" s="65"/>
      <c r="AQ191" s="55"/>
      <c r="AR191" s="66"/>
      <c r="AS191" s="56"/>
      <c r="AT191" s="56"/>
      <c r="AU191" s="56"/>
      <c r="AV191" s="56"/>
      <c r="AW191" s="56"/>
      <c r="AX191" s="56"/>
      <c r="AY191" s="56"/>
      <c r="AZ191" s="56"/>
      <c r="BA191" s="56"/>
      <c r="BB191" s="56"/>
      <c r="BC191" s="56"/>
      <c r="BD191" s="56"/>
      <c r="BE191" s="56"/>
      <c r="BF191" s="56"/>
      <c r="BG191" s="56"/>
      <c r="BH191" s="56"/>
      <c r="BI191" s="56"/>
      <c r="BJ191" s="56"/>
      <c r="BK191" s="65"/>
      <c r="BL191" s="176"/>
      <c r="BM191" s="177"/>
      <c r="BN191" s="178"/>
      <c r="BO191" s="181"/>
      <c r="BP191" s="177"/>
      <c r="BQ191" s="178"/>
      <c r="BR191" s="181"/>
      <c r="BS191" s="177"/>
      <c r="BT191" s="177"/>
      <c r="BU191" s="177"/>
      <c r="BV191" s="177"/>
      <c r="BW191" s="177"/>
      <c r="BX191" s="178"/>
      <c r="BY191" s="125"/>
      <c r="BZ191" s="126"/>
      <c r="CA191" s="126"/>
      <c r="CB191" s="127"/>
      <c r="CC191" s="153"/>
      <c r="CD191" s="154"/>
      <c r="CE191" s="154"/>
      <c r="CF191" s="155"/>
    </row>
    <row r="192" spans="22:84" ht="14.4" customHeight="1" thickBot="1" x14ac:dyDescent="0.35">
      <c r="V192" s="67"/>
      <c r="W192" s="68"/>
      <c r="X192" s="68"/>
      <c r="Y192" s="68"/>
      <c r="Z192" s="68"/>
      <c r="AA192" s="68"/>
      <c r="AB192" s="68"/>
      <c r="AC192" s="68"/>
      <c r="AD192" s="68"/>
      <c r="AE192" s="68"/>
      <c r="AF192" s="68"/>
      <c r="AG192" s="233" t="s">
        <v>140</v>
      </c>
      <c r="AH192" s="233"/>
      <c r="AI192" s="233"/>
      <c r="AJ192" s="234" t="s">
        <v>139</v>
      </c>
      <c r="AK192" s="234"/>
      <c r="AL192" s="234"/>
      <c r="AM192" s="234"/>
      <c r="AN192" s="234" t="s">
        <v>138</v>
      </c>
      <c r="AO192" s="234"/>
      <c r="AP192" s="235"/>
      <c r="AQ192" s="67"/>
      <c r="AR192" s="68"/>
      <c r="AS192" s="68"/>
      <c r="AT192" s="68"/>
      <c r="AU192" s="68"/>
      <c r="AV192" s="68"/>
      <c r="AW192" s="68"/>
      <c r="AX192" s="68"/>
      <c r="AY192" s="68"/>
      <c r="AZ192" s="68"/>
      <c r="BA192" s="68"/>
      <c r="BB192" s="233" t="s">
        <v>140</v>
      </c>
      <c r="BC192" s="233"/>
      <c r="BD192" s="233"/>
      <c r="BE192" s="234" t="s">
        <v>139</v>
      </c>
      <c r="BF192" s="234"/>
      <c r="BG192" s="234"/>
      <c r="BH192" s="234"/>
      <c r="BI192" s="234" t="s">
        <v>142</v>
      </c>
      <c r="BJ192" s="234"/>
      <c r="BK192" s="235"/>
      <c r="BL192" s="67"/>
      <c r="BM192" s="68"/>
      <c r="BN192" s="68"/>
      <c r="BO192" s="68"/>
      <c r="BP192" s="68"/>
      <c r="BQ192" s="68"/>
      <c r="BR192" s="68"/>
      <c r="BS192" s="68"/>
      <c r="BT192" s="68"/>
      <c r="BU192" s="68"/>
      <c r="BV192" s="68"/>
      <c r="BW192" s="68"/>
      <c r="BX192" s="68"/>
      <c r="BY192" s="68"/>
      <c r="BZ192" s="71" t="s">
        <v>133</v>
      </c>
      <c r="CA192" s="68"/>
      <c r="CB192" s="68"/>
      <c r="CC192" s="68"/>
      <c r="CD192" s="68"/>
      <c r="CE192" s="68"/>
      <c r="CF192" s="69"/>
    </row>
    <row r="193" spans="22:84" ht="14.4" customHeight="1" x14ac:dyDescent="0.3">
      <c r="V193" s="183" t="e" vm="1">
        <v>#VALUE!</v>
      </c>
      <c r="W193" s="184"/>
      <c r="X193" s="189" t="s">
        <v>1</v>
      </c>
      <c r="Y193" s="189"/>
      <c r="Z193" s="189"/>
      <c r="AA193" s="189"/>
      <c r="AB193" s="189"/>
      <c r="AC193" s="189"/>
      <c r="AD193" s="189"/>
      <c r="AE193" s="189"/>
      <c r="AF193" s="291" t="s">
        <v>2</v>
      </c>
      <c r="AG193" s="191"/>
      <c r="AH193" s="191"/>
      <c r="AI193" s="191"/>
      <c r="AJ193" s="191"/>
      <c r="AK193" s="191"/>
      <c r="AL193" s="191"/>
      <c r="AM193" s="191"/>
      <c r="AN193" s="191" t="e" vm="3">
        <v>#VALUE!</v>
      </c>
      <c r="AO193" s="191"/>
      <c r="AP193" s="192"/>
      <c r="AQ193" s="183" t="e" vm="1">
        <v>#VALUE!</v>
      </c>
      <c r="AR193" s="184"/>
      <c r="AS193" s="190" t="s">
        <v>1</v>
      </c>
      <c r="AT193" s="190"/>
      <c r="AU193" s="190"/>
      <c r="AV193" s="190"/>
      <c r="AW193" s="190"/>
      <c r="AX193" s="190"/>
      <c r="AY193" s="190"/>
      <c r="AZ193" s="190"/>
      <c r="BA193" s="190" t="s">
        <v>3</v>
      </c>
      <c r="BB193" s="190"/>
      <c r="BC193" s="190"/>
      <c r="BD193" s="190"/>
      <c r="BE193" s="190"/>
      <c r="BF193" s="190"/>
      <c r="BG193" s="190"/>
      <c r="BH193" s="190"/>
      <c r="BI193" s="191" t="e" vm="5">
        <v>#VALUE!</v>
      </c>
      <c r="BJ193" s="191"/>
      <c r="BK193" s="192"/>
      <c r="BL193" s="183" t="e" vm="1">
        <v>#VALUE!</v>
      </c>
      <c r="BM193" s="184"/>
      <c r="BN193" s="189" t="s">
        <v>1</v>
      </c>
      <c r="BO193" s="189"/>
      <c r="BP193" s="189"/>
      <c r="BQ193" s="189"/>
      <c r="BR193" s="189"/>
      <c r="BS193" s="189"/>
      <c r="BT193" s="189"/>
      <c r="BU193" s="189"/>
      <c r="BV193" s="189" t="s">
        <v>4</v>
      </c>
      <c r="BW193" s="189"/>
      <c r="BX193" s="189"/>
      <c r="BY193" s="189"/>
      <c r="BZ193" s="189"/>
      <c r="CA193" s="189"/>
      <c r="CB193" s="189"/>
      <c r="CC193" s="189"/>
      <c r="CD193" s="191" t="e" vm="3">
        <v>#VALUE!</v>
      </c>
      <c r="CE193" s="191"/>
      <c r="CF193" s="192"/>
    </row>
    <row r="194" spans="22:84" ht="14.4" customHeight="1" x14ac:dyDescent="0.3">
      <c r="V194" s="185"/>
      <c r="W194" s="186"/>
      <c r="X194" s="190"/>
      <c r="Y194" s="190"/>
      <c r="Z194" s="190"/>
      <c r="AA194" s="190"/>
      <c r="AB194" s="190"/>
      <c r="AC194" s="190"/>
      <c r="AD194" s="190"/>
      <c r="AE194" s="190"/>
      <c r="AF194" s="293"/>
      <c r="AG194" s="193"/>
      <c r="AH194" s="193"/>
      <c r="AI194" s="193"/>
      <c r="AJ194" s="193"/>
      <c r="AK194" s="193"/>
      <c r="AL194" s="193"/>
      <c r="AM194" s="193"/>
      <c r="AN194" s="193"/>
      <c r="AO194" s="193"/>
      <c r="AP194" s="194"/>
      <c r="AQ194" s="185"/>
      <c r="AR194" s="186"/>
      <c r="AS194" s="190"/>
      <c r="AT194" s="190"/>
      <c r="AU194" s="190"/>
      <c r="AV194" s="190"/>
      <c r="AW194" s="190"/>
      <c r="AX194" s="190"/>
      <c r="AY194" s="190"/>
      <c r="AZ194" s="190"/>
      <c r="BA194" s="190"/>
      <c r="BB194" s="190"/>
      <c r="BC194" s="190"/>
      <c r="BD194" s="190"/>
      <c r="BE194" s="190"/>
      <c r="BF194" s="190"/>
      <c r="BG194" s="190"/>
      <c r="BH194" s="190"/>
      <c r="BI194" s="193"/>
      <c r="BJ194" s="193"/>
      <c r="BK194" s="194"/>
      <c r="BL194" s="185"/>
      <c r="BM194" s="186"/>
      <c r="BN194" s="190"/>
      <c r="BO194" s="190"/>
      <c r="BP194" s="190"/>
      <c r="BQ194" s="190"/>
      <c r="BR194" s="190"/>
      <c r="BS194" s="190"/>
      <c r="BT194" s="190"/>
      <c r="BU194" s="190"/>
      <c r="BV194" s="190"/>
      <c r="BW194" s="190"/>
      <c r="BX194" s="190"/>
      <c r="BY194" s="190"/>
      <c r="BZ194" s="190"/>
      <c r="CA194" s="190"/>
      <c r="CB194" s="190"/>
      <c r="CC194" s="190"/>
      <c r="CD194" s="193"/>
      <c r="CE194" s="193"/>
      <c r="CF194" s="194"/>
    </row>
    <row r="195" spans="22:84" ht="14.4" customHeight="1" x14ac:dyDescent="0.3">
      <c r="V195" s="187"/>
      <c r="W195" s="188"/>
      <c r="X195" s="190"/>
      <c r="Y195" s="190"/>
      <c r="Z195" s="190"/>
      <c r="AA195" s="190"/>
      <c r="AB195" s="190"/>
      <c r="AC195" s="190"/>
      <c r="AD195" s="190"/>
      <c r="AE195" s="190"/>
      <c r="AF195" s="295"/>
      <c r="AG195" s="195"/>
      <c r="AH195" s="195"/>
      <c r="AI195" s="195"/>
      <c r="AJ195" s="195"/>
      <c r="AK195" s="195"/>
      <c r="AL195" s="195"/>
      <c r="AM195" s="195"/>
      <c r="AN195" s="193"/>
      <c r="AO195" s="193"/>
      <c r="AP195" s="194"/>
      <c r="AQ195" s="187"/>
      <c r="AR195" s="188"/>
      <c r="AS195" s="190"/>
      <c r="AT195" s="190"/>
      <c r="AU195" s="190"/>
      <c r="AV195" s="190"/>
      <c r="AW195" s="190"/>
      <c r="AX195" s="190"/>
      <c r="AY195" s="190"/>
      <c r="AZ195" s="190"/>
      <c r="BA195" s="190"/>
      <c r="BB195" s="190"/>
      <c r="BC195" s="190"/>
      <c r="BD195" s="190"/>
      <c r="BE195" s="190"/>
      <c r="BF195" s="190"/>
      <c r="BG195" s="190"/>
      <c r="BH195" s="190"/>
      <c r="BI195" s="195"/>
      <c r="BJ195" s="195"/>
      <c r="BK195" s="196"/>
      <c r="BL195" s="187"/>
      <c r="BM195" s="188"/>
      <c r="BN195" s="190"/>
      <c r="BO195" s="190"/>
      <c r="BP195" s="190"/>
      <c r="BQ195" s="190"/>
      <c r="BR195" s="190"/>
      <c r="BS195" s="190"/>
      <c r="BT195" s="190"/>
      <c r="BU195" s="190"/>
      <c r="BV195" s="190"/>
      <c r="BW195" s="190"/>
      <c r="BX195" s="190"/>
      <c r="BY195" s="190"/>
      <c r="BZ195" s="190"/>
      <c r="CA195" s="190"/>
      <c r="CB195" s="190"/>
      <c r="CC195" s="190"/>
      <c r="CD195" s="195"/>
      <c r="CE195" s="195"/>
      <c r="CF195" s="196"/>
    </row>
    <row r="196" spans="22:84" ht="14.4" customHeight="1" x14ac:dyDescent="0.3">
      <c r="V196" s="107" t="s">
        <v>7</v>
      </c>
      <c r="W196" s="106"/>
      <c r="X196" s="182" t="str">
        <f>IF(ISBLANK($C$4),"",$C$4)</f>
        <v/>
      </c>
      <c r="Y196" s="182"/>
      <c r="Z196" s="182"/>
      <c r="AA196" s="182"/>
      <c r="AB196" s="182"/>
      <c r="AC196" s="105" t="s">
        <v>8</v>
      </c>
      <c r="AD196" s="112"/>
      <c r="AE196" s="106"/>
      <c r="AF196" s="105" t="s">
        <v>9</v>
      </c>
      <c r="AG196" s="112"/>
      <c r="AH196" s="106"/>
      <c r="AI196" s="105" t="s">
        <v>10</v>
      </c>
      <c r="AJ196" s="112"/>
      <c r="AK196" s="106"/>
      <c r="AL196" s="113" t="s">
        <v>11</v>
      </c>
      <c r="AM196" s="117"/>
      <c r="AN196" s="113" t="str">
        <f>IF(ISBLANK($S$4),"",$S$4)</f>
        <v/>
      </c>
      <c r="AO196" s="117"/>
      <c r="AP196" s="114"/>
      <c r="AQ196" s="112" t="s">
        <v>7</v>
      </c>
      <c r="AR196" s="106"/>
      <c r="AS196" s="182" t="str">
        <f>IF(ISBLANK($C$4),"",$C$4)</f>
        <v/>
      </c>
      <c r="AT196" s="182"/>
      <c r="AU196" s="182"/>
      <c r="AV196" s="182"/>
      <c r="AW196" s="182"/>
      <c r="AX196" s="108" t="s">
        <v>8</v>
      </c>
      <c r="AY196" s="109"/>
      <c r="AZ196" s="110"/>
      <c r="BA196" s="108" t="s">
        <v>9</v>
      </c>
      <c r="BB196" s="109"/>
      <c r="BC196" s="110"/>
      <c r="BD196" s="108" t="s">
        <v>10</v>
      </c>
      <c r="BE196" s="109"/>
      <c r="BF196" s="110"/>
      <c r="BG196" s="113" t="s">
        <v>11</v>
      </c>
      <c r="BH196" s="114"/>
      <c r="BI196" s="113" t="str">
        <f>IF(ISBLANK($S$4),"",$S$4)</f>
        <v/>
      </c>
      <c r="BJ196" s="117"/>
      <c r="BK196" s="114"/>
      <c r="BL196" s="112" t="s">
        <v>7</v>
      </c>
      <c r="BM196" s="106"/>
      <c r="BN196" s="182" t="str">
        <f>IF(ISBLANK($C$4),"",$C$4)</f>
        <v/>
      </c>
      <c r="BO196" s="182"/>
      <c r="BP196" s="182"/>
      <c r="BQ196" s="182"/>
      <c r="BR196" s="182"/>
      <c r="BS196" s="108" t="s">
        <v>8</v>
      </c>
      <c r="BT196" s="109"/>
      <c r="BU196" s="110"/>
      <c r="BV196" s="108" t="s">
        <v>9</v>
      </c>
      <c r="BW196" s="109"/>
      <c r="BX196" s="110"/>
      <c r="BY196" s="108" t="s">
        <v>10</v>
      </c>
      <c r="BZ196" s="109"/>
      <c r="CA196" s="110"/>
      <c r="CB196" s="113" t="s">
        <v>11</v>
      </c>
      <c r="CC196" s="114"/>
      <c r="CD196" s="113" t="str">
        <f>IF(ISBLANK($S$4),"",$S$4)</f>
        <v/>
      </c>
      <c r="CE196" s="117"/>
      <c r="CF196" s="114"/>
    </row>
    <row r="197" spans="22:84" ht="14.4" customHeight="1" x14ac:dyDescent="0.3">
      <c r="V197" s="107" t="s">
        <v>12</v>
      </c>
      <c r="W197" s="106"/>
      <c r="X197" s="182" t="str">
        <f>IF(ISBLANK($C$5),"",$C$5)</f>
        <v/>
      </c>
      <c r="Y197" s="182"/>
      <c r="Z197" s="182"/>
      <c r="AA197" s="182"/>
      <c r="AB197" s="182"/>
      <c r="AC197" s="105" t="s">
        <v>13</v>
      </c>
      <c r="AD197" s="112"/>
      <c r="AE197" s="106"/>
      <c r="AF197" s="105" t="s">
        <v>14</v>
      </c>
      <c r="AG197" s="112"/>
      <c r="AH197" s="106"/>
      <c r="AI197" s="105" t="s">
        <v>15</v>
      </c>
      <c r="AJ197" s="112"/>
      <c r="AK197" s="106"/>
      <c r="AL197" s="115"/>
      <c r="AM197" s="118"/>
      <c r="AN197" s="115" t="str">
        <f>IF(ISBLANK($S$5),"",$S$5)</f>
        <v/>
      </c>
      <c r="AO197" s="118"/>
      <c r="AP197" s="116"/>
      <c r="AQ197" s="112" t="s">
        <v>12</v>
      </c>
      <c r="AR197" s="106"/>
      <c r="AS197" s="182" t="str">
        <f>IF(ISBLANK($C$5),"",$C$5)</f>
        <v/>
      </c>
      <c r="AT197" s="182"/>
      <c r="AU197" s="182"/>
      <c r="AV197" s="182"/>
      <c r="AW197" s="182"/>
      <c r="AX197" s="108" t="s">
        <v>13</v>
      </c>
      <c r="AY197" s="109"/>
      <c r="AZ197" s="110"/>
      <c r="BA197" s="108" t="s">
        <v>14</v>
      </c>
      <c r="BB197" s="109"/>
      <c r="BC197" s="110"/>
      <c r="BD197" s="108" t="s">
        <v>15</v>
      </c>
      <c r="BE197" s="109"/>
      <c r="BF197" s="110"/>
      <c r="BG197" s="115"/>
      <c r="BH197" s="116"/>
      <c r="BI197" s="115" t="str">
        <f>IF(ISBLANK($S$5),"",$S$5)</f>
        <v/>
      </c>
      <c r="BJ197" s="118"/>
      <c r="BK197" s="116"/>
      <c r="BL197" s="112" t="s">
        <v>12</v>
      </c>
      <c r="BM197" s="106"/>
      <c r="BN197" s="182" t="str">
        <f>IF(ISBLANK($C$5),"",$C$5)</f>
        <v/>
      </c>
      <c r="BO197" s="182"/>
      <c r="BP197" s="182"/>
      <c r="BQ197" s="182"/>
      <c r="BR197" s="182"/>
      <c r="BS197" s="108" t="s">
        <v>143</v>
      </c>
      <c r="BT197" s="109"/>
      <c r="BU197" s="110"/>
      <c r="BV197" s="108" t="s">
        <v>144</v>
      </c>
      <c r="BW197" s="109"/>
      <c r="BX197" s="110"/>
      <c r="BY197" s="108" t="s">
        <v>15</v>
      </c>
      <c r="BZ197" s="109"/>
      <c r="CA197" s="110"/>
      <c r="CB197" s="115"/>
      <c r="CC197" s="116"/>
      <c r="CD197" s="115" t="str">
        <f>IF(ISBLANK($S$5),"",$S$5)</f>
        <v/>
      </c>
      <c r="CE197" s="118"/>
      <c r="CF197" s="116"/>
    </row>
    <row r="198" spans="22:84" ht="14.4" customHeight="1" x14ac:dyDescent="0.3">
      <c r="V198" s="107" t="s">
        <v>42</v>
      </c>
      <c r="W198" s="106"/>
      <c r="X198" s="182" t="str">
        <f>IF(ISBLANK($C$6),"",$C$6)</f>
        <v/>
      </c>
      <c r="Y198" s="182"/>
      <c r="Z198" s="182"/>
      <c r="AA198" s="182"/>
      <c r="AB198" s="182"/>
      <c r="AC198" s="253"/>
      <c r="AD198" s="254"/>
      <c r="AE198" s="255"/>
      <c r="AF198" s="253"/>
      <c r="AG198" s="254"/>
      <c r="AH198" s="255"/>
      <c r="AI198" s="253"/>
      <c r="AJ198" s="254"/>
      <c r="AK198" s="255"/>
      <c r="AL198" s="105" t="s">
        <v>43</v>
      </c>
      <c r="AM198" s="106"/>
      <c r="AN198" s="115" t="str">
        <f>IF(ISBLANK($S$6),"",$S$6)</f>
        <v/>
      </c>
      <c r="AO198" s="118"/>
      <c r="AP198" s="252"/>
      <c r="AQ198" s="107" t="s">
        <v>42</v>
      </c>
      <c r="AR198" s="106"/>
      <c r="AS198" s="182" t="str">
        <f>IF(ISBLANK($C$6),"",$C$6)</f>
        <v/>
      </c>
      <c r="AT198" s="182"/>
      <c r="AU198" s="182"/>
      <c r="AV198" s="182"/>
      <c r="AW198" s="182"/>
      <c r="AX198" s="253"/>
      <c r="AY198" s="254"/>
      <c r="AZ198" s="255"/>
      <c r="BA198" s="253"/>
      <c r="BB198" s="254"/>
      <c r="BC198" s="255"/>
      <c r="BD198" s="253"/>
      <c r="BE198" s="254"/>
      <c r="BF198" s="255"/>
      <c r="BG198" s="105" t="s">
        <v>43</v>
      </c>
      <c r="BH198" s="106"/>
      <c r="BI198" s="115" t="str">
        <f>IF(ISBLANK($S$6),"",$S$6)</f>
        <v/>
      </c>
      <c r="BJ198" s="118"/>
      <c r="BK198" s="252"/>
      <c r="BL198" s="107" t="s">
        <v>42</v>
      </c>
      <c r="BM198" s="106"/>
      <c r="BN198" s="182" t="str">
        <f>IF(ISBLANK($C$6),"",$C$6)</f>
        <v/>
      </c>
      <c r="BO198" s="182"/>
      <c r="BP198" s="182"/>
      <c r="BQ198" s="182"/>
      <c r="BR198" s="182"/>
      <c r="BS198" s="141"/>
      <c r="BT198" s="142"/>
      <c r="BU198" s="143"/>
      <c r="BV198" s="141"/>
      <c r="BW198" s="142"/>
      <c r="BX198" s="143"/>
      <c r="BY198" s="141"/>
      <c r="BZ198" s="142"/>
      <c r="CA198" s="143"/>
      <c r="CB198" s="105" t="s">
        <v>43</v>
      </c>
      <c r="CC198" s="106"/>
      <c r="CD198" s="115" t="str">
        <f>IF(ISBLANK($S$6),"",$S$6)</f>
        <v/>
      </c>
      <c r="CE198" s="118"/>
      <c r="CF198" s="252"/>
    </row>
    <row r="199" spans="22:84" ht="14.4" customHeight="1" x14ac:dyDescent="0.3">
      <c r="V199" s="107" t="s">
        <v>16</v>
      </c>
      <c r="W199" s="106"/>
      <c r="X199" s="182" t="str">
        <f>IF(ISBLANK($C$7),"",$C$7)</f>
        <v/>
      </c>
      <c r="Y199" s="182"/>
      <c r="Z199" s="182"/>
      <c r="AA199" s="182"/>
      <c r="AB199" s="182"/>
      <c r="AC199" s="256"/>
      <c r="AD199" s="257"/>
      <c r="AE199" s="258"/>
      <c r="AF199" s="256"/>
      <c r="AG199" s="257"/>
      <c r="AH199" s="258"/>
      <c r="AI199" s="256"/>
      <c r="AJ199" s="257"/>
      <c r="AK199" s="258"/>
      <c r="AL199" s="105" t="s">
        <v>44</v>
      </c>
      <c r="AM199" s="106"/>
      <c r="AN199" s="313" t="str">
        <f>IF(AJ201&lt;&gt;"", AJ201+7, "")</f>
        <v/>
      </c>
      <c r="AO199" s="314"/>
      <c r="AP199" s="315"/>
      <c r="AQ199" s="107" t="s">
        <v>16</v>
      </c>
      <c r="AR199" s="106"/>
      <c r="AS199" s="182" t="str">
        <f>IF(ISBLANK($C$7),"",$C$7)</f>
        <v/>
      </c>
      <c r="AT199" s="182"/>
      <c r="AU199" s="182"/>
      <c r="AV199" s="182"/>
      <c r="AW199" s="182"/>
      <c r="AX199" s="256"/>
      <c r="AY199" s="257"/>
      <c r="AZ199" s="258"/>
      <c r="BA199" s="256"/>
      <c r="BB199" s="257"/>
      <c r="BC199" s="258"/>
      <c r="BD199" s="256"/>
      <c r="BE199" s="257"/>
      <c r="BF199" s="258"/>
      <c r="BG199" s="105" t="s">
        <v>44</v>
      </c>
      <c r="BH199" s="106"/>
      <c r="BI199" s="313" t="str">
        <f>IF(BE201&lt;&gt;"", BE201+7, "")</f>
        <v/>
      </c>
      <c r="BJ199" s="314"/>
      <c r="BK199" s="315"/>
      <c r="BL199" s="107" t="s">
        <v>16</v>
      </c>
      <c r="BM199" s="106"/>
      <c r="BN199" s="182" t="str">
        <f>IF(ISBLANK($C$7),"",$C$7)</f>
        <v/>
      </c>
      <c r="BO199" s="182"/>
      <c r="BP199" s="182"/>
      <c r="BQ199" s="182"/>
      <c r="BR199" s="182"/>
      <c r="BS199" s="144"/>
      <c r="BT199" s="145"/>
      <c r="BU199" s="146"/>
      <c r="BV199" s="144"/>
      <c r="BW199" s="145"/>
      <c r="BX199" s="146"/>
      <c r="BY199" s="144"/>
      <c r="BZ199" s="145"/>
      <c r="CA199" s="146"/>
      <c r="CB199" s="105" t="s">
        <v>44</v>
      </c>
      <c r="CC199" s="106"/>
      <c r="CD199" s="105" t="str">
        <f>IF(ISBLANK($S$7),"",$S$7)</f>
        <v/>
      </c>
      <c r="CE199" s="112"/>
      <c r="CF199" s="311"/>
    </row>
    <row r="200" spans="22:84" ht="14.4" customHeight="1" x14ac:dyDescent="0.3">
      <c r="V200" s="107" t="s">
        <v>17</v>
      </c>
      <c r="W200" s="106"/>
      <c r="X200" s="182" t="str">
        <f>IF(ISBLANK($C$8),"",$C$8)</f>
        <v/>
      </c>
      <c r="Y200" s="182"/>
      <c r="Z200" s="182"/>
      <c r="AA200" s="182"/>
      <c r="AB200" s="182"/>
      <c r="AC200" s="259"/>
      <c r="AD200" s="257"/>
      <c r="AE200" s="260"/>
      <c r="AF200" s="259"/>
      <c r="AG200" s="261"/>
      <c r="AH200" s="260"/>
      <c r="AI200" s="259"/>
      <c r="AJ200" s="261"/>
      <c r="AK200" s="260"/>
      <c r="AL200" s="105" t="s">
        <v>46</v>
      </c>
      <c r="AM200" s="106"/>
      <c r="AN200" s="78">
        <v>5</v>
      </c>
      <c r="AO200" s="78" t="s">
        <v>47</v>
      </c>
      <c r="AP200" s="82">
        <f>COUNTA(V15,V63,V111,V159,V207,V255,V303,V351,V399,V447)</f>
        <v>0</v>
      </c>
      <c r="AQ200" s="107" t="s">
        <v>17</v>
      </c>
      <c r="AR200" s="106"/>
      <c r="AS200" s="182" t="str">
        <f>IF(ISBLANK($C$8),"",$C$8)</f>
        <v/>
      </c>
      <c r="AT200" s="182"/>
      <c r="AU200" s="182"/>
      <c r="AV200" s="182"/>
      <c r="AW200" s="182"/>
      <c r="AX200" s="259"/>
      <c r="AY200" s="257"/>
      <c r="AZ200" s="260"/>
      <c r="BA200" s="259"/>
      <c r="BB200" s="261"/>
      <c r="BC200" s="260"/>
      <c r="BD200" s="259"/>
      <c r="BE200" s="261"/>
      <c r="BF200" s="260"/>
      <c r="BG200" s="105" t="s">
        <v>46</v>
      </c>
      <c r="BH200" s="106"/>
      <c r="BI200" s="78">
        <v>5</v>
      </c>
      <c r="BJ200" s="78" t="s">
        <v>47</v>
      </c>
      <c r="BK200" s="82">
        <f>IF(ISBLANK(AP8),"",AP8)</f>
        <v>0</v>
      </c>
      <c r="BL200" s="107" t="s">
        <v>17</v>
      </c>
      <c r="BM200" s="106"/>
      <c r="BN200" s="182" t="str">
        <f>IF(ISBLANK($C$8),"",$C$8)</f>
        <v/>
      </c>
      <c r="BO200" s="182"/>
      <c r="BP200" s="182"/>
      <c r="BQ200" s="182"/>
      <c r="BR200" s="182"/>
      <c r="BS200" s="147"/>
      <c r="BT200" s="148"/>
      <c r="BU200" s="149"/>
      <c r="BV200" s="147"/>
      <c r="BW200" s="148"/>
      <c r="BX200" s="149"/>
      <c r="BY200" s="147"/>
      <c r="BZ200" s="148"/>
      <c r="CA200" s="149"/>
      <c r="CB200" s="18" t="s">
        <v>46</v>
      </c>
      <c r="CC200" s="11"/>
      <c r="CD200" s="14">
        <v>5</v>
      </c>
      <c r="CE200" s="14" t="s">
        <v>47</v>
      </c>
      <c r="CF200" s="19">
        <f>COUNT(BN205,BN253,BN301,BN349,BN397,BN445,BN493,BN541,BN589,BN637)</f>
        <v>0</v>
      </c>
    </row>
    <row r="201" spans="22:84" ht="14.4" customHeight="1" x14ac:dyDescent="0.3">
      <c r="V201" s="107" t="s">
        <v>18</v>
      </c>
      <c r="W201" s="106"/>
      <c r="X201" s="108" t="e">
        <f>IF(ISBLANK($S$10),"",$S$10)</f>
        <v>#N/A</v>
      </c>
      <c r="Y201" s="109"/>
      <c r="Z201" s="110"/>
      <c r="AA201" s="20"/>
      <c r="AB201" s="74"/>
      <c r="AC201" s="103" t="s">
        <v>48</v>
      </c>
      <c r="AD201" s="244"/>
      <c r="AE201" s="236"/>
      <c r="AF201" s="103" t="s">
        <v>48</v>
      </c>
      <c r="AG201" s="236"/>
      <c r="AH201" s="236"/>
      <c r="AI201" s="103" t="s">
        <v>48</v>
      </c>
      <c r="AJ201" s="237"/>
      <c r="AK201" s="238"/>
      <c r="AL201" s="85"/>
      <c r="AM201" s="85"/>
      <c r="AN201" s="85"/>
      <c r="AO201" s="85"/>
      <c r="AP201" s="22"/>
      <c r="AQ201" s="107" t="s">
        <v>18</v>
      </c>
      <c r="AR201" s="106"/>
      <c r="AS201" s="108" t="e">
        <f>IF(ISBLANK($S$10),"",$S$10)</f>
        <v>#N/A</v>
      </c>
      <c r="AT201" s="109"/>
      <c r="AU201" s="110"/>
      <c r="AV201" s="20"/>
      <c r="AW201" s="4"/>
      <c r="AX201" s="104" t="s">
        <v>48</v>
      </c>
      <c r="AY201" s="244"/>
      <c r="AZ201" s="236"/>
      <c r="BA201" s="104" t="s">
        <v>48</v>
      </c>
      <c r="BB201" s="236"/>
      <c r="BC201" s="236"/>
      <c r="BD201" s="104" t="s">
        <v>48</v>
      </c>
      <c r="BE201" s="237"/>
      <c r="BF201" s="238"/>
      <c r="BJ201" s="20"/>
      <c r="BK201" s="23"/>
      <c r="BL201" s="107" t="s">
        <v>18</v>
      </c>
      <c r="BM201" s="106"/>
      <c r="BN201" s="108" t="e">
        <f>IF(ISBLANK($S$10),"",$S$10)</f>
        <v>#N/A</v>
      </c>
      <c r="BO201" s="109"/>
      <c r="BP201" s="110"/>
      <c r="BQ201" s="20"/>
      <c r="BR201" s="4"/>
      <c r="BS201" s="78" t="s">
        <v>48</v>
      </c>
      <c r="BT201" s="197" t="str">
        <f>IF(ISBLANK($I$9),"",$I$9)</f>
        <v/>
      </c>
      <c r="BU201" s="198"/>
      <c r="BV201" s="78" t="s">
        <v>48</v>
      </c>
      <c r="BW201" s="197" t="str">
        <f>IF(ISBLANK($L$9),"",$L$9)</f>
        <v/>
      </c>
      <c r="BX201" s="198"/>
      <c r="BY201" s="78" t="s">
        <v>48</v>
      </c>
      <c r="BZ201" s="197" t="str">
        <f>IF(ISBLANK($O$9),"",$O$9)</f>
        <v/>
      </c>
      <c r="CA201" s="198"/>
      <c r="CB201" s="24"/>
      <c r="CC201" s="24"/>
      <c r="CD201" s="24"/>
      <c r="CE201" s="20"/>
      <c r="CF201" s="23"/>
    </row>
    <row r="202" spans="22:84" ht="14.4" customHeight="1" x14ac:dyDescent="0.3">
      <c r="V202" s="107" t="s">
        <v>19</v>
      </c>
      <c r="W202" s="106"/>
      <c r="X202" s="14" t="str">
        <f>IF(ISBLANK($S$11),"",$S$11)</f>
        <v/>
      </c>
      <c r="Y202" s="14" t="s">
        <v>47</v>
      </c>
      <c r="Z202" s="14">
        <f>IF(ISBLANK($U$11),"",$U$11)</f>
        <v>0</v>
      </c>
      <c r="AB202" s="269" t="s">
        <v>58</v>
      </c>
      <c r="AC202" s="87" t="s">
        <v>59</v>
      </c>
      <c r="AD202" s="270"/>
      <c r="AE202" s="271"/>
      <c r="AF202" s="84" t="s">
        <v>60</v>
      </c>
      <c r="AG202" s="88"/>
      <c r="AH202" s="85"/>
      <c r="AI202" s="335" t="s">
        <v>61</v>
      </c>
      <c r="AJ202" s="78" t="s">
        <v>62</v>
      </c>
      <c r="AK202" s="81"/>
      <c r="AL202" s="85"/>
      <c r="AM202" s="85"/>
      <c r="AN202" s="85"/>
      <c r="AO202" s="85"/>
      <c r="AP202" s="22"/>
      <c r="AQ202" s="107" t="s">
        <v>19</v>
      </c>
      <c r="AR202" s="106"/>
      <c r="AS202" s="14" t="str">
        <f>IF(ISBLANK($S$11),"",$S$11)</f>
        <v/>
      </c>
      <c r="AT202" s="14" t="s">
        <v>47</v>
      </c>
      <c r="AU202" s="14">
        <f>IF(ISBLANK($U$11),"",$U$11)</f>
        <v>0</v>
      </c>
      <c r="AW202" s="20"/>
      <c r="AX202" s="30"/>
      <c r="AY202" s="30"/>
      <c r="BC202" s="30"/>
      <c r="BD202" s="335" t="s">
        <v>61</v>
      </c>
      <c r="BE202" s="29" t="s">
        <v>62</v>
      </c>
      <c r="BF202" s="29" t="str">
        <f>IF(ISBLANK($BF$10),"",$BF$10)</f>
        <v/>
      </c>
      <c r="BG202" s="266" t="s">
        <v>63</v>
      </c>
      <c r="BH202" s="266"/>
      <c r="BI202" s="14" t="str">
        <f>IF(ISBLANK($BI$10),"",BI154)</f>
        <v/>
      </c>
      <c r="BJ202" s="20"/>
      <c r="BK202" s="23"/>
      <c r="BL202" s="111" t="s">
        <v>19</v>
      </c>
      <c r="BM202" s="110"/>
      <c r="BN202" s="14" t="str">
        <f>IF(ISBLANK($S$11),"",$S$11)</f>
        <v/>
      </c>
      <c r="BO202" s="14" t="s">
        <v>47</v>
      </c>
      <c r="BP202" s="14">
        <f>IF(ISBLANK($U$11),"",$U$11)</f>
        <v>0</v>
      </c>
      <c r="BR202" s="20"/>
      <c r="BS202" s="30"/>
      <c r="BT202" s="30"/>
      <c r="BU202" s="30"/>
      <c r="BV202" s="30"/>
      <c r="BW202" s="30"/>
      <c r="BX202" s="30"/>
      <c r="BY202" s="30"/>
      <c r="BZ202" s="30"/>
      <c r="CA202" s="30"/>
      <c r="CB202" s="30"/>
      <c r="CC202" s="30"/>
      <c r="CD202" s="30"/>
      <c r="CE202" s="20"/>
      <c r="CF202" s="23"/>
    </row>
    <row r="203" spans="22:84" ht="14.4" customHeight="1" x14ac:dyDescent="0.3">
      <c r="V203" s="33"/>
      <c r="AB203" s="269"/>
      <c r="AC203" s="87" t="s">
        <v>80</v>
      </c>
      <c r="AD203" s="245"/>
      <c r="AE203" s="246"/>
      <c r="AF203" s="90" t="s">
        <v>81</v>
      </c>
      <c r="AG203" s="88"/>
      <c r="AH203" s="85"/>
      <c r="AI203" s="335"/>
      <c r="AJ203" s="78" t="s">
        <v>82</v>
      </c>
      <c r="AK203" s="88"/>
      <c r="AL203" s="267" t="s">
        <v>83</v>
      </c>
      <c r="AM203" s="268"/>
      <c r="AN203" s="81"/>
      <c r="AO203" s="85"/>
      <c r="AP203" s="22"/>
      <c r="AQ203" s="34"/>
      <c r="AR203" s="20"/>
      <c r="AS203" s="20"/>
      <c r="AT203" s="20"/>
      <c r="AU203" s="20"/>
      <c r="AV203" s="20"/>
      <c r="AW203" s="20"/>
      <c r="AX203" s="20"/>
      <c r="AY203" s="20"/>
      <c r="BC203" s="20"/>
      <c r="BD203" s="335"/>
      <c r="BE203" s="29" t="s">
        <v>82</v>
      </c>
      <c r="BF203" s="29" t="str">
        <f>IF(ISBLANK($BF$11),"",$BF$11)</f>
        <v/>
      </c>
      <c r="BG203" s="20"/>
      <c r="BH203" s="20"/>
      <c r="BI203" s="20"/>
      <c r="BJ203" s="20"/>
      <c r="BK203" s="23"/>
      <c r="BL203" s="33"/>
      <c r="CF203" s="22"/>
    </row>
    <row r="204" spans="22:84" ht="14.4" customHeight="1" x14ac:dyDescent="0.3">
      <c r="V204" s="33"/>
      <c r="AP204" s="22"/>
      <c r="AQ204" s="356" t="s">
        <v>49</v>
      </c>
      <c r="AR204" s="342" t="s">
        <v>85</v>
      </c>
      <c r="AS204" s="342"/>
      <c r="AT204" s="14" t="s">
        <v>51</v>
      </c>
      <c r="AU204" s="14" t="s">
        <v>86</v>
      </c>
      <c r="AV204" s="10"/>
      <c r="AW204" s="14" t="s">
        <v>87</v>
      </c>
      <c r="AX204" s="272" t="s">
        <v>54</v>
      </c>
      <c r="AY204" s="272"/>
      <c r="AZ204" s="20"/>
      <c r="BA204" s="20"/>
      <c r="BB204" s="20"/>
      <c r="BC204" s="20"/>
      <c r="BD204" s="20"/>
      <c r="BE204" s="20"/>
      <c r="BF204" s="20"/>
      <c r="BG204" s="20"/>
      <c r="BH204" s="20"/>
      <c r="BI204" s="20"/>
      <c r="BJ204" s="20"/>
      <c r="BK204" s="23"/>
      <c r="BL204" s="128" t="s">
        <v>88</v>
      </c>
      <c r="BM204" s="129"/>
      <c r="BN204" s="130"/>
      <c r="BO204" s="131" t="s">
        <v>89</v>
      </c>
      <c r="BP204" s="132"/>
      <c r="BQ204" s="133"/>
      <c r="BR204" s="131" t="s">
        <v>90</v>
      </c>
      <c r="BS204" s="132"/>
      <c r="BT204" s="132"/>
      <c r="BU204" s="132"/>
      <c r="BV204" s="132"/>
      <c r="BW204" s="132"/>
      <c r="BX204" s="133"/>
      <c r="BY204" s="131" t="s">
        <v>91</v>
      </c>
      <c r="BZ204" s="132"/>
      <c r="CA204" s="132"/>
      <c r="CB204" s="133"/>
      <c r="CC204" s="131" t="s">
        <v>92</v>
      </c>
      <c r="CD204" s="132"/>
      <c r="CE204" s="132"/>
      <c r="CF204" s="156"/>
    </row>
    <row r="205" spans="22:84" ht="14.4" customHeight="1" x14ac:dyDescent="0.3">
      <c r="V205" s="262" t="s">
        <v>49</v>
      </c>
      <c r="W205" s="264" t="s">
        <v>94</v>
      </c>
      <c r="X205" s="264"/>
      <c r="Y205" s="31" t="s">
        <v>51</v>
      </c>
      <c r="Z205" s="14" t="s">
        <v>52</v>
      </c>
      <c r="AA205" s="14" t="s">
        <v>53</v>
      </c>
      <c r="AB205" s="108" t="s">
        <v>54</v>
      </c>
      <c r="AC205" s="110"/>
      <c r="AD205" s="363" t="s">
        <v>145</v>
      </c>
      <c r="AE205" s="364"/>
      <c r="AF205" s="108" t="s">
        <v>56</v>
      </c>
      <c r="AG205" s="109"/>
      <c r="AH205" s="109"/>
      <c r="AI205" s="109"/>
      <c r="AJ205" s="110"/>
      <c r="AK205" s="108" t="s">
        <v>57</v>
      </c>
      <c r="AL205" s="109"/>
      <c r="AM205" s="109"/>
      <c r="AN205" s="109"/>
      <c r="AO205" s="110"/>
      <c r="AP205" s="22"/>
      <c r="AQ205" s="357"/>
      <c r="AR205" s="342"/>
      <c r="AS205" s="342"/>
      <c r="AT205" s="14" t="s">
        <v>64</v>
      </c>
      <c r="AU205" s="14" t="s">
        <v>65</v>
      </c>
      <c r="AV205" s="14" t="s">
        <v>95</v>
      </c>
      <c r="AW205" s="14" t="s">
        <v>66</v>
      </c>
      <c r="AX205" s="14" t="s">
        <v>67</v>
      </c>
      <c r="AY205" s="14" t="s">
        <v>68</v>
      </c>
      <c r="AZ205" s="239" t="s">
        <v>69</v>
      </c>
      <c r="BA205" s="239"/>
      <c r="BB205" s="239"/>
      <c r="BC205" s="239" t="s">
        <v>70</v>
      </c>
      <c r="BD205" s="239"/>
      <c r="BE205" s="239"/>
      <c r="BF205" s="239" t="s">
        <v>71</v>
      </c>
      <c r="BG205" s="239"/>
      <c r="BH205" s="239"/>
      <c r="BI205" s="239" t="s">
        <v>72</v>
      </c>
      <c r="BJ205" s="239"/>
      <c r="BK205" s="240"/>
      <c r="BL205" s="158" t="s">
        <v>96</v>
      </c>
      <c r="BM205" s="159"/>
      <c r="BN205" s="35"/>
      <c r="BO205" s="134"/>
      <c r="BP205" s="135"/>
      <c r="BQ205" s="136"/>
      <c r="BR205" s="134"/>
      <c r="BS205" s="135"/>
      <c r="BT205" s="135"/>
      <c r="BU205" s="135"/>
      <c r="BV205" s="135"/>
      <c r="BW205" s="135"/>
      <c r="BX205" s="136"/>
      <c r="BY205" s="134"/>
      <c r="BZ205" s="135"/>
      <c r="CA205" s="135"/>
      <c r="CB205" s="136"/>
      <c r="CC205" s="134"/>
      <c r="CD205" s="135"/>
      <c r="CE205" s="135"/>
      <c r="CF205" s="157"/>
    </row>
    <row r="206" spans="22:84" ht="14.4" customHeight="1" x14ac:dyDescent="0.3">
      <c r="V206" s="263"/>
      <c r="W206" s="264"/>
      <c r="X206" s="264"/>
      <c r="Y206" s="31" t="s">
        <v>64</v>
      </c>
      <c r="Z206" s="14" t="s">
        <v>65</v>
      </c>
      <c r="AA206" s="14" t="s">
        <v>66</v>
      </c>
      <c r="AB206" s="14" t="s">
        <v>67</v>
      </c>
      <c r="AC206" s="14" t="s">
        <v>68</v>
      </c>
      <c r="AD206" s="365"/>
      <c r="AE206" s="366"/>
      <c r="AF206" s="14">
        <v>1</v>
      </c>
      <c r="AG206" s="14">
        <v>2</v>
      </c>
      <c r="AH206" s="14">
        <v>3</v>
      </c>
      <c r="AI206" s="14">
        <v>4</v>
      </c>
      <c r="AJ206" s="14">
        <v>5</v>
      </c>
      <c r="AK206" s="14">
        <v>1</v>
      </c>
      <c r="AL206" s="14">
        <v>2</v>
      </c>
      <c r="AM206" s="14">
        <v>3</v>
      </c>
      <c r="AN206" s="14">
        <v>4</v>
      </c>
      <c r="AO206" s="14">
        <v>5</v>
      </c>
      <c r="AP206" s="22"/>
      <c r="AQ206" s="36" t="str">
        <f>IF(ISBLANK(V207),"",V207)</f>
        <v/>
      </c>
      <c r="AR206" s="287" t="str">
        <f>IF(OR(AW206="QC",ISTEXT(Y207)), W207, "")</f>
        <v/>
      </c>
      <c r="AS206" s="288"/>
      <c r="AT206" s="37" t="str">
        <f>IF(OR(AW206="QC",ISTEXT(Y207)), Y207, "")</f>
        <v/>
      </c>
      <c r="AU206" s="37" t="str">
        <f>IF(OR(AW206="QC",ISTEXT(Y207)), Z207, "")</f>
        <v/>
      </c>
      <c r="AV206" s="37" t="str">
        <f>IF(ISBLANK(Z221),"",Z221)</f>
        <v/>
      </c>
      <c r="AW206" s="38" t="str">
        <f>IF(ISBLANK(AA207),"",AA207)</f>
        <v/>
      </c>
      <c r="AX206" s="38" t="str">
        <f>IF(OR(AW206="QC",ISTEXT(Y207)), AB207, "")</f>
        <v/>
      </c>
      <c r="AY206" s="38" t="str">
        <f>IF(OR(AW206="QC",ISTEXT(Y207)), AC207, "")</f>
        <v/>
      </c>
      <c r="AZ206" s="39"/>
      <c r="BA206" s="39"/>
      <c r="BB206" s="39"/>
      <c r="BC206" s="39"/>
      <c r="BD206" s="39"/>
      <c r="BE206" s="39"/>
      <c r="BF206" s="39"/>
      <c r="BG206" s="39"/>
      <c r="BH206" s="39"/>
      <c r="BI206" s="39"/>
      <c r="BJ206" s="39"/>
      <c r="BK206" s="40"/>
      <c r="BL206" s="158" t="s">
        <v>97</v>
      </c>
      <c r="BM206" s="159"/>
      <c r="BN206" s="41" t="s">
        <v>98</v>
      </c>
      <c r="BO206" s="204" t="s">
        <v>99</v>
      </c>
      <c r="BP206" s="205"/>
      <c r="BQ206" s="206"/>
      <c r="BR206" s="207" t="s">
        <v>100</v>
      </c>
      <c r="BS206" s="208"/>
      <c r="BT206" s="208"/>
      <c r="BU206" s="209"/>
      <c r="BV206" s="217"/>
      <c r="BW206" s="218"/>
      <c r="BX206" s="219"/>
      <c r="BY206" s="119"/>
      <c r="BZ206" s="120"/>
      <c r="CA206" s="120"/>
      <c r="CB206" s="121"/>
      <c r="CC206" s="119"/>
      <c r="CD206" s="120"/>
      <c r="CE206" s="120"/>
      <c r="CF206" s="214"/>
    </row>
    <row r="207" spans="22:84" ht="14.4" customHeight="1" x14ac:dyDescent="0.3">
      <c r="V207" s="36"/>
      <c r="W207" s="249"/>
      <c r="X207" s="250"/>
      <c r="Y207" s="37"/>
      <c r="Z207" s="38"/>
      <c r="AA207" s="38"/>
      <c r="AB207" s="38" t="str">
        <f t="shared" ref="AB207:AB218" si="216">IF(ISNUMBER(Y207),(Y207+Z207)/2-3*(Z207 - (Y207+Z207)/2) / (3 * AA221),"")</f>
        <v/>
      </c>
      <c r="AC207" s="38" t="str">
        <f t="shared" ref="AC207:AC218" si="217">IF(ISNUMBER(Z207),(Y207+Z207)/2+3*(Z207 - (Y207+Z207)/2) / (3 * AA221),"")</f>
        <v/>
      </c>
      <c r="AD207" s="247"/>
      <c r="AE207" s="248"/>
      <c r="AF207" s="39"/>
      <c r="AG207" s="39"/>
      <c r="AH207" s="39"/>
      <c r="AI207" s="39"/>
      <c r="AJ207" s="39"/>
      <c r="AK207" s="39"/>
      <c r="AL207" s="39"/>
      <c r="AM207" s="39"/>
      <c r="AN207" s="39"/>
      <c r="AO207" s="39"/>
      <c r="AP207" s="22"/>
      <c r="AQ207" s="36" t="str">
        <f t="shared" ref="AQ207:AQ217" si="218">IF(ISBLANK(V208),"",V208)</f>
        <v/>
      </c>
      <c r="AR207" s="287" t="str">
        <f t="shared" ref="AR207:AR217" si="219">IF(OR(AW207="QC",ISTEXT(Y208)), W208, "")</f>
        <v/>
      </c>
      <c r="AS207" s="288"/>
      <c r="AT207" s="37" t="str">
        <f t="shared" ref="AT207:AT217" si="220">IF(OR(AW207="QC",ISTEXT(Y208)), Y208, "")</f>
        <v/>
      </c>
      <c r="AU207" s="37" t="str">
        <f t="shared" ref="AU207:AU217" si="221">IF(OR(AW207="QC",ISTEXT(Y208)), Z208, "")</f>
        <v/>
      </c>
      <c r="AV207" s="37" t="str">
        <f t="shared" ref="AV207:AV217" si="222">IF(ISBLANK(Z222),"",Z222)</f>
        <v/>
      </c>
      <c r="AW207" s="38" t="str">
        <f t="shared" ref="AW207:AW217" si="223">IF(ISBLANK(AA208),"",AA208)</f>
        <v/>
      </c>
      <c r="AX207" s="38" t="str">
        <f t="shared" ref="AX207:AX217" si="224">IF(OR(AW207="QC",ISTEXT(Y208)), AB208, "")</f>
        <v/>
      </c>
      <c r="AY207" s="38" t="str">
        <f t="shared" ref="AY207:AY217" si="225">IF(OR(AW207="QC",ISTEXT(Y208)), AC208, "")</f>
        <v/>
      </c>
      <c r="AZ207" s="39"/>
      <c r="BA207" s="39"/>
      <c r="BB207" s="39"/>
      <c r="BC207" s="39"/>
      <c r="BD207" s="39"/>
      <c r="BE207" s="39"/>
      <c r="BF207" s="39"/>
      <c r="BG207" s="39"/>
      <c r="BH207" s="39"/>
      <c r="BI207" s="39"/>
      <c r="BJ207" s="39"/>
      <c r="BK207" s="40"/>
      <c r="BL207" s="158" t="s">
        <v>102</v>
      </c>
      <c r="BM207" s="159"/>
      <c r="BN207" s="42" t="s">
        <v>103</v>
      </c>
      <c r="BO207" s="119"/>
      <c r="BP207" s="120"/>
      <c r="BQ207" s="121"/>
      <c r="BR207" s="137" t="s">
        <v>104</v>
      </c>
      <c r="BS207" s="138"/>
      <c r="BT207" s="164"/>
      <c r="BU207" s="165"/>
      <c r="BV207" s="165"/>
      <c r="BW207" s="165"/>
      <c r="BX207" s="166"/>
      <c r="BY207" s="122"/>
      <c r="BZ207" s="123"/>
      <c r="CA207" s="123"/>
      <c r="CB207" s="124"/>
      <c r="CC207" s="122"/>
      <c r="CD207" s="123"/>
      <c r="CE207" s="123"/>
      <c r="CF207" s="215"/>
    </row>
    <row r="208" spans="22:84" ht="14.4" customHeight="1" x14ac:dyDescent="0.3">
      <c r="V208" s="36"/>
      <c r="W208" s="249"/>
      <c r="X208" s="250"/>
      <c r="Y208" s="37"/>
      <c r="Z208" s="38"/>
      <c r="AA208" s="38"/>
      <c r="AB208" s="38" t="str">
        <f t="shared" si="216"/>
        <v/>
      </c>
      <c r="AC208" s="38" t="str">
        <f t="shared" si="217"/>
        <v/>
      </c>
      <c r="AD208" s="247"/>
      <c r="AE208" s="248"/>
      <c r="AF208" s="39"/>
      <c r="AG208" s="39"/>
      <c r="AH208" s="39"/>
      <c r="AI208" s="39"/>
      <c r="AJ208" s="39"/>
      <c r="AK208" s="39"/>
      <c r="AL208" s="39"/>
      <c r="AM208" s="39"/>
      <c r="AN208" s="39"/>
      <c r="AO208" s="39"/>
      <c r="AP208" s="22"/>
      <c r="AQ208" s="36" t="str">
        <f t="shared" si="218"/>
        <v/>
      </c>
      <c r="AR208" s="287" t="str">
        <f t="shared" si="219"/>
        <v/>
      </c>
      <c r="AS208" s="288"/>
      <c r="AT208" s="37" t="str">
        <f t="shared" si="220"/>
        <v/>
      </c>
      <c r="AU208" s="37" t="str">
        <f t="shared" si="221"/>
        <v/>
      </c>
      <c r="AV208" s="37" t="str">
        <f t="shared" si="222"/>
        <v/>
      </c>
      <c r="AW208" s="38" t="str">
        <f t="shared" si="223"/>
        <v/>
      </c>
      <c r="AX208" s="38" t="str">
        <f t="shared" si="224"/>
        <v/>
      </c>
      <c r="AY208" s="38" t="str">
        <f t="shared" si="225"/>
        <v/>
      </c>
      <c r="AZ208" s="39"/>
      <c r="BA208" s="39"/>
      <c r="BB208" s="39"/>
      <c r="BC208" s="39"/>
      <c r="BD208" s="39"/>
      <c r="BE208" s="39"/>
      <c r="BF208" s="39"/>
      <c r="BG208" s="39"/>
      <c r="BH208" s="39"/>
      <c r="BI208" s="39"/>
      <c r="BJ208" s="39"/>
      <c r="BK208" s="40"/>
      <c r="BL208" s="210" t="s">
        <v>105</v>
      </c>
      <c r="BM208" s="211"/>
      <c r="BN208" s="28" t="s">
        <v>101</v>
      </c>
      <c r="BO208" s="125"/>
      <c r="BP208" s="126"/>
      <c r="BQ208" s="127"/>
      <c r="BR208" s="139"/>
      <c r="BS208" s="140"/>
      <c r="BT208" s="167"/>
      <c r="BU208" s="168"/>
      <c r="BV208" s="168"/>
      <c r="BW208" s="168"/>
      <c r="BX208" s="169"/>
      <c r="BY208" s="122"/>
      <c r="BZ208" s="123"/>
      <c r="CA208" s="123"/>
      <c r="CB208" s="124"/>
      <c r="CC208" s="122"/>
      <c r="CD208" s="123"/>
      <c r="CE208" s="123"/>
      <c r="CF208" s="215"/>
    </row>
    <row r="209" spans="22:84" ht="14.4" customHeight="1" x14ac:dyDescent="0.3">
      <c r="V209" s="36"/>
      <c r="W209" s="249"/>
      <c r="X209" s="250"/>
      <c r="Y209" s="37"/>
      <c r="Z209" s="38"/>
      <c r="AA209" s="38"/>
      <c r="AB209" s="38" t="str">
        <f t="shared" si="216"/>
        <v/>
      </c>
      <c r="AC209" s="38" t="str">
        <f t="shared" si="217"/>
        <v/>
      </c>
      <c r="AD209" s="247"/>
      <c r="AE209" s="248"/>
      <c r="AF209" s="39"/>
      <c r="AG209" s="39"/>
      <c r="AH209" s="39"/>
      <c r="AI209" s="39"/>
      <c r="AJ209" s="39"/>
      <c r="AK209" s="39"/>
      <c r="AL209" s="39"/>
      <c r="AM209" s="39"/>
      <c r="AN209" s="39"/>
      <c r="AO209" s="39"/>
      <c r="AP209" s="22"/>
      <c r="AQ209" s="36" t="str">
        <f t="shared" si="218"/>
        <v/>
      </c>
      <c r="AR209" s="287" t="str">
        <f t="shared" si="219"/>
        <v/>
      </c>
      <c r="AS209" s="288"/>
      <c r="AT209" s="37" t="str">
        <f t="shared" si="220"/>
        <v/>
      </c>
      <c r="AU209" s="37" t="str">
        <f t="shared" si="221"/>
        <v/>
      </c>
      <c r="AV209" s="37" t="str">
        <f t="shared" si="222"/>
        <v/>
      </c>
      <c r="AW209" s="38" t="str">
        <f t="shared" si="223"/>
        <v/>
      </c>
      <c r="AX209" s="38" t="str">
        <f t="shared" si="224"/>
        <v/>
      </c>
      <c r="AY209" s="38" t="str">
        <f t="shared" si="225"/>
        <v/>
      </c>
      <c r="AZ209" s="39"/>
      <c r="BA209" s="39"/>
      <c r="BB209" s="39"/>
      <c r="BC209" s="39"/>
      <c r="BD209" s="39"/>
      <c r="BE209" s="39"/>
      <c r="BF209" s="39"/>
      <c r="BG209" s="39"/>
      <c r="BH209" s="39"/>
      <c r="BI209" s="39"/>
      <c r="BJ209" s="39"/>
      <c r="BK209" s="40"/>
      <c r="BL209" s="212" t="s">
        <v>106</v>
      </c>
      <c r="BM209" s="205"/>
      <c r="BN209" s="206"/>
      <c r="BO209" s="213" t="s">
        <v>107</v>
      </c>
      <c r="BP209" s="159"/>
      <c r="BQ209" s="43"/>
      <c r="BR209" s="220" t="s">
        <v>108</v>
      </c>
      <c r="BS209" s="44" t="s">
        <v>109</v>
      </c>
      <c r="BT209" s="45"/>
      <c r="BU209" s="220" t="s">
        <v>110</v>
      </c>
      <c r="BV209" s="119"/>
      <c r="BW209" s="120"/>
      <c r="BX209" s="121"/>
      <c r="BY209" s="122"/>
      <c r="BZ209" s="123"/>
      <c r="CA209" s="123"/>
      <c r="CB209" s="124"/>
      <c r="CC209" s="122"/>
      <c r="CD209" s="123"/>
      <c r="CE209" s="123"/>
      <c r="CF209" s="215"/>
    </row>
    <row r="210" spans="22:84" ht="14.4" customHeight="1" x14ac:dyDescent="0.3">
      <c r="V210" s="36"/>
      <c r="W210" s="249"/>
      <c r="X210" s="250"/>
      <c r="Y210" s="37"/>
      <c r="Z210" s="38"/>
      <c r="AA210" s="38"/>
      <c r="AB210" s="38" t="str">
        <f t="shared" si="216"/>
        <v/>
      </c>
      <c r="AC210" s="38" t="str">
        <f t="shared" si="217"/>
        <v/>
      </c>
      <c r="AD210" s="247"/>
      <c r="AE210" s="248"/>
      <c r="AF210" s="39"/>
      <c r="AG210" s="39"/>
      <c r="AH210" s="39"/>
      <c r="AI210" s="39"/>
      <c r="AJ210" s="39"/>
      <c r="AK210" s="39"/>
      <c r="AL210" s="39"/>
      <c r="AM210" s="39"/>
      <c r="AN210" s="39"/>
      <c r="AO210" s="39"/>
      <c r="AP210" s="22"/>
      <c r="AQ210" s="36" t="str">
        <f t="shared" si="218"/>
        <v/>
      </c>
      <c r="AR210" s="287" t="str">
        <f t="shared" si="219"/>
        <v/>
      </c>
      <c r="AS210" s="288"/>
      <c r="AT210" s="37" t="str">
        <f t="shared" si="220"/>
        <v/>
      </c>
      <c r="AU210" s="37" t="str">
        <f t="shared" si="221"/>
        <v/>
      </c>
      <c r="AV210" s="37" t="str">
        <f t="shared" si="222"/>
        <v/>
      </c>
      <c r="AW210" s="38" t="str">
        <f t="shared" si="223"/>
        <v/>
      </c>
      <c r="AX210" s="38" t="str">
        <f t="shared" si="224"/>
        <v/>
      </c>
      <c r="AY210" s="38" t="str">
        <f t="shared" si="225"/>
        <v/>
      </c>
      <c r="AZ210" s="39"/>
      <c r="BA210" s="39"/>
      <c r="BB210" s="39"/>
      <c r="BC210" s="39"/>
      <c r="BD210" s="39"/>
      <c r="BE210" s="39"/>
      <c r="BF210" s="39"/>
      <c r="BG210" s="39"/>
      <c r="BH210" s="39"/>
      <c r="BI210" s="39"/>
      <c r="BJ210" s="39"/>
      <c r="BK210" s="40"/>
      <c r="BL210" s="199" t="s">
        <v>111</v>
      </c>
      <c r="BM210" s="154"/>
      <c r="BN210" s="200"/>
      <c r="BO210" s="201"/>
      <c r="BP210" s="202"/>
      <c r="BQ210" s="203"/>
      <c r="BR210" s="221"/>
      <c r="BS210" s="44" t="s">
        <v>112</v>
      </c>
      <c r="BT210" s="45"/>
      <c r="BU210" s="221"/>
      <c r="BV210" s="125"/>
      <c r="BW210" s="126"/>
      <c r="BX210" s="127"/>
      <c r="BY210" s="122"/>
      <c r="BZ210" s="123"/>
      <c r="CA210" s="123"/>
      <c r="CB210" s="124"/>
      <c r="CC210" s="122"/>
      <c r="CD210" s="123"/>
      <c r="CE210" s="123"/>
      <c r="CF210" s="215"/>
    </row>
    <row r="211" spans="22:84" ht="14.4" customHeight="1" x14ac:dyDescent="0.3">
      <c r="V211" s="36"/>
      <c r="W211" s="249"/>
      <c r="X211" s="250"/>
      <c r="Y211" s="37"/>
      <c r="Z211" s="38"/>
      <c r="AA211" s="38"/>
      <c r="AB211" s="38" t="str">
        <f t="shared" si="216"/>
        <v/>
      </c>
      <c r="AC211" s="38" t="str">
        <f t="shared" si="217"/>
        <v/>
      </c>
      <c r="AD211" s="247"/>
      <c r="AE211" s="248"/>
      <c r="AF211" s="39"/>
      <c r="AG211" s="39"/>
      <c r="AH211" s="39"/>
      <c r="AI211" s="39"/>
      <c r="AJ211" s="39"/>
      <c r="AK211" s="39"/>
      <c r="AL211" s="39"/>
      <c r="AM211" s="39"/>
      <c r="AN211" s="39"/>
      <c r="AO211" s="39"/>
      <c r="AP211" s="22"/>
      <c r="AQ211" s="36" t="str">
        <f t="shared" si="218"/>
        <v/>
      </c>
      <c r="AR211" s="287" t="str">
        <f t="shared" si="219"/>
        <v/>
      </c>
      <c r="AS211" s="288"/>
      <c r="AT211" s="37" t="str">
        <f t="shared" si="220"/>
        <v/>
      </c>
      <c r="AU211" s="37" t="str">
        <f t="shared" si="221"/>
        <v/>
      </c>
      <c r="AV211" s="37" t="str">
        <f t="shared" si="222"/>
        <v/>
      </c>
      <c r="AW211" s="38" t="str">
        <f t="shared" si="223"/>
        <v/>
      </c>
      <c r="AX211" s="38" t="str">
        <f t="shared" si="224"/>
        <v/>
      </c>
      <c r="AY211" s="38" t="str">
        <f t="shared" si="225"/>
        <v/>
      </c>
      <c r="AZ211" s="39"/>
      <c r="BA211" s="39"/>
      <c r="BB211" s="39"/>
      <c r="BC211" s="39"/>
      <c r="BD211" s="39"/>
      <c r="BE211" s="39"/>
      <c r="BF211" s="39"/>
      <c r="BG211" s="39"/>
      <c r="BH211" s="39"/>
      <c r="BI211" s="39"/>
      <c r="BJ211" s="39"/>
      <c r="BK211" s="40"/>
      <c r="BL211" s="170"/>
      <c r="BM211" s="171"/>
      <c r="BN211" s="172"/>
      <c r="BO211" s="179"/>
      <c r="BP211" s="171"/>
      <c r="BQ211" s="172"/>
      <c r="BR211" s="179"/>
      <c r="BS211" s="171"/>
      <c r="BT211" s="171"/>
      <c r="BU211" s="171"/>
      <c r="BV211" s="171"/>
      <c r="BW211" s="171"/>
      <c r="BX211" s="172"/>
      <c r="BY211" s="122"/>
      <c r="BZ211" s="123"/>
      <c r="CA211" s="123"/>
      <c r="CB211" s="124"/>
      <c r="CC211" s="122"/>
      <c r="CD211" s="123"/>
      <c r="CE211" s="123"/>
      <c r="CF211" s="215"/>
    </row>
    <row r="212" spans="22:84" ht="14.4" customHeight="1" x14ac:dyDescent="0.3">
      <c r="V212" s="36"/>
      <c r="W212" s="249"/>
      <c r="X212" s="250"/>
      <c r="Y212" s="37"/>
      <c r="Z212" s="38"/>
      <c r="AA212" s="38"/>
      <c r="AB212" s="38" t="str">
        <f t="shared" si="216"/>
        <v/>
      </c>
      <c r="AC212" s="38" t="str">
        <f t="shared" si="217"/>
        <v/>
      </c>
      <c r="AD212" s="247"/>
      <c r="AE212" s="248"/>
      <c r="AF212" s="39"/>
      <c r="AG212" s="39"/>
      <c r="AH212" s="39"/>
      <c r="AI212" s="39"/>
      <c r="AJ212" s="39"/>
      <c r="AK212" s="39"/>
      <c r="AL212" s="39"/>
      <c r="AM212" s="39"/>
      <c r="AN212" s="39"/>
      <c r="AO212" s="39"/>
      <c r="AP212" s="22"/>
      <c r="AQ212" s="36" t="str">
        <f t="shared" si="218"/>
        <v/>
      </c>
      <c r="AR212" s="287" t="str">
        <f t="shared" si="219"/>
        <v/>
      </c>
      <c r="AS212" s="288"/>
      <c r="AT212" s="37" t="str">
        <f t="shared" si="220"/>
        <v/>
      </c>
      <c r="AU212" s="37" t="str">
        <f t="shared" si="221"/>
        <v/>
      </c>
      <c r="AV212" s="37" t="str">
        <f t="shared" si="222"/>
        <v/>
      </c>
      <c r="AW212" s="38" t="str">
        <f t="shared" si="223"/>
        <v/>
      </c>
      <c r="AX212" s="38" t="str">
        <f t="shared" si="224"/>
        <v/>
      </c>
      <c r="AY212" s="38" t="str">
        <f t="shared" si="225"/>
        <v/>
      </c>
      <c r="AZ212" s="39"/>
      <c r="BA212" s="39"/>
      <c r="BB212" s="39"/>
      <c r="BC212" s="39"/>
      <c r="BD212" s="39"/>
      <c r="BE212" s="39"/>
      <c r="BF212" s="39"/>
      <c r="BG212" s="39"/>
      <c r="BH212" s="39"/>
      <c r="BI212" s="39"/>
      <c r="BJ212" s="39"/>
      <c r="BK212" s="40"/>
      <c r="BL212" s="173"/>
      <c r="BM212" s="174"/>
      <c r="BN212" s="175"/>
      <c r="BO212" s="180"/>
      <c r="BP212" s="174"/>
      <c r="BQ212" s="175"/>
      <c r="BR212" s="180"/>
      <c r="BS212" s="174"/>
      <c r="BT212" s="174"/>
      <c r="BU212" s="174"/>
      <c r="BV212" s="174"/>
      <c r="BW212" s="174"/>
      <c r="BX212" s="175"/>
      <c r="BY212" s="122"/>
      <c r="BZ212" s="123"/>
      <c r="CA212" s="123"/>
      <c r="CB212" s="124"/>
      <c r="CC212" s="122"/>
      <c r="CD212" s="123"/>
      <c r="CE212" s="123"/>
      <c r="CF212" s="215"/>
    </row>
    <row r="213" spans="22:84" ht="14.4" customHeight="1" x14ac:dyDescent="0.3">
      <c r="V213" s="36"/>
      <c r="W213" s="249"/>
      <c r="X213" s="250"/>
      <c r="Y213" s="37"/>
      <c r="Z213" s="38"/>
      <c r="AA213" s="38"/>
      <c r="AB213" s="38" t="str">
        <f t="shared" si="216"/>
        <v/>
      </c>
      <c r="AC213" s="38" t="str">
        <f t="shared" si="217"/>
        <v/>
      </c>
      <c r="AD213" s="247"/>
      <c r="AE213" s="248"/>
      <c r="AF213" s="39"/>
      <c r="AG213" s="39"/>
      <c r="AH213" s="39"/>
      <c r="AI213" s="39"/>
      <c r="AJ213" s="39"/>
      <c r="AK213" s="39"/>
      <c r="AL213" s="39"/>
      <c r="AM213" s="39"/>
      <c r="AN213" s="39"/>
      <c r="AO213" s="39"/>
      <c r="AP213" s="22"/>
      <c r="AQ213" s="36" t="str">
        <f t="shared" si="218"/>
        <v/>
      </c>
      <c r="AR213" s="287" t="str">
        <f t="shared" si="219"/>
        <v/>
      </c>
      <c r="AS213" s="288"/>
      <c r="AT213" s="37" t="str">
        <f t="shared" si="220"/>
        <v/>
      </c>
      <c r="AU213" s="37" t="str">
        <f t="shared" si="221"/>
        <v/>
      </c>
      <c r="AV213" s="37" t="str">
        <f t="shared" si="222"/>
        <v/>
      </c>
      <c r="AW213" s="38" t="str">
        <f t="shared" si="223"/>
        <v/>
      </c>
      <c r="AX213" s="38" t="str">
        <f t="shared" si="224"/>
        <v/>
      </c>
      <c r="AY213" s="38" t="str">
        <f t="shared" si="225"/>
        <v/>
      </c>
      <c r="AZ213" s="39"/>
      <c r="BA213" s="39"/>
      <c r="BB213" s="39"/>
      <c r="BC213" s="39"/>
      <c r="BD213" s="39"/>
      <c r="BE213" s="39"/>
      <c r="BF213" s="39"/>
      <c r="BG213" s="39"/>
      <c r="BH213" s="39"/>
      <c r="BI213" s="39"/>
      <c r="BJ213" s="39"/>
      <c r="BK213" s="40"/>
      <c r="BL213" s="173"/>
      <c r="BM213" s="174"/>
      <c r="BN213" s="175"/>
      <c r="BO213" s="180"/>
      <c r="BP213" s="174"/>
      <c r="BQ213" s="175"/>
      <c r="BR213" s="180"/>
      <c r="BS213" s="174"/>
      <c r="BT213" s="174"/>
      <c r="BU213" s="174"/>
      <c r="BV213" s="174"/>
      <c r="BW213" s="174"/>
      <c r="BX213" s="175"/>
      <c r="BY213" s="122"/>
      <c r="BZ213" s="123"/>
      <c r="CA213" s="123"/>
      <c r="CB213" s="124"/>
      <c r="CC213" s="122"/>
      <c r="CD213" s="123"/>
      <c r="CE213" s="123"/>
      <c r="CF213" s="215"/>
    </row>
    <row r="214" spans="22:84" ht="14.4" customHeight="1" x14ac:dyDescent="0.3">
      <c r="V214" s="36"/>
      <c r="W214" s="249"/>
      <c r="X214" s="250"/>
      <c r="Y214" s="37"/>
      <c r="Z214" s="38"/>
      <c r="AA214" s="38"/>
      <c r="AB214" s="38" t="str">
        <f t="shared" si="216"/>
        <v/>
      </c>
      <c r="AC214" s="38" t="str">
        <f t="shared" si="217"/>
        <v/>
      </c>
      <c r="AD214" s="247"/>
      <c r="AE214" s="248"/>
      <c r="AF214" s="39"/>
      <c r="AG214" s="39"/>
      <c r="AH214" s="39"/>
      <c r="AI214" s="39"/>
      <c r="AJ214" s="39"/>
      <c r="AK214" s="39"/>
      <c r="AL214" s="39"/>
      <c r="AM214" s="39"/>
      <c r="AN214" s="39"/>
      <c r="AO214" s="39"/>
      <c r="AP214" s="22"/>
      <c r="AQ214" s="36" t="str">
        <f t="shared" si="218"/>
        <v/>
      </c>
      <c r="AR214" s="287" t="str">
        <f t="shared" si="219"/>
        <v/>
      </c>
      <c r="AS214" s="288"/>
      <c r="AT214" s="37" t="str">
        <f t="shared" si="220"/>
        <v/>
      </c>
      <c r="AU214" s="37" t="str">
        <f t="shared" si="221"/>
        <v/>
      </c>
      <c r="AV214" s="37" t="str">
        <f t="shared" si="222"/>
        <v/>
      </c>
      <c r="AW214" s="38" t="str">
        <f t="shared" si="223"/>
        <v/>
      </c>
      <c r="AX214" s="38" t="str">
        <f t="shared" si="224"/>
        <v/>
      </c>
      <c r="AY214" s="38" t="str">
        <f t="shared" si="225"/>
        <v/>
      </c>
      <c r="AZ214" s="39"/>
      <c r="BA214" s="39"/>
      <c r="BB214" s="39"/>
      <c r="BC214" s="39"/>
      <c r="BD214" s="39"/>
      <c r="BE214" s="39"/>
      <c r="BF214" s="39"/>
      <c r="BG214" s="39"/>
      <c r="BH214" s="39"/>
      <c r="BI214" s="39"/>
      <c r="BJ214" s="39"/>
      <c r="BK214" s="40"/>
      <c r="BL214" s="173"/>
      <c r="BM214" s="174"/>
      <c r="BN214" s="175"/>
      <c r="BO214" s="180"/>
      <c r="BP214" s="174"/>
      <c r="BQ214" s="175"/>
      <c r="BR214" s="180"/>
      <c r="BS214" s="174"/>
      <c r="BT214" s="174"/>
      <c r="BU214" s="174"/>
      <c r="BV214" s="174"/>
      <c r="BW214" s="174"/>
      <c r="BX214" s="175"/>
      <c r="BY214" s="122"/>
      <c r="BZ214" s="123"/>
      <c r="CA214" s="123"/>
      <c r="CB214" s="124"/>
      <c r="CC214" s="122"/>
      <c r="CD214" s="123"/>
      <c r="CE214" s="123"/>
      <c r="CF214" s="215"/>
    </row>
    <row r="215" spans="22:84" ht="14.4" customHeight="1" x14ac:dyDescent="0.3">
      <c r="V215" s="36"/>
      <c r="W215" s="249"/>
      <c r="X215" s="250"/>
      <c r="Y215" s="37"/>
      <c r="Z215" s="38"/>
      <c r="AA215" s="38"/>
      <c r="AB215" s="38" t="str">
        <f t="shared" si="216"/>
        <v/>
      </c>
      <c r="AC215" s="38" t="str">
        <f t="shared" si="217"/>
        <v/>
      </c>
      <c r="AD215" s="247"/>
      <c r="AE215" s="248"/>
      <c r="AF215" s="39"/>
      <c r="AG215" s="39"/>
      <c r="AH215" s="39"/>
      <c r="AI215" s="39"/>
      <c r="AJ215" s="39"/>
      <c r="AK215" s="39"/>
      <c r="AL215" s="39"/>
      <c r="AM215" s="39"/>
      <c r="AN215" s="39"/>
      <c r="AO215" s="39"/>
      <c r="AP215" s="22"/>
      <c r="AQ215" s="36" t="str">
        <f t="shared" si="218"/>
        <v/>
      </c>
      <c r="AR215" s="287" t="str">
        <f t="shared" si="219"/>
        <v/>
      </c>
      <c r="AS215" s="288"/>
      <c r="AT215" s="37" t="str">
        <f t="shared" si="220"/>
        <v/>
      </c>
      <c r="AU215" s="37" t="str">
        <f t="shared" si="221"/>
        <v/>
      </c>
      <c r="AV215" s="37" t="str">
        <f t="shared" si="222"/>
        <v/>
      </c>
      <c r="AW215" s="38" t="str">
        <f t="shared" si="223"/>
        <v/>
      </c>
      <c r="AX215" s="38" t="str">
        <f>IF(OR(AW215="QC",ISTEXT(Y216)), AB216, "")</f>
        <v/>
      </c>
      <c r="AY215" s="38" t="str">
        <f t="shared" si="225"/>
        <v/>
      </c>
      <c r="AZ215" s="39"/>
      <c r="BA215" s="39"/>
      <c r="BB215" s="39"/>
      <c r="BC215" s="39"/>
      <c r="BD215" s="39"/>
      <c r="BE215" s="39"/>
      <c r="BF215" s="39"/>
      <c r="BG215" s="39"/>
      <c r="BH215" s="39"/>
      <c r="BI215" s="39"/>
      <c r="BJ215" s="39"/>
      <c r="BK215" s="40"/>
      <c r="BL215" s="173"/>
      <c r="BM215" s="174"/>
      <c r="BN215" s="175"/>
      <c r="BO215" s="180"/>
      <c r="BP215" s="174"/>
      <c r="BQ215" s="175"/>
      <c r="BR215" s="180"/>
      <c r="BS215" s="174"/>
      <c r="BT215" s="174"/>
      <c r="BU215" s="174"/>
      <c r="BV215" s="174"/>
      <c r="BW215" s="174"/>
      <c r="BX215" s="175"/>
      <c r="BY215" s="122"/>
      <c r="BZ215" s="123"/>
      <c r="CA215" s="123"/>
      <c r="CB215" s="124"/>
      <c r="CC215" s="122"/>
      <c r="CD215" s="123"/>
      <c r="CE215" s="123"/>
      <c r="CF215" s="215"/>
    </row>
    <row r="216" spans="22:84" ht="14.4" customHeight="1" x14ac:dyDescent="0.3">
      <c r="V216" s="36"/>
      <c r="W216" s="249"/>
      <c r="X216" s="250"/>
      <c r="Y216" s="37"/>
      <c r="Z216" s="38"/>
      <c r="AA216" s="38"/>
      <c r="AB216" s="38" t="str">
        <f t="shared" si="216"/>
        <v/>
      </c>
      <c r="AC216" s="38" t="str">
        <f t="shared" si="217"/>
        <v/>
      </c>
      <c r="AD216" s="247"/>
      <c r="AE216" s="248"/>
      <c r="AF216" s="39"/>
      <c r="AG216" s="39"/>
      <c r="AH216" s="39"/>
      <c r="AI216" s="39"/>
      <c r="AJ216" s="39"/>
      <c r="AK216" s="39"/>
      <c r="AL216" s="39"/>
      <c r="AM216" s="39"/>
      <c r="AN216" s="39"/>
      <c r="AO216" s="39"/>
      <c r="AP216" s="22"/>
      <c r="AQ216" s="36" t="str">
        <f t="shared" si="218"/>
        <v/>
      </c>
      <c r="AR216" s="287" t="str">
        <f t="shared" si="219"/>
        <v/>
      </c>
      <c r="AS216" s="288"/>
      <c r="AT216" s="37" t="str">
        <f t="shared" si="220"/>
        <v/>
      </c>
      <c r="AU216" s="37" t="str">
        <f t="shared" si="221"/>
        <v/>
      </c>
      <c r="AV216" s="37" t="str">
        <f t="shared" si="222"/>
        <v/>
      </c>
      <c r="AW216" s="38" t="str">
        <f t="shared" si="223"/>
        <v/>
      </c>
      <c r="AX216" s="38" t="str">
        <f t="shared" si="224"/>
        <v/>
      </c>
      <c r="AY216" s="38" t="str">
        <f t="shared" si="225"/>
        <v/>
      </c>
      <c r="AZ216" s="39"/>
      <c r="BA216" s="39"/>
      <c r="BB216" s="39"/>
      <c r="BC216" s="39"/>
      <c r="BD216" s="39"/>
      <c r="BE216" s="39"/>
      <c r="BF216" s="39"/>
      <c r="BG216" s="39"/>
      <c r="BH216" s="39"/>
      <c r="BI216" s="39"/>
      <c r="BJ216" s="39"/>
      <c r="BK216" s="40"/>
      <c r="BL216" s="173"/>
      <c r="BM216" s="174"/>
      <c r="BN216" s="175"/>
      <c r="BO216" s="180"/>
      <c r="BP216" s="174"/>
      <c r="BQ216" s="175"/>
      <c r="BR216" s="180"/>
      <c r="BS216" s="174"/>
      <c r="BT216" s="174"/>
      <c r="BU216" s="174"/>
      <c r="BV216" s="174"/>
      <c r="BW216" s="174"/>
      <c r="BX216" s="175"/>
      <c r="BY216" s="122"/>
      <c r="BZ216" s="123"/>
      <c r="CA216" s="123"/>
      <c r="CB216" s="124"/>
      <c r="CC216" s="122"/>
      <c r="CD216" s="123"/>
      <c r="CE216" s="123"/>
      <c r="CF216" s="215"/>
    </row>
    <row r="217" spans="22:84" ht="14.4" customHeight="1" x14ac:dyDescent="0.3">
      <c r="V217" s="36"/>
      <c r="W217" s="249"/>
      <c r="X217" s="250"/>
      <c r="Y217" s="37"/>
      <c r="Z217" s="38"/>
      <c r="AA217" s="38"/>
      <c r="AB217" s="38" t="str">
        <f t="shared" si="216"/>
        <v/>
      </c>
      <c r="AC217" s="38" t="str">
        <f t="shared" si="217"/>
        <v/>
      </c>
      <c r="AD217" s="247"/>
      <c r="AE217" s="248"/>
      <c r="AF217" s="39"/>
      <c r="AG217" s="39"/>
      <c r="AH217" s="39"/>
      <c r="AI217" s="39"/>
      <c r="AJ217" s="39"/>
      <c r="AK217" s="39"/>
      <c r="AL217" s="39"/>
      <c r="AM217" s="39"/>
      <c r="AN217" s="39"/>
      <c r="AO217" s="39"/>
      <c r="AP217" s="22"/>
      <c r="AQ217" s="36" t="str">
        <f t="shared" si="218"/>
        <v/>
      </c>
      <c r="AR217" s="287" t="str">
        <f t="shared" si="219"/>
        <v/>
      </c>
      <c r="AS217" s="288"/>
      <c r="AT217" s="37" t="str">
        <f t="shared" si="220"/>
        <v/>
      </c>
      <c r="AU217" s="37" t="str">
        <f t="shared" si="221"/>
        <v/>
      </c>
      <c r="AV217" s="37" t="str">
        <f t="shared" si="222"/>
        <v/>
      </c>
      <c r="AW217" s="38" t="str">
        <f t="shared" si="223"/>
        <v/>
      </c>
      <c r="AX217" s="38" t="str">
        <f t="shared" si="224"/>
        <v/>
      </c>
      <c r="AY217" s="38" t="str">
        <f t="shared" si="225"/>
        <v/>
      </c>
      <c r="AZ217" s="39"/>
      <c r="BA217" s="39"/>
      <c r="BB217" s="39"/>
      <c r="BC217" s="39"/>
      <c r="BD217" s="39"/>
      <c r="BE217" s="39"/>
      <c r="BF217" s="39"/>
      <c r="BG217" s="39"/>
      <c r="BH217" s="39"/>
      <c r="BI217" s="39"/>
      <c r="BJ217" s="39"/>
      <c r="BK217" s="40"/>
      <c r="BL217" s="173"/>
      <c r="BM217" s="174"/>
      <c r="BN217" s="175"/>
      <c r="BO217" s="180"/>
      <c r="BP217" s="174"/>
      <c r="BQ217" s="175"/>
      <c r="BR217" s="180"/>
      <c r="BS217" s="174"/>
      <c r="BT217" s="174"/>
      <c r="BU217" s="174"/>
      <c r="BV217" s="174"/>
      <c r="BW217" s="174"/>
      <c r="BX217" s="175"/>
      <c r="BY217" s="122"/>
      <c r="BZ217" s="123"/>
      <c r="CA217" s="123"/>
      <c r="CB217" s="124"/>
      <c r="CC217" s="122"/>
      <c r="CD217" s="123"/>
      <c r="CE217" s="123"/>
      <c r="CF217" s="215"/>
    </row>
    <row r="218" spans="22:84" ht="14.4" customHeight="1" x14ac:dyDescent="0.3">
      <c r="V218" s="36"/>
      <c r="W218" s="249"/>
      <c r="X218" s="250"/>
      <c r="Y218" s="37"/>
      <c r="Z218" s="38"/>
      <c r="AA218" s="38"/>
      <c r="AB218" s="38" t="str">
        <f t="shared" si="216"/>
        <v/>
      </c>
      <c r="AC218" s="38" t="str">
        <f t="shared" si="217"/>
        <v/>
      </c>
      <c r="AD218" s="247"/>
      <c r="AE218" s="248"/>
      <c r="AF218" s="39"/>
      <c r="AG218" s="39"/>
      <c r="AH218" s="39"/>
      <c r="AI218" s="39"/>
      <c r="AJ218" s="39"/>
      <c r="AK218" s="39"/>
      <c r="AL218" s="39"/>
      <c r="AM218" s="39"/>
      <c r="AN218" s="39"/>
      <c r="AO218" s="39"/>
      <c r="AP218" s="22"/>
      <c r="AQ218" s="325" t="s">
        <v>73</v>
      </c>
      <c r="AR218" s="318"/>
      <c r="AS218" s="318"/>
      <c r="AT218" s="317" t="s">
        <v>74</v>
      </c>
      <c r="AU218" s="318"/>
      <c r="AV218" s="318"/>
      <c r="AW218" s="317" t="s">
        <v>75</v>
      </c>
      <c r="AX218" s="318"/>
      <c r="AY218" s="319"/>
      <c r="AZ218" s="241" t="s">
        <v>76</v>
      </c>
      <c r="BA218" s="242"/>
      <c r="BB218" s="242"/>
      <c r="BC218" s="241" t="s">
        <v>77</v>
      </c>
      <c r="BD218" s="242"/>
      <c r="BE218" s="242"/>
      <c r="BF218" s="241" t="s">
        <v>78</v>
      </c>
      <c r="BG218" s="242"/>
      <c r="BH218" s="242"/>
      <c r="BI218" s="241" t="s">
        <v>79</v>
      </c>
      <c r="BJ218" s="242"/>
      <c r="BK218" s="243"/>
      <c r="BL218" s="173"/>
      <c r="BM218" s="174"/>
      <c r="BN218" s="175"/>
      <c r="BO218" s="180"/>
      <c r="BP218" s="174"/>
      <c r="BQ218" s="175"/>
      <c r="BR218" s="180"/>
      <c r="BS218" s="174"/>
      <c r="BT218" s="174"/>
      <c r="BU218" s="174"/>
      <c r="BV218" s="174"/>
      <c r="BW218" s="174"/>
      <c r="BX218" s="175"/>
      <c r="BY218" s="122"/>
      <c r="BZ218" s="123"/>
      <c r="CA218" s="123"/>
      <c r="CB218" s="124"/>
      <c r="CC218" s="122"/>
      <c r="CD218" s="123"/>
      <c r="CE218" s="123"/>
      <c r="CF218" s="215"/>
    </row>
    <row r="219" spans="22:84" ht="14.4" customHeight="1" x14ac:dyDescent="0.3">
      <c r="V219" s="353" t="s">
        <v>113</v>
      </c>
      <c r="W219" s="222"/>
      <c r="X219" s="222"/>
      <c r="Y219" s="222"/>
      <c r="Z219" s="222"/>
      <c r="AA219" s="222"/>
      <c r="AB219" s="222"/>
      <c r="AC219" s="222"/>
      <c r="AD219" s="222"/>
      <c r="AE219" s="250"/>
      <c r="AP219" s="22"/>
      <c r="AQ219" s="46"/>
      <c r="AR219" s="39"/>
      <c r="AS219" s="39"/>
      <c r="AT219" s="39"/>
      <c r="AU219" s="39"/>
      <c r="AV219" s="39"/>
      <c r="AW219" s="39"/>
      <c r="AX219" s="39"/>
      <c r="AY219" s="39"/>
      <c r="AZ219" s="39"/>
      <c r="BA219" s="39"/>
      <c r="BB219" s="39"/>
      <c r="BC219" s="39"/>
      <c r="BD219" s="39"/>
      <c r="BE219" s="39"/>
      <c r="BF219" s="39"/>
      <c r="BG219" s="39"/>
      <c r="BH219" s="39"/>
      <c r="BI219" s="39"/>
      <c r="BJ219" s="39"/>
      <c r="BK219" s="40"/>
      <c r="BL219" s="173"/>
      <c r="BM219" s="174"/>
      <c r="BN219" s="175"/>
      <c r="BO219" s="180"/>
      <c r="BP219" s="174"/>
      <c r="BQ219" s="175"/>
      <c r="BR219" s="180"/>
      <c r="BS219" s="174"/>
      <c r="BT219" s="174"/>
      <c r="BU219" s="174"/>
      <c r="BV219" s="174"/>
      <c r="BW219" s="174"/>
      <c r="BX219" s="175"/>
      <c r="BY219" s="122"/>
      <c r="BZ219" s="123"/>
      <c r="CA219" s="123"/>
      <c r="CB219" s="124"/>
      <c r="CC219" s="125"/>
      <c r="CD219" s="126"/>
      <c r="CE219" s="126"/>
      <c r="CF219" s="216"/>
    </row>
    <row r="220" spans="22:84" ht="14.4" customHeight="1" x14ac:dyDescent="0.3">
      <c r="V220" s="47"/>
      <c r="W220" s="10" t="s">
        <v>114</v>
      </c>
      <c r="X220" s="10" t="s">
        <v>115</v>
      </c>
      <c r="Y220" s="10" t="s">
        <v>116</v>
      </c>
      <c r="Z220" s="48" t="s">
        <v>117</v>
      </c>
      <c r="AA220" s="14" t="s">
        <v>118</v>
      </c>
      <c r="AB220" s="10" t="s">
        <v>119</v>
      </c>
      <c r="AC220" s="10" t="s">
        <v>120</v>
      </c>
      <c r="AD220" s="10" t="s">
        <v>121</v>
      </c>
      <c r="AE220" s="10" t="s">
        <v>122</v>
      </c>
      <c r="AP220" s="22"/>
      <c r="AQ220" s="46"/>
      <c r="AR220" s="28"/>
      <c r="AS220" s="28"/>
      <c r="AT220" s="28"/>
      <c r="AU220" s="28"/>
      <c r="AV220" s="28"/>
      <c r="AW220" s="28"/>
      <c r="AX220" s="28"/>
      <c r="AY220" s="28"/>
      <c r="AZ220" s="28"/>
      <c r="BA220" s="28"/>
      <c r="BB220" s="28"/>
      <c r="BC220" s="28"/>
      <c r="BD220" s="28"/>
      <c r="BE220" s="28"/>
      <c r="BF220" s="28"/>
      <c r="BG220" s="28"/>
      <c r="BH220" s="28"/>
      <c r="BI220" s="28"/>
      <c r="BJ220" s="28"/>
      <c r="BK220" s="51"/>
      <c r="BL220" s="173"/>
      <c r="BM220" s="174"/>
      <c r="BN220" s="175"/>
      <c r="BO220" s="180"/>
      <c r="BP220" s="174"/>
      <c r="BQ220" s="175"/>
      <c r="BR220" s="180"/>
      <c r="BS220" s="174"/>
      <c r="BT220" s="174"/>
      <c r="BU220" s="174"/>
      <c r="BV220" s="174"/>
      <c r="BW220" s="174"/>
      <c r="BX220" s="175"/>
      <c r="BY220" s="122"/>
      <c r="BZ220" s="123"/>
      <c r="CA220" s="123"/>
      <c r="CB220" s="124"/>
      <c r="CC220" s="150" t="s">
        <v>123</v>
      </c>
      <c r="CD220" s="151"/>
      <c r="CE220" s="151"/>
      <c r="CF220" s="152"/>
    </row>
    <row r="221" spans="22:84" ht="14.4" customHeight="1" x14ac:dyDescent="0.3">
      <c r="V221" s="49" t="str">
        <f>IF(ISBLANK(V207),"",V207)</f>
        <v/>
      </c>
      <c r="W221" s="38" t="str" cm="1">
        <f t="array" ref="W221">IF(Y207="", "", IF(AND(Y207&lt;=MIN(AF207:AO207),Z207&gt;=MAX(AF207:AO207)),"ACCEPT",IF(AND(AF207:AO207="OK"),"ACCEPT","REJECT")))</f>
        <v/>
      </c>
      <c r="X221" s="38" t="str">
        <f t="shared" ref="X221:X232" si="226">IF(TRIM(W221)="", "", MAX(AF207:AO207))</f>
        <v/>
      </c>
      <c r="Y221" s="38" t="str">
        <f t="shared" ref="Y221:Y232" si="227">IF(TRIM(W221)="", "", MIN(AF207:AO207))</f>
        <v/>
      </c>
      <c r="Z221" s="38" t="str">
        <f t="shared" ref="Z221:Z232" si="228">IF(ISNUMBER(Y207),"VARIABLE",IF(ISBLANK(Y207),"","ATTRIBUTE"))</f>
        <v/>
      </c>
      <c r="AA221" s="38">
        <f t="shared" ref="AA221:AA232" si="229">IF((AA207="QC"),1.33,1)</f>
        <v>1</v>
      </c>
      <c r="AB221" s="38">
        <f t="shared" ref="AB221:AB232" si="230">IF(COUNT(AF207:AO207)=0,0,AVERAGE(AF207:AO207))</f>
        <v>0</v>
      </c>
      <c r="AC221" s="38">
        <f t="shared" ref="AC221:AC232" si="231">MAX(AF207:AO207)-MIN(AF207:AO207)</f>
        <v>0</v>
      </c>
      <c r="AD221" s="38">
        <f t="shared" ref="AD221:AD232" si="232">IF(COUNT(AF207:AO207)=0,0,_xlfn.STDEV.S(AF207:AO207))</f>
        <v>0</v>
      </c>
      <c r="AE221" s="38" t="str">
        <f t="shared" ref="AE221:AE232" si="233">IF(AB221=0,"-",IF(AB221-Y207&lt;Z207-AB221,AB221-Y207,Z207-AB221)/(AD221*3))</f>
        <v>-</v>
      </c>
      <c r="AP221" s="22"/>
      <c r="AQ221" s="46"/>
      <c r="AR221" s="39"/>
      <c r="AS221" s="39"/>
      <c r="AT221" s="39"/>
      <c r="AU221" s="39"/>
      <c r="AV221" s="39"/>
      <c r="AW221" s="39"/>
      <c r="AX221" s="39"/>
      <c r="AY221" s="39"/>
      <c r="AZ221" s="39"/>
      <c r="BA221" s="39"/>
      <c r="BB221" s="39"/>
      <c r="BC221" s="39"/>
      <c r="BD221" s="39"/>
      <c r="BE221" s="39"/>
      <c r="BF221" s="39"/>
      <c r="BG221" s="39"/>
      <c r="BH221" s="39"/>
      <c r="BI221" s="39"/>
      <c r="BJ221" s="39"/>
      <c r="BK221" s="40"/>
      <c r="BL221" s="176"/>
      <c r="BM221" s="177"/>
      <c r="BN221" s="178"/>
      <c r="BO221" s="181"/>
      <c r="BP221" s="177"/>
      <c r="BQ221" s="178"/>
      <c r="BR221" s="181"/>
      <c r="BS221" s="177"/>
      <c r="BT221" s="177"/>
      <c r="BU221" s="177"/>
      <c r="BV221" s="177"/>
      <c r="BW221" s="177"/>
      <c r="BX221" s="178"/>
      <c r="BY221" s="125"/>
      <c r="BZ221" s="126"/>
      <c r="CA221" s="126"/>
      <c r="CB221" s="127"/>
      <c r="CC221" s="153"/>
      <c r="CD221" s="154"/>
      <c r="CE221" s="154"/>
      <c r="CF221" s="155"/>
    </row>
    <row r="222" spans="22:84" ht="14.4" customHeight="1" x14ac:dyDescent="0.3">
      <c r="V222" s="49" t="str">
        <f t="shared" ref="V222:V231" si="234">IF(ISBLANK(V208),"",V208)</f>
        <v/>
      </c>
      <c r="W222" s="38" t="str" cm="1">
        <f t="array" ref="W222">IF(Y208="", "", IF(AND(Y208&lt;=MIN(AF208:AO208),Z208&gt;=MAX(AF208:AO208)),"ACCEPT",IF(AND(AF208:AO208="OK"),"ACCEPT","REJECT")))</f>
        <v/>
      </c>
      <c r="X222" s="38" t="str">
        <f t="shared" si="226"/>
        <v/>
      </c>
      <c r="Y222" s="38" t="str">
        <f t="shared" si="227"/>
        <v/>
      </c>
      <c r="Z222" s="38" t="str">
        <f t="shared" si="228"/>
        <v/>
      </c>
      <c r="AA222" s="38">
        <f t="shared" si="229"/>
        <v>1</v>
      </c>
      <c r="AB222" s="38">
        <f t="shared" si="230"/>
        <v>0</v>
      </c>
      <c r="AC222" s="38">
        <f t="shared" si="231"/>
        <v>0</v>
      </c>
      <c r="AD222" s="38">
        <f t="shared" si="232"/>
        <v>0</v>
      </c>
      <c r="AE222" s="38" t="str">
        <f t="shared" si="233"/>
        <v>-</v>
      </c>
      <c r="AP222" s="22"/>
      <c r="AQ222" s="50"/>
      <c r="AR222" s="28"/>
      <c r="AS222" s="28"/>
      <c r="AT222" s="28"/>
      <c r="AU222" s="28"/>
      <c r="AV222" s="28"/>
      <c r="AW222" s="28"/>
      <c r="AX222" s="28"/>
      <c r="AY222" s="28"/>
      <c r="AZ222" s="28"/>
      <c r="BA222" s="28"/>
      <c r="BB222" s="28"/>
      <c r="BC222" s="28"/>
      <c r="BD222" s="28"/>
      <c r="BE222" s="28"/>
      <c r="BF222" s="28"/>
      <c r="BG222" s="28"/>
      <c r="BH222" s="28"/>
      <c r="BI222" s="28"/>
      <c r="BJ222" s="28"/>
      <c r="BK222" s="51"/>
      <c r="BL222" s="128" t="s">
        <v>88</v>
      </c>
      <c r="BM222" s="129"/>
      <c r="BN222" s="130"/>
      <c r="BO222" s="131" t="s">
        <v>89</v>
      </c>
      <c r="BP222" s="132"/>
      <c r="BQ222" s="133"/>
      <c r="BR222" s="131" t="s">
        <v>90</v>
      </c>
      <c r="BS222" s="132"/>
      <c r="BT222" s="132"/>
      <c r="BU222" s="132"/>
      <c r="BV222" s="132"/>
      <c r="BW222" s="132"/>
      <c r="BX222" s="133"/>
      <c r="BY222" s="131" t="s">
        <v>91</v>
      </c>
      <c r="BZ222" s="132"/>
      <c r="CA222" s="132"/>
      <c r="CB222" s="133"/>
      <c r="CC222" s="131" t="s">
        <v>92</v>
      </c>
      <c r="CD222" s="132"/>
      <c r="CE222" s="132"/>
      <c r="CF222" s="156"/>
    </row>
    <row r="223" spans="22:84" ht="14.4" customHeight="1" x14ac:dyDescent="0.3">
      <c r="V223" s="49" t="str">
        <f t="shared" si="234"/>
        <v/>
      </c>
      <c r="W223" s="38" t="str" cm="1">
        <f t="array" ref="W223">IF(Y209="", "", IF(AND(Y209&lt;=MIN(AF209:AO209),Z209&gt;=MAX(AF209:AO209)),"ACCEPT",IF(AND(AF209:AO209="OK"),"ACCEPT","REJECT")))</f>
        <v/>
      </c>
      <c r="X223" s="38" t="str">
        <f t="shared" si="226"/>
        <v/>
      </c>
      <c r="Y223" s="38" t="str">
        <f t="shared" si="227"/>
        <v/>
      </c>
      <c r="Z223" s="38" t="str">
        <f t="shared" si="228"/>
        <v/>
      </c>
      <c r="AA223" s="38">
        <f t="shared" si="229"/>
        <v>1</v>
      </c>
      <c r="AB223" s="38">
        <f t="shared" si="230"/>
        <v>0</v>
      </c>
      <c r="AC223" s="38">
        <f t="shared" si="231"/>
        <v>0</v>
      </c>
      <c r="AD223" s="38">
        <f t="shared" si="232"/>
        <v>0</v>
      </c>
      <c r="AE223" s="38" t="str">
        <f t="shared" si="233"/>
        <v>-</v>
      </c>
      <c r="AP223" s="22"/>
      <c r="AQ223" s="50"/>
      <c r="AR223" s="28"/>
      <c r="AS223" s="28"/>
      <c r="AT223" s="28"/>
      <c r="AU223" s="28"/>
      <c r="AV223" s="28"/>
      <c r="AW223" s="28"/>
      <c r="AX223" s="28"/>
      <c r="AY223" s="28"/>
      <c r="AZ223" s="28"/>
      <c r="BA223" s="28"/>
      <c r="BB223" s="28"/>
      <c r="BC223" s="28"/>
      <c r="BD223" s="28"/>
      <c r="BE223" s="28"/>
      <c r="BF223" s="28"/>
      <c r="BG223" s="28"/>
      <c r="BH223" s="28"/>
      <c r="BI223" s="28"/>
      <c r="BJ223" s="28"/>
      <c r="BK223" s="51"/>
      <c r="BL223" s="158" t="s">
        <v>96</v>
      </c>
      <c r="BM223" s="159"/>
      <c r="BN223" s="35"/>
      <c r="BO223" s="134"/>
      <c r="BP223" s="135"/>
      <c r="BQ223" s="136"/>
      <c r="BR223" s="134"/>
      <c r="BS223" s="135"/>
      <c r="BT223" s="135"/>
      <c r="BU223" s="135"/>
      <c r="BV223" s="135"/>
      <c r="BW223" s="135"/>
      <c r="BX223" s="136"/>
      <c r="BY223" s="134"/>
      <c r="BZ223" s="135"/>
      <c r="CA223" s="135"/>
      <c r="CB223" s="136"/>
      <c r="CC223" s="134"/>
      <c r="CD223" s="135"/>
      <c r="CE223" s="135"/>
      <c r="CF223" s="157"/>
    </row>
    <row r="224" spans="22:84" ht="14.4" customHeight="1" x14ac:dyDescent="0.3">
      <c r="V224" s="49" t="str">
        <f t="shared" si="234"/>
        <v/>
      </c>
      <c r="W224" s="38" t="str" cm="1">
        <f t="array" ref="W224">IF(Y210="", "", IF(AND(Y210&lt;=MIN(AF210:AO210),Z210&gt;=MAX(AF210:AO210)),"ACCEPT",IF(AND(AF210:AO210="OK"),"ACCEPT","REJECT")))</f>
        <v/>
      </c>
      <c r="X224" s="38" t="str">
        <f t="shared" si="226"/>
        <v/>
      </c>
      <c r="Y224" s="38" t="str">
        <f t="shared" si="227"/>
        <v/>
      </c>
      <c r="Z224" s="38" t="str">
        <f t="shared" si="228"/>
        <v/>
      </c>
      <c r="AA224" s="38">
        <f t="shared" si="229"/>
        <v>1</v>
      </c>
      <c r="AB224" s="38">
        <f t="shared" si="230"/>
        <v>0</v>
      </c>
      <c r="AC224" s="38">
        <f t="shared" si="231"/>
        <v>0</v>
      </c>
      <c r="AD224" s="38">
        <f t="shared" si="232"/>
        <v>0</v>
      </c>
      <c r="AE224" s="38" t="str">
        <f t="shared" si="233"/>
        <v>-</v>
      </c>
      <c r="AP224" s="22"/>
      <c r="AQ224" s="46"/>
      <c r="AR224" s="28"/>
      <c r="AS224" s="28"/>
      <c r="AT224" s="28"/>
      <c r="AU224" s="28"/>
      <c r="AV224" s="28"/>
      <c r="AW224" s="28"/>
      <c r="AX224" s="28"/>
      <c r="AY224" s="28"/>
      <c r="AZ224" s="28"/>
      <c r="BA224" s="28"/>
      <c r="BB224" s="28"/>
      <c r="BC224" s="28"/>
      <c r="BD224" s="28"/>
      <c r="BE224" s="28"/>
      <c r="BF224" s="28"/>
      <c r="BG224" s="28"/>
      <c r="BH224" s="28"/>
      <c r="BI224" s="28"/>
      <c r="BJ224" s="28"/>
      <c r="BK224" s="51"/>
      <c r="BL224" s="158" t="s">
        <v>97</v>
      </c>
      <c r="BM224" s="159"/>
      <c r="BN224" s="41" t="s">
        <v>98</v>
      </c>
      <c r="BO224" s="204" t="s">
        <v>99</v>
      </c>
      <c r="BP224" s="205"/>
      <c r="BQ224" s="206"/>
      <c r="BR224" s="207" t="s">
        <v>100</v>
      </c>
      <c r="BS224" s="208"/>
      <c r="BT224" s="208"/>
      <c r="BU224" s="209"/>
      <c r="BV224" s="217"/>
      <c r="BW224" s="218"/>
      <c r="BX224" s="219"/>
      <c r="BY224" s="119"/>
      <c r="BZ224" s="120"/>
      <c r="CA224" s="120"/>
      <c r="CB224" s="121"/>
      <c r="CC224" s="119"/>
      <c r="CD224" s="120"/>
      <c r="CE224" s="120"/>
      <c r="CF224" s="214"/>
    </row>
    <row r="225" spans="22:84" ht="14.4" customHeight="1" x14ac:dyDescent="0.3">
      <c r="V225" s="49" t="str">
        <f t="shared" si="234"/>
        <v/>
      </c>
      <c r="W225" s="38" t="str" cm="1">
        <f t="array" ref="W225">IF(Y211="", "", IF(AND(Y211&lt;=MIN(AF211:AO211),Z211&gt;=MAX(AF211:AO211)),"ACCEPT",IF(AND(AF211:AO211="OK"),"ACCEPT","REJECT")))</f>
        <v/>
      </c>
      <c r="X225" s="38" t="str">
        <f t="shared" si="226"/>
        <v/>
      </c>
      <c r="Y225" s="38" t="str">
        <f t="shared" si="227"/>
        <v/>
      </c>
      <c r="Z225" s="38" t="str">
        <f t="shared" si="228"/>
        <v/>
      </c>
      <c r="AA225" s="38">
        <f t="shared" si="229"/>
        <v>1</v>
      </c>
      <c r="AB225" s="38">
        <f t="shared" si="230"/>
        <v>0</v>
      </c>
      <c r="AC225" s="38">
        <f t="shared" si="231"/>
        <v>0</v>
      </c>
      <c r="AD225" s="38">
        <f t="shared" si="232"/>
        <v>0</v>
      </c>
      <c r="AE225" s="38" t="str">
        <f t="shared" si="233"/>
        <v>-</v>
      </c>
      <c r="AP225" s="22"/>
      <c r="AQ225" s="46"/>
      <c r="AR225" s="28"/>
      <c r="AS225" s="28"/>
      <c r="AT225" s="28"/>
      <c r="AU225" s="28"/>
      <c r="AV225" s="28"/>
      <c r="AW225" s="28"/>
      <c r="AX225" s="28"/>
      <c r="AY225" s="28"/>
      <c r="AZ225" s="28"/>
      <c r="BA225" s="28"/>
      <c r="BB225" s="28"/>
      <c r="BC225" s="28"/>
      <c r="BD225" s="28"/>
      <c r="BE225" s="28"/>
      <c r="BF225" s="28"/>
      <c r="BG225" s="28"/>
      <c r="BH225" s="28"/>
      <c r="BI225" s="28"/>
      <c r="BJ225" s="28"/>
      <c r="BK225" s="51"/>
      <c r="BL225" s="158" t="s">
        <v>102</v>
      </c>
      <c r="BM225" s="159"/>
      <c r="BN225" s="42" t="s">
        <v>103</v>
      </c>
      <c r="BO225" s="119"/>
      <c r="BP225" s="120"/>
      <c r="BQ225" s="121"/>
      <c r="BR225" s="160" t="s">
        <v>124</v>
      </c>
      <c r="BS225" s="161"/>
      <c r="BT225" s="164"/>
      <c r="BU225" s="165"/>
      <c r="BV225" s="165"/>
      <c r="BW225" s="165"/>
      <c r="BX225" s="166"/>
      <c r="BY225" s="122"/>
      <c r="BZ225" s="123"/>
      <c r="CA225" s="123"/>
      <c r="CB225" s="124"/>
      <c r="CC225" s="122"/>
      <c r="CD225" s="123"/>
      <c r="CE225" s="123"/>
      <c r="CF225" s="215"/>
    </row>
    <row r="226" spans="22:84" ht="14.4" customHeight="1" x14ac:dyDescent="0.3">
      <c r="V226" s="49" t="str">
        <f t="shared" si="234"/>
        <v/>
      </c>
      <c r="W226" s="38" t="str" cm="1">
        <f t="array" ref="W226">IF(Y212="", "", IF(AND(Y212&lt;=MIN(AF212:AO212),Z212&gt;=MAX(AF212:AO212)),"ACCEPT",IF(AND(AF212:AO212="OK"),"ACCEPT","REJECT")))</f>
        <v/>
      </c>
      <c r="X226" s="38" t="str">
        <f t="shared" si="226"/>
        <v/>
      </c>
      <c r="Y226" s="38" t="str">
        <f t="shared" si="227"/>
        <v/>
      </c>
      <c r="Z226" s="38" t="str">
        <f t="shared" si="228"/>
        <v/>
      </c>
      <c r="AA226" s="38">
        <f t="shared" si="229"/>
        <v>1</v>
      </c>
      <c r="AB226" s="38">
        <f t="shared" si="230"/>
        <v>0</v>
      </c>
      <c r="AC226" s="38">
        <f t="shared" si="231"/>
        <v>0</v>
      </c>
      <c r="AD226" s="38">
        <f t="shared" si="232"/>
        <v>0</v>
      </c>
      <c r="AE226" s="38" t="str">
        <f t="shared" si="233"/>
        <v>-</v>
      </c>
      <c r="AP226" s="22"/>
      <c r="AQ226" s="46"/>
      <c r="AR226" s="28"/>
      <c r="AS226" s="28"/>
      <c r="AT226" s="28"/>
      <c r="AU226" s="28"/>
      <c r="AV226" s="28"/>
      <c r="AW226" s="28"/>
      <c r="AX226" s="28"/>
      <c r="AY226" s="28"/>
      <c r="AZ226" s="28"/>
      <c r="BA226" s="28"/>
      <c r="BB226" s="28"/>
      <c r="BC226" s="28"/>
      <c r="BD226" s="28"/>
      <c r="BE226" s="28"/>
      <c r="BF226" s="28"/>
      <c r="BG226" s="28"/>
      <c r="BH226" s="28"/>
      <c r="BI226" s="28"/>
      <c r="BJ226" s="28"/>
      <c r="BK226" s="51"/>
      <c r="BL226" s="210" t="s">
        <v>105</v>
      </c>
      <c r="BM226" s="211"/>
      <c r="BN226" s="28" t="s">
        <v>101</v>
      </c>
      <c r="BO226" s="125"/>
      <c r="BP226" s="126"/>
      <c r="BQ226" s="127"/>
      <c r="BR226" s="162"/>
      <c r="BS226" s="163"/>
      <c r="BT226" s="167"/>
      <c r="BU226" s="168"/>
      <c r="BV226" s="168"/>
      <c r="BW226" s="168"/>
      <c r="BX226" s="169"/>
      <c r="BY226" s="122"/>
      <c r="BZ226" s="123"/>
      <c r="CA226" s="123"/>
      <c r="CB226" s="124"/>
      <c r="CC226" s="122"/>
      <c r="CD226" s="123"/>
      <c r="CE226" s="123"/>
      <c r="CF226" s="215"/>
    </row>
    <row r="227" spans="22:84" ht="14.4" customHeight="1" x14ac:dyDescent="0.3">
      <c r="V227" s="49" t="str">
        <f t="shared" si="234"/>
        <v/>
      </c>
      <c r="W227" s="38" t="str" cm="1">
        <f t="array" ref="W227">IF(Y213="", "", IF(AND(Y213&lt;=MIN(AF213:AO213),Z213&gt;=MAX(AF213:AO213)),"ACCEPT",IF(AND(AF213:AO213="OK"),"ACCEPT","REJECT")))</f>
        <v/>
      </c>
      <c r="X227" s="38" t="str">
        <f t="shared" si="226"/>
        <v/>
      </c>
      <c r="Y227" s="38" t="str">
        <f t="shared" si="227"/>
        <v/>
      </c>
      <c r="Z227" s="38" t="str">
        <f t="shared" si="228"/>
        <v/>
      </c>
      <c r="AA227" s="38">
        <f t="shared" si="229"/>
        <v>1</v>
      </c>
      <c r="AB227" s="38">
        <f t="shared" si="230"/>
        <v>0</v>
      </c>
      <c r="AC227" s="38">
        <f t="shared" si="231"/>
        <v>0</v>
      </c>
      <c r="AD227" s="38">
        <f t="shared" si="232"/>
        <v>0</v>
      </c>
      <c r="AE227" s="38" t="str">
        <f t="shared" si="233"/>
        <v>-</v>
      </c>
      <c r="AP227" s="22"/>
      <c r="AQ227" s="46"/>
      <c r="AR227" s="28"/>
      <c r="AS227" s="28"/>
      <c r="AT227" s="28"/>
      <c r="AU227" s="28"/>
      <c r="AV227" s="28"/>
      <c r="AW227" s="28"/>
      <c r="AX227" s="28"/>
      <c r="AY227" s="28"/>
      <c r="AZ227" s="28"/>
      <c r="BA227" s="28"/>
      <c r="BB227" s="28"/>
      <c r="BC227" s="28"/>
      <c r="BD227" s="28"/>
      <c r="BE227" s="28"/>
      <c r="BF227" s="28"/>
      <c r="BG227" s="28"/>
      <c r="BH227" s="28"/>
      <c r="BI227" s="28"/>
      <c r="BJ227" s="28"/>
      <c r="BK227" s="51"/>
      <c r="BL227" s="212" t="s">
        <v>106</v>
      </c>
      <c r="BM227" s="205"/>
      <c r="BN227" s="206"/>
      <c r="BO227" s="213" t="s">
        <v>107</v>
      </c>
      <c r="BP227" s="159"/>
      <c r="BQ227" s="43"/>
      <c r="BR227" s="220" t="s">
        <v>108</v>
      </c>
      <c r="BS227" s="44" t="s">
        <v>109</v>
      </c>
      <c r="BT227" s="45"/>
      <c r="BU227" s="220" t="s">
        <v>110</v>
      </c>
      <c r="BV227" s="119"/>
      <c r="BW227" s="120"/>
      <c r="BX227" s="121"/>
      <c r="BY227" s="122"/>
      <c r="BZ227" s="123"/>
      <c r="CA227" s="123"/>
      <c r="CB227" s="124"/>
      <c r="CC227" s="122"/>
      <c r="CD227" s="123"/>
      <c r="CE227" s="123"/>
      <c r="CF227" s="215"/>
    </row>
    <row r="228" spans="22:84" ht="14.4" customHeight="1" x14ac:dyDescent="0.3">
      <c r="V228" s="49" t="str">
        <f t="shared" si="234"/>
        <v/>
      </c>
      <c r="W228" s="38" t="str" cm="1">
        <f t="array" ref="W228">IF(Y214="", "", IF(AND(Y214&lt;=MIN(AF214:AO214),Z214&gt;=MAX(AF214:AO214)),"ACCEPT",IF(AND(AF214:AO214="OK"),"ACCEPT","REJECT")))</f>
        <v/>
      </c>
      <c r="X228" s="38" t="str">
        <f t="shared" si="226"/>
        <v/>
      </c>
      <c r="Y228" s="38" t="str">
        <f t="shared" si="227"/>
        <v/>
      </c>
      <c r="Z228" s="38" t="str">
        <f t="shared" si="228"/>
        <v/>
      </c>
      <c r="AA228" s="38">
        <f t="shared" si="229"/>
        <v>1</v>
      </c>
      <c r="AB228" s="38">
        <f t="shared" si="230"/>
        <v>0</v>
      </c>
      <c r="AC228" s="38">
        <f t="shared" si="231"/>
        <v>0</v>
      </c>
      <c r="AD228" s="38">
        <f t="shared" si="232"/>
        <v>0</v>
      </c>
      <c r="AE228" s="38" t="str">
        <f t="shared" si="233"/>
        <v>-</v>
      </c>
      <c r="AP228" s="22"/>
      <c r="AQ228" s="46"/>
      <c r="AR228" s="28"/>
      <c r="AS228" s="28"/>
      <c r="AT228" s="28"/>
      <c r="AU228" s="28"/>
      <c r="AV228" s="28"/>
      <c r="AW228" s="28"/>
      <c r="AX228" s="28"/>
      <c r="AY228" s="28"/>
      <c r="AZ228" s="28"/>
      <c r="BA228" s="28"/>
      <c r="BB228" s="28"/>
      <c r="BC228" s="28"/>
      <c r="BD228" s="28"/>
      <c r="BE228" s="28"/>
      <c r="BF228" s="28"/>
      <c r="BG228" s="28"/>
      <c r="BH228" s="28"/>
      <c r="BI228" s="28"/>
      <c r="BJ228" s="28"/>
      <c r="BK228" s="51"/>
      <c r="BL228" s="199"/>
      <c r="BM228" s="154"/>
      <c r="BN228" s="200"/>
      <c r="BO228" s="201"/>
      <c r="BP228" s="202"/>
      <c r="BQ228" s="203"/>
      <c r="BR228" s="221"/>
      <c r="BS228" s="44" t="s">
        <v>112</v>
      </c>
      <c r="BT228" s="45"/>
      <c r="BU228" s="221"/>
      <c r="BV228" s="125"/>
      <c r="BW228" s="126"/>
      <c r="BX228" s="127"/>
      <c r="BY228" s="122"/>
      <c r="BZ228" s="123"/>
      <c r="CA228" s="123"/>
      <c r="CB228" s="124"/>
      <c r="CC228" s="122"/>
      <c r="CD228" s="123"/>
      <c r="CE228" s="123"/>
      <c r="CF228" s="215"/>
    </row>
    <row r="229" spans="22:84" ht="14.4" customHeight="1" x14ac:dyDescent="0.3">
      <c r="V229" s="49" t="str">
        <f t="shared" si="234"/>
        <v/>
      </c>
      <c r="W229" s="38" t="str" cm="1">
        <f t="array" ref="W229">IF(Y215="", "", IF(AND(Y215&lt;=MIN(AF215:AO215),Z215&gt;=MAX(AF215:AO215)),"ACCEPT",IF(AND(AF215:AO215="OK"),"ACCEPT","REJECT")))</f>
        <v/>
      </c>
      <c r="X229" s="38" t="str">
        <f t="shared" si="226"/>
        <v/>
      </c>
      <c r="Y229" s="38" t="str">
        <f t="shared" si="227"/>
        <v/>
      </c>
      <c r="Z229" s="38" t="str">
        <f t="shared" si="228"/>
        <v/>
      </c>
      <c r="AA229" s="38">
        <f t="shared" si="229"/>
        <v>1</v>
      </c>
      <c r="AB229" s="38">
        <f t="shared" si="230"/>
        <v>0</v>
      </c>
      <c r="AC229" s="38">
        <f t="shared" si="231"/>
        <v>0</v>
      </c>
      <c r="AD229" s="38">
        <f t="shared" si="232"/>
        <v>0</v>
      </c>
      <c r="AE229" s="38" t="str">
        <f t="shared" si="233"/>
        <v>-</v>
      </c>
      <c r="AP229" s="22"/>
      <c r="AQ229" s="46"/>
      <c r="AR229" s="28"/>
      <c r="AS229" s="28"/>
      <c r="AT229" s="28"/>
      <c r="AU229" s="28"/>
      <c r="AV229" s="28"/>
      <c r="AW229" s="28"/>
      <c r="AX229" s="28"/>
      <c r="AY229" s="28"/>
      <c r="AZ229" s="28"/>
      <c r="BA229" s="28"/>
      <c r="BB229" s="28"/>
      <c r="BC229" s="28"/>
      <c r="BD229" s="28"/>
      <c r="BE229" s="28"/>
      <c r="BF229" s="28"/>
      <c r="BG229" s="28"/>
      <c r="BH229" s="28"/>
      <c r="BI229" s="28"/>
      <c r="BJ229" s="28"/>
      <c r="BK229" s="51"/>
      <c r="BL229" s="170"/>
      <c r="BM229" s="171"/>
      <c r="BN229" s="172"/>
      <c r="BO229" s="179"/>
      <c r="BP229" s="171"/>
      <c r="BQ229" s="172"/>
      <c r="BR229" s="179"/>
      <c r="BS229" s="171"/>
      <c r="BT229" s="171"/>
      <c r="BU229" s="171"/>
      <c r="BV229" s="171"/>
      <c r="BW229" s="171"/>
      <c r="BX229" s="172"/>
      <c r="BY229" s="122"/>
      <c r="BZ229" s="123"/>
      <c r="CA229" s="123"/>
      <c r="CB229" s="124"/>
      <c r="CC229" s="122"/>
      <c r="CD229" s="123"/>
      <c r="CE229" s="123"/>
      <c r="CF229" s="215"/>
    </row>
    <row r="230" spans="22:84" ht="14.4" customHeight="1" x14ac:dyDescent="0.3">
      <c r="V230" s="49" t="str">
        <f t="shared" si="234"/>
        <v/>
      </c>
      <c r="W230" s="38" t="str" cm="1">
        <f t="array" ref="W230">IF(Y216="", "", IF(AND(Y216&lt;=MIN(AF216:AO216),Z216&gt;=MAX(AF216:AO216)),"ACCEPT",IF(AND(AF216:AO216="OK"),"ACCEPT","REJECT")))</f>
        <v/>
      </c>
      <c r="X230" s="38" t="str">
        <f t="shared" si="226"/>
        <v/>
      </c>
      <c r="Y230" s="38" t="str">
        <f t="shared" si="227"/>
        <v/>
      </c>
      <c r="Z230" s="38" t="str">
        <f t="shared" si="228"/>
        <v/>
      </c>
      <c r="AA230" s="38">
        <f t="shared" si="229"/>
        <v>1</v>
      </c>
      <c r="AB230" s="38">
        <f t="shared" si="230"/>
        <v>0</v>
      </c>
      <c r="AC230" s="38">
        <f t="shared" si="231"/>
        <v>0</v>
      </c>
      <c r="AD230" s="38">
        <f t="shared" si="232"/>
        <v>0</v>
      </c>
      <c r="AE230" s="38" t="str">
        <f t="shared" si="233"/>
        <v>-</v>
      </c>
      <c r="AP230" s="22"/>
      <c r="AQ230" s="46"/>
      <c r="AR230" s="28"/>
      <c r="AS230" s="28"/>
      <c r="AT230" s="28"/>
      <c r="AU230" s="28"/>
      <c r="AV230" s="28"/>
      <c r="AW230" s="28"/>
      <c r="AX230" s="28"/>
      <c r="AY230" s="28"/>
      <c r="AZ230" s="28"/>
      <c r="BA230" s="28"/>
      <c r="BB230" s="28"/>
      <c r="BC230" s="28"/>
      <c r="BD230" s="28"/>
      <c r="BE230" s="28"/>
      <c r="BF230" s="28"/>
      <c r="BG230" s="28"/>
      <c r="BH230" s="28"/>
      <c r="BI230" s="28"/>
      <c r="BJ230" s="28"/>
      <c r="BK230" s="51"/>
      <c r="BL230" s="173"/>
      <c r="BM230" s="174"/>
      <c r="BN230" s="175"/>
      <c r="BO230" s="180"/>
      <c r="BP230" s="174"/>
      <c r="BQ230" s="175"/>
      <c r="BR230" s="180"/>
      <c r="BS230" s="174"/>
      <c r="BT230" s="174"/>
      <c r="BU230" s="174"/>
      <c r="BV230" s="174"/>
      <c r="BW230" s="174"/>
      <c r="BX230" s="175"/>
      <c r="BY230" s="122"/>
      <c r="BZ230" s="123"/>
      <c r="CA230" s="123"/>
      <c r="CB230" s="124"/>
      <c r="CC230" s="122"/>
      <c r="CD230" s="123"/>
      <c r="CE230" s="123"/>
      <c r="CF230" s="215"/>
    </row>
    <row r="231" spans="22:84" ht="14.4" customHeight="1" thickBot="1" x14ac:dyDescent="0.35">
      <c r="V231" s="49" t="str">
        <f t="shared" si="234"/>
        <v/>
      </c>
      <c r="W231" s="38" t="str" cm="1">
        <f t="array" ref="W231">IF(Y217="", "", IF(AND(Y217&lt;=MIN(AF217:AO217),Z217&gt;=MAX(AF217:AO217)),"ACCEPT",IF(AND(AF217:AO217="OK"),"ACCEPT","REJECT")))</f>
        <v/>
      </c>
      <c r="X231" s="38" t="str">
        <f t="shared" si="226"/>
        <v/>
      </c>
      <c r="Y231" s="38" t="str">
        <f t="shared" si="227"/>
        <v/>
      </c>
      <c r="Z231" s="38" t="str">
        <f t="shared" si="228"/>
        <v/>
      </c>
      <c r="AA231" s="38">
        <f t="shared" si="229"/>
        <v>1</v>
      </c>
      <c r="AB231" s="38">
        <f t="shared" si="230"/>
        <v>0</v>
      </c>
      <c r="AC231" s="38">
        <f t="shared" si="231"/>
        <v>0</v>
      </c>
      <c r="AD231" s="38">
        <f t="shared" si="232"/>
        <v>0</v>
      </c>
      <c r="AE231" s="38" t="str">
        <f t="shared" si="233"/>
        <v>-</v>
      </c>
      <c r="AP231" s="22"/>
      <c r="AQ231" s="358" t="s">
        <v>113</v>
      </c>
      <c r="AR231" s="145"/>
      <c r="AS231" s="145"/>
      <c r="AT231" s="145"/>
      <c r="AU231" s="145"/>
      <c r="AV231" s="145"/>
      <c r="AW231" s="145"/>
      <c r="AX231" s="145"/>
      <c r="AY231" s="285"/>
      <c r="AZ231" s="285"/>
      <c r="BA231" s="285"/>
      <c r="BB231" s="285"/>
      <c r="BC231" s="285"/>
      <c r="BD231" s="285"/>
      <c r="BE231" s="285"/>
      <c r="BF231" s="286"/>
      <c r="BK231" s="22"/>
      <c r="BL231" s="173"/>
      <c r="BM231" s="174"/>
      <c r="BN231" s="175"/>
      <c r="BO231" s="180"/>
      <c r="BP231" s="174"/>
      <c r="BQ231" s="175"/>
      <c r="BR231" s="180"/>
      <c r="BS231" s="174"/>
      <c r="BT231" s="174"/>
      <c r="BU231" s="174"/>
      <c r="BV231" s="174"/>
      <c r="BW231" s="174"/>
      <c r="BX231" s="175"/>
      <c r="BY231" s="122"/>
      <c r="BZ231" s="123"/>
      <c r="CA231" s="123"/>
      <c r="CB231" s="124"/>
      <c r="CC231" s="122"/>
      <c r="CD231" s="123"/>
      <c r="CE231" s="123"/>
      <c r="CF231" s="215"/>
    </row>
    <row r="232" spans="22:84" ht="14.4" customHeight="1" x14ac:dyDescent="0.3">
      <c r="V232" s="49" t="str">
        <f>IF(ISBLANK(V218),"",V218)</f>
        <v/>
      </c>
      <c r="W232" s="38" t="str" cm="1">
        <f t="array" ref="W232">IF(Y218="", "", IF(AND(Y218&lt;=MIN(AF218:AO218),Z218&gt;=MAX(AF218:AO218)),"ACCEPT",IF(AND(AF218:AO218="OK"),"ACCEPT","REJECT")))</f>
        <v/>
      </c>
      <c r="X232" s="38" t="str">
        <f t="shared" si="226"/>
        <v/>
      </c>
      <c r="Y232" s="38" t="str">
        <f t="shared" si="227"/>
        <v/>
      </c>
      <c r="Z232" s="38" t="str">
        <f t="shared" si="228"/>
        <v/>
      </c>
      <c r="AA232" s="38">
        <f t="shared" si="229"/>
        <v>1</v>
      </c>
      <c r="AB232" s="38">
        <f t="shared" si="230"/>
        <v>0</v>
      </c>
      <c r="AC232" s="38">
        <f t="shared" si="231"/>
        <v>0</v>
      </c>
      <c r="AD232" s="38">
        <f t="shared" si="232"/>
        <v>0</v>
      </c>
      <c r="AE232" s="38" t="str">
        <f t="shared" si="233"/>
        <v>-</v>
      </c>
      <c r="AP232" s="22"/>
      <c r="AQ232" s="52"/>
      <c r="AR232" s="53" t="s">
        <v>114</v>
      </c>
      <c r="AS232" s="53" t="s">
        <v>115</v>
      </c>
      <c r="AT232" s="53" t="s">
        <v>116</v>
      </c>
      <c r="AU232" s="53" t="s">
        <v>119</v>
      </c>
      <c r="AV232" s="53" t="s">
        <v>120</v>
      </c>
      <c r="AW232" s="53" t="s">
        <v>121</v>
      </c>
      <c r="AX232" s="54" t="s">
        <v>122</v>
      </c>
      <c r="AY232" s="52"/>
      <c r="AZ232" s="53" t="s">
        <v>114</v>
      </c>
      <c r="BA232" s="53" t="s">
        <v>115</v>
      </c>
      <c r="BB232" s="53" t="s">
        <v>116</v>
      </c>
      <c r="BC232" s="53" t="s">
        <v>119</v>
      </c>
      <c r="BD232" s="53" t="s">
        <v>120</v>
      </c>
      <c r="BE232" s="53" t="s">
        <v>121</v>
      </c>
      <c r="BF232" s="54" t="s">
        <v>122</v>
      </c>
      <c r="BK232" s="22"/>
      <c r="BL232" s="173"/>
      <c r="BM232" s="174"/>
      <c r="BN232" s="175"/>
      <c r="BO232" s="180"/>
      <c r="BP232" s="174"/>
      <c r="BQ232" s="175"/>
      <c r="BR232" s="180"/>
      <c r="BS232" s="174"/>
      <c r="BT232" s="174"/>
      <c r="BU232" s="174"/>
      <c r="BV232" s="174"/>
      <c r="BW232" s="174"/>
      <c r="BX232" s="175"/>
      <c r="BY232" s="122"/>
      <c r="BZ232" s="123"/>
      <c r="CA232" s="123"/>
      <c r="CB232" s="124"/>
      <c r="CC232" s="122"/>
      <c r="CD232" s="123"/>
      <c r="CE232" s="123"/>
      <c r="CF232" s="215"/>
    </row>
    <row r="233" spans="22:84" ht="14.4" customHeight="1" x14ac:dyDescent="0.3">
      <c r="V233" s="55"/>
      <c r="W233" s="56"/>
      <c r="X233" s="56"/>
      <c r="Y233" s="56"/>
      <c r="Z233" s="56"/>
      <c r="AP233" s="22"/>
      <c r="AQ233" s="49" t="str">
        <f>IF(ISBLANK(V207),"",V207)</f>
        <v/>
      </c>
      <c r="AR233" s="38" t="str" cm="1">
        <f t="array" ref="AR233">IF(AT206="", "", IF(AND(AT206&lt;=MIN(AZ206:BK206,AQ219:BK219),AU206&gt;=MAX(AZ206:BK206,AQ219:BK219)),"ACCEPT",IF(AND(AZ206:BK206,AQ219:BK219="OK"),"ACCEPT","REJECT")))</f>
        <v/>
      </c>
      <c r="AS233" s="38" t="str">
        <f t="shared" ref="AS233:AS238" si="235">IF(TRIM(AR233)="", "", MAX(AZ206:BK206,AQ219:BK219))</f>
        <v/>
      </c>
      <c r="AT233" s="38" t="str">
        <f>IF(TRIM(AR233)="", "", MIN(AZ206:BK206,AQ219:BK219))</f>
        <v/>
      </c>
      <c r="AU233" s="38">
        <f>IF(COUNT(AZ206:BK206,AQ219:BK219)=0,0,AVERAGE(AZ206:BK206,AQ219:BK219))</f>
        <v>0</v>
      </c>
      <c r="AV233" s="38">
        <f t="shared" ref="AV233:AV238" si="236">MAX(AZ206:BK206,AQ219:BK219)-MIN(AZ206:BK206,AQ219:BK219)</f>
        <v>0</v>
      </c>
      <c r="AW233" s="38">
        <f t="shared" ref="AW233:AW238" si="237">IF(COUNT(AZ206:BK206,AQ219:BK219)=0,0,_xlfn.STDEV.S(AZ206:BK206,AQ219:BK219))</f>
        <v>0</v>
      </c>
      <c r="AX233" s="57" t="str">
        <f>IF(AU233=0,"-",IF(AU233-AT206&lt;AU206-AU233,AU233-AT206,AU206-AU233)/(AW233*3))</f>
        <v>-</v>
      </c>
      <c r="AY233" s="49" t="str">
        <f>IF(ISBLANK(V213),"",V213)</f>
        <v/>
      </c>
      <c r="AZ233" s="38" t="str" cm="1">
        <f t="array" ref="AZ233">IF(AT212="", "", IF(AND(Y213&lt;=MIN(AZ212:BK212,AQ225:BK225),AU212&gt;=MAX(AZ212:BK212,AQ225:BK225)),"ACCEPT",IF(AND(AZ212:BK212,AQ225:BK225="OK"),"ACCEPT","REJECT")))</f>
        <v/>
      </c>
      <c r="BA233" s="38" t="str">
        <f>IF(TRIM(AZ233)="", "", MAX(AZ212:BK212,AQ225:BK225))</f>
        <v/>
      </c>
      <c r="BB233" s="38" t="str">
        <f t="shared" ref="BB233:BB238" si="238">IF(TRIM(AZ233)="", "", MIN(AZ212:BK212,AQ225:BK225))</f>
        <v/>
      </c>
      <c r="BC233" s="38">
        <f t="shared" ref="BC233:BC238" si="239">IF(COUNT(AZ212:BK212,AQ225:BK225)=0,0,AVERAGE(AZ212:BK212,AQ225:BK225))</f>
        <v>0</v>
      </c>
      <c r="BD233" s="38">
        <f t="shared" ref="BD233:BD238" si="240">MAX(AZ212:BK212,AQ225:BK225)-MIN(AZ212:BK212,AQ225:BK225)</f>
        <v>0</v>
      </c>
      <c r="BE233" s="38">
        <f t="shared" ref="BE233:BE238" si="241">IF(COUNT(AZ212:BK212,AQ225:BK225)=0,0,_xlfn.STDEV.S(AZ212:BK212,AQ225:BK225))</f>
        <v>0</v>
      </c>
      <c r="BF233" s="57" t="str">
        <f t="shared" ref="BF233:BF238" si="242">IF(BC233=0,"-",IF(BC233-AT212&lt;AU212-BC233,BC233-AT212,AU212-BC233)/(BE233*3))</f>
        <v>-</v>
      </c>
      <c r="BK233" s="22"/>
      <c r="BL233" s="173"/>
      <c r="BM233" s="174"/>
      <c r="BN233" s="175"/>
      <c r="BO233" s="180"/>
      <c r="BP233" s="174"/>
      <c r="BQ233" s="175"/>
      <c r="BR233" s="180"/>
      <c r="BS233" s="174"/>
      <c r="BT233" s="174"/>
      <c r="BU233" s="174"/>
      <c r="BV233" s="174"/>
      <c r="BW233" s="174"/>
      <c r="BX233" s="175"/>
      <c r="BY233" s="122"/>
      <c r="BZ233" s="123"/>
      <c r="CA233" s="123"/>
      <c r="CB233" s="124"/>
      <c r="CC233" s="122"/>
      <c r="CD233" s="123"/>
      <c r="CE233" s="123"/>
      <c r="CF233" s="215"/>
    </row>
    <row r="234" spans="22:84" ht="14.4" customHeight="1" x14ac:dyDescent="0.3">
      <c r="V234" s="58" t="s">
        <v>35</v>
      </c>
      <c r="W234" s="247"/>
      <c r="X234" s="248"/>
      <c r="Y234" s="277" t="s">
        <v>37</v>
      </c>
      <c r="Z234" s="278"/>
      <c r="AB234" s="253" t="s">
        <v>125</v>
      </c>
      <c r="AC234" s="171"/>
      <c r="AD234" s="171"/>
      <c r="AE234" s="172"/>
      <c r="AG234" s="249" t="s">
        <v>126</v>
      </c>
      <c r="AH234" s="250"/>
      <c r="AI234" s="249" t="s">
        <v>9</v>
      </c>
      <c r="AJ234" s="250"/>
      <c r="AL234" s="249" t="s">
        <v>126</v>
      </c>
      <c r="AM234" s="250"/>
      <c r="AN234" s="249" t="s">
        <v>9</v>
      </c>
      <c r="AO234" s="250"/>
      <c r="AP234" s="22"/>
      <c r="AQ234" s="49" t="str">
        <f t="shared" ref="AQ234:AQ238" si="243">IF(ISBLANK(V208),"",V208)</f>
        <v/>
      </c>
      <c r="AR234" s="38" t="str" cm="1">
        <f t="array" ref="AR234">IF(AT207="", "", IF(AND(AT207&lt;=MIN(AZ207:BK207,AQ220:BK220),AU207&gt;=MAX(AZ207:BK207,AQ220:BK220)),"ACCEPT",IF(AND(AZ207:BK207,AQ220:BK220="OK"),"ACCEPT","REJECT")))</f>
        <v/>
      </c>
      <c r="AS234" s="38" t="str">
        <f t="shared" si="235"/>
        <v/>
      </c>
      <c r="AT234" s="38" t="str">
        <f t="shared" ref="AT234:AT238" si="244">IF(TRIM(AR234)="", "", MIN(AZ207:BK207,AQ220:BK220))</f>
        <v/>
      </c>
      <c r="AU234" s="38">
        <f t="shared" ref="AU234:AU238" si="245">IF(COUNT(AZ207:BK207,AQ220:BK220)=0,0,AVERAGE(AZ207:BK207,AQ220:BK220))</f>
        <v>0</v>
      </c>
      <c r="AV234" s="38">
        <f t="shared" si="236"/>
        <v>0</v>
      </c>
      <c r="AW234" s="38">
        <f t="shared" si="237"/>
        <v>0</v>
      </c>
      <c r="AX234" s="57" t="str">
        <f>IF(AU234=0,"-",IF(AU234-AT207&lt;AU207-AU234,AU234-AT207,AU207-AU234)/(AW234*3))</f>
        <v>-</v>
      </c>
      <c r="AY234" s="49" t="str">
        <f t="shared" ref="AY234:AY238" si="246">IF(ISBLANK(V214),"",V214)</f>
        <v/>
      </c>
      <c r="AZ234" s="38" t="str" cm="1">
        <f t="array" ref="AZ234">IF(AT213="", "", IF(AND(Y214&lt;=MIN(AZ213:BK213,AQ226:BK226),AU213&gt;=MAX(AZ213:BK213,AQ226:BK226)),"ACCEPT",IF(AND(AZ213:BK213,AQ226:BK226="OK"),"ACCEPT","REJECT")))</f>
        <v/>
      </c>
      <c r="BA234" s="38" t="str">
        <f t="shared" ref="BA234:BA238" si="247">IF(TRIM(AZ234)="", "", MAX(AZ213:BK213,AQ226:BK226))</f>
        <v/>
      </c>
      <c r="BB234" s="38" t="str">
        <f t="shared" si="238"/>
        <v/>
      </c>
      <c r="BC234" s="38">
        <f t="shared" si="239"/>
        <v>0</v>
      </c>
      <c r="BD234" s="38">
        <f t="shared" si="240"/>
        <v>0</v>
      </c>
      <c r="BE234" s="38">
        <f t="shared" si="241"/>
        <v>0</v>
      </c>
      <c r="BF234" s="57" t="str">
        <f t="shared" si="242"/>
        <v>-</v>
      </c>
      <c r="BG234" s="61" t="s">
        <v>126</v>
      </c>
      <c r="BH234" s="60"/>
      <c r="BI234" s="59" t="s">
        <v>9</v>
      </c>
      <c r="BJ234" s="60"/>
      <c r="BK234" s="22"/>
      <c r="BL234" s="173"/>
      <c r="BM234" s="174"/>
      <c r="BN234" s="175"/>
      <c r="BO234" s="180"/>
      <c r="BP234" s="174"/>
      <c r="BQ234" s="175"/>
      <c r="BR234" s="180"/>
      <c r="BS234" s="174"/>
      <c r="BT234" s="174"/>
      <c r="BU234" s="174"/>
      <c r="BV234" s="174"/>
      <c r="BW234" s="174"/>
      <c r="BX234" s="175"/>
      <c r="BY234" s="122"/>
      <c r="BZ234" s="123"/>
      <c r="CA234" s="123"/>
      <c r="CB234" s="124"/>
      <c r="CC234" s="122"/>
      <c r="CD234" s="123"/>
      <c r="CE234" s="123"/>
      <c r="CF234" s="215"/>
    </row>
    <row r="235" spans="22:84" ht="14.4" customHeight="1" x14ac:dyDescent="0.3">
      <c r="V235" s="33"/>
      <c r="Y235" s="279"/>
      <c r="Z235" s="280"/>
      <c r="AB235" s="259"/>
      <c r="AC235" s="177"/>
      <c r="AD235" s="177"/>
      <c r="AE235" s="178"/>
      <c r="AG235" s="179"/>
      <c r="AH235" s="172"/>
      <c r="AI235" s="179"/>
      <c r="AJ235" s="172"/>
      <c r="AL235" s="179"/>
      <c r="AM235" s="172"/>
      <c r="AN235" s="179"/>
      <c r="AO235" s="172"/>
      <c r="AP235" s="22"/>
      <c r="AQ235" s="49" t="str">
        <f t="shared" si="243"/>
        <v/>
      </c>
      <c r="AR235" s="38" t="str" cm="1">
        <f t="array" ref="AR235">IF(AT208="", "", IF(AND(AT208&lt;=MIN(AZ208:BK208,AQ221:BK221),AU208&gt;=MAX(AZ208:BK208,AQ221:BK221)),"ACCEPT",IF(AND(AZ208:BK208,AQ221:BK221="OK"),"ACCEPT","REJECT")))</f>
        <v/>
      </c>
      <c r="AS235" s="38" t="str">
        <f t="shared" si="235"/>
        <v/>
      </c>
      <c r="AT235" s="38" t="str">
        <f t="shared" si="244"/>
        <v/>
      </c>
      <c r="AU235" s="38">
        <f t="shared" si="245"/>
        <v>0</v>
      </c>
      <c r="AV235" s="38">
        <f t="shared" si="236"/>
        <v>0</v>
      </c>
      <c r="AW235" s="38">
        <f t="shared" si="237"/>
        <v>0</v>
      </c>
      <c r="AX235" s="57" t="str">
        <f t="shared" ref="AX235" si="248">IF(AU235=0,"-",IF(AU235-AT208&lt;AU208-AU235,AU235-AT208,AU208-AU235)/(AW235*3))</f>
        <v>-</v>
      </c>
      <c r="AY235" s="49" t="str">
        <f t="shared" si="246"/>
        <v/>
      </c>
      <c r="AZ235" s="38" t="str" cm="1">
        <f t="array" ref="AZ235">IF(AT214="", "", IF(AND(Y215&lt;=MIN(AZ214:BK214,AQ227:BK227),AU214&gt;=MAX(AZ214:BK214,AQ227:BK227)),"ACCEPT",IF(AND(AZ214:BK214,AQ227:BK227="OK"),"ACCEPT","REJECT")))</f>
        <v/>
      </c>
      <c r="BA235" s="38" t="str">
        <f t="shared" si="247"/>
        <v/>
      </c>
      <c r="BB235" s="38" t="str">
        <f t="shared" si="238"/>
        <v/>
      </c>
      <c r="BC235" s="38">
        <f t="shared" si="239"/>
        <v>0</v>
      </c>
      <c r="BD235" s="38">
        <f t="shared" si="240"/>
        <v>0</v>
      </c>
      <c r="BE235" s="38">
        <f t="shared" si="241"/>
        <v>0</v>
      </c>
      <c r="BF235" s="57" t="str">
        <f t="shared" si="242"/>
        <v>-</v>
      </c>
      <c r="BG235" s="170"/>
      <c r="BH235" s="172"/>
      <c r="BI235" s="179"/>
      <c r="BJ235" s="172"/>
      <c r="BK235" s="22"/>
      <c r="BL235" s="173"/>
      <c r="BM235" s="174"/>
      <c r="BN235" s="175"/>
      <c r="BO235" s="180"/>
      <c r="BP235" s="174"/>
      <c r="BQ235" s="175"/>
      <c r="BR235" s="180"/>
      <c r="BS235" s="174"/>
      <c r="BT235" s="174"/>
      <c r="BU235" s="174"/>
      <c r="BV235" s="174"/>
      <c r="BW235" s="174"/>
      <c r="BX235" s="175"/>
      <c r="BY235" s="122"/>
      <c r="BZ235" s="123"/>
      <c r="CA235" s="123"/>
      <c r="CB235" s="124"/>
      <c r="CC235" s="122"/>
      <c r="CD235" s="123"/>
      <c r="CE235" s="123"/>
      <c r="CF235" s="215"/>
    </row>
    <row r="236" spans="22:84" ht="14.4" customHeight="1" x14ac:dyDescent="0.3">
      <c r="V236" s="33" t="s">
        <v>36</v>
      </c>
      <c r="W236" s="247"/>
      <c r="X236" s="248"/>
      <c r="Y236" s="281"/>
      <c r="Z236" s="282"/>
      <c r="AB236" s="273" t="s">
        <v>141</v>
      </c>
      <c r="AC236" s="48" t="s">
        <v>127</v>
      </c>
      <c r="AD236" s="276" t="s">
        <v>128</v>
      </c>
      <c r="AE236" s="276"/>
      <c r="AG236" s="180"/>
      <c r="AH236" s="175"/>
      <c r="AI236" s="180"/>
      <c r="AJ236" s="175"/>
      <c r="AL236" s="180"/>
      <c r="AM236" s="175"/>
      <c r="AN236" s="180"/>
      <c r="AO236" s="175"/>
      <c r="AP236" s="22"/>
      <c r="AQ236" s="49" t="str">
        <f t="shared" si="243"/>
        <v/>
      </c>
      <c r="AR236" s="38" t="str" cm="1">
        <f t="array" ref="AR236">IF(AT209="", "", IF(AND(AT209&lt;=MIN(AZ209:BK209,AQ222:BK222),AU209&gt;=MAX(AZ209:BK209,AQ222:BK222)),"ACCEPT",IF(AND(AZ209:BK209,AQ222:BK222="OK"),"ACCEPT","REJECT")))</f>
        <v/>
      </c>
      <c r="AS236" s="38" t="str">
        <f t="shared" si="235"/>
        <v/>
      </c>
      <c r="AT236" s="38" t="str">
        <f t="shared" si="244"/>
        <v/>
      </c>
      <c r="AU236" s="38">
        <f t="shared" si="245"/>
        <v>0</v>
      </c>
      <c r="AV236" s="38">
        <f t="shared" si="236"/>
        <v>0</v>
      </c>
      <c r="AW236" s="38">
        <f t="shared" si="237"/>
        <v>0</v>
      </c>
      <c r="AX236" s="57" t="str">
        <f>IF(AU236=0,"-",IF(AU236-AT209&lt;AU209-AU236,AU236-AT209,AU209-AU236)/(AW236*3))</f>
        <v>-</v>
      </c>
      <c r="AY236" s="49" t="str">
        <f t="shared" si="246"/>
        <v/>
      </c>
      <c r="AZ236" s="38" t="str" cm="1">
        <f t="array" ref="AZ236">IF(AT215="", "", IF(AND(Y216&lt;=MIN(AZ215:BK215,AQ228:BK228),AU215&gt;=MAX(AZ215:BK215,AQ228:BK228)),"ACCEPT",IF(AND(AZ215:BK215,AQ228:BK228="OK"),"ACCEPT","REJECT")))</f>
        <v/>
      </c>
      <c r="BA236" s="38" t="str">
        <f t="shared" si="247"/>
        <v/>
      </c>
      <c r="BB236" s="38" t="str">
        <f t="shared" si="238"/>
        <v/>
      </c>
      <c r="BC236" s="38">
        <f t="shared" si="239"/>
        <v>0</v>
      </c>
      <c r="BD236" s="38">
        <f t="shared" si="240"/>
        <v>0</v>
      </c>
      <c r="BE236" s="38">
        <f t="shared" si="241"/>
        <v>0</v>
      </c>
      <c r="BF236" s="57" t="str">
        <f t="shared" si="242"/>
        <v>-</v>
      </c>
      <c r="BG236" s="173"/>
      <c r="BH236" s="175"/>
      <c r="BI236" s="180"/>
      <c r="BJ236" s="175"/>
      <c r="BK236" s="22"/>
      <c r="BL236" s="173"/>
      <c r="BM236" s="174"/>
      <c r="BN236" s="175"/>
      <c r="BO236" s="180"/>
      <c r="BP236" s="174"/>
      <c r="BQ236" s="175"/>
      <c r="BR236" s="180"/>
      <c r="BS236" s="174"/>
      <c r="BT236" s="174"/>
      <c r="BU236" s="174"/>
      <c r="BV236" s="174"/>
      <c r="BW236" s="174"/>
      <c r="BX236" s="175"/>
      <c r="BY236" s="122"/>
      <c r="BZ236" s="123"/>
      <c r="CA236" s="123"/>
      <c r="CB236" s="124"/>
      <c r="CC236" s="122"/>
      <c r="CD236" s="123"/>
      <c r="CE236" s="123"/>
      <c r="CF236" s="215"/>
    </row>
    <row r="237" spans="22:84" ht="14.4" customHeight="1" x14ac:dyDescent="0.3">
      <c r="V237" s="33"/>
      <c r="Y237" s="283"/>
      <c r="Z237" s="284"/>
      <c r="AB237" s="274"/>
      <c r="AC237" s="48" t="s">
        <v>129</v>
      </c>
      <c r="AD237" s="276" t="s">
        <v>130</v>
      </c>
      <c r="AE237" s="276"/>
      <c r="AG237" s="181"/>
      <c r="AH237" s="178"/>
      <c r="AI237" s="181"/>
      <c r="AJ237" s="178"/>
      <c r="AL237" s="181"/>
      <c r="AM237" s="178"/>
      <c r="AN237" s="181"/>
      <c r="AO237" s="178"/>
      <c r="AP237" s="22"/>
      <c r="AQ237" s="49" t="str">
        <f t="shared" si="243"/>
        <v/>
      </c>
      <c r="AR237" s="38" t="str" cm="1">
        <f t="array" ref="AR237">IF(AT210="", "", IF(AND(AT210&lt;=MIN(AZ210:BK210,AQ223:BK223),AU210&gt;=MAX(AZ210:BK210,AQ223:BK223)),"ACCEPT",IF(AND(AZ210:BK210,AQ223:BK223="OK"),"ACCEPT","REJECT")))</f>
        <v/>
      </c>
      <c r="AS237" s="38" t="str">
        <f t="shared" si="235"/>
        <v/>
      </c>
      <c r="AT237" s="38" t="str">
        <f t="shared" si="244"/>
        <v/>
      </c>
      <c r="AU237" s="38">
        <f t="shared" si="245"/>
        <v>0</v>
      </c>
      <c r="AV237" s="38">
        <f t="shared" si="236"/>
        <v>0</v>
      </c>
      <c r="AW237" s="38">
        <f t="shared" si="237"/>
        <v>0</v>
      </c>
      <c r="AX237" s="57" t="str">
        <f>IF(AU237=0,"-",IF(AU237-AT210&lt;AU210-AU237,AU237-AT210,AU210-AU237)/(AW237*3))</f>
        <v>-</v>
      </c>
      <c r="AY237" s="49" t="str">
        <f t="shared" si="246"/>
        <v/>
      </c>
      <c r="AZ237" s="38" t="str" cm="1">
        <f t="array" ref="AZ237">IF(AT216="", "", IF(AND(Y217&lt;=MIN(AZ216:BK216,AQ229:BK229),AU216&gt;=MAX(AZ216:BK216,AQ229:BK229)),"ACCEPT",IF(AND(AZ216:BK216,AQ229:BK229="OK"),"ACCEPT","REJECT")))</f>
        <v/>
      </c>
      <c r="BA237" s="38" t="str">
        <f t="shared" si="247"/>
        <v/>
      </c>
      <c r="BB237" s="38" t="str">
        <f t="shared" si="238"/>
        <v/>
      </c>
      <c r="BC237" s="38">
        <f t="shared" si="239"/>
        <v>0</v>
      </c>
      <c r="BD237" s="38">
        <f t="shared" si="240"/>
        <v>0</v>
      </c>
      <c r="BE237" s="38">
        <f t="shared" si="241"/>
        <v>0</v>
      </c>
      <c r="BF237" s="57" t="str">
        <f t="shared" si="242"/>
        <v>-</v>
      </c>
      <c r="BG237" s="176"/>
      <c r="BH237" s="178"/>
      <c r="BI237" s="181"/>
      <c r="BJ237" s="178"/>
      <c r="BK237" s="22"/>
      <c r="BL237" s="173"/>
      <c r="BM237" s="174"/>
      <c r="BN237" s="175"/>
      <c r="BO237" s="180"/>
      <c r="BP237" s="174"/>
      <c r="BQ237" s="175"/>
      <c r="BR237" s="180"/>
      <c r="BS237" s="174"/>
      <c r="BT237" s="174"/>
      <c r="BU237" s="174"/>
      <c r="BV237" s="174"/>
      <c r="BW237" s="174"/>
      <c r="BX237" s="175"/>
      <c r="BY237" s="122"/>
      <c r="BZ237" s="123"/>
      <c r="CA237" s="123"/>
      <c r="CB237" s="124"/>
      <c r="CC237" s="125"/>
      <c r="CD237" s="126"/>
      <c r="CE237" s="126"/>
      <c r="CF237" s="216"/>
    </row>
    <row r="238" spans="22:84" ht="14.4" customHeight="1" thickBot="1" x14ac:dyDescent="0.35">
      <c r="V238" s="55"/>
      <c r="W238" s="56"/>
      <c r="X238" s="56"/>
      <c r="Y238" s="75" t="s">
        <v>48</v>
      </c>
      <c r="Z238" s="62"/>
      <c r="AB238" s="275"/>
      <c r="AC238" s="48" t="s">
        <v>131</v>
      </c>
      <c r="AD238" s="276" t="s">
        <v>132</v>
      </c>
      <c r="AE238" s="276"/>
      <c r="AG238" s="83" t="s">
        <v>48</v>
      </c>
      <c r="AH238" s="35"/>
      <c r="AI238" s="83" t="s">
        <v>48</v>
      </c>
      <c r="AJ238" s="35"/>
      <c r="AL238" s="83" t="s">
        <v>48</v>
      </c>
      <c r="AM238" s="35"/>
      <c r="AN238" s="83" t="s">
        <v>48</v>
      </c>
      <c r="AO238" s="35"/>
      <c r="AP238" s="22"/>
      <c r="AQ238" s="49" t="str">
        <f t="shared" si="243"/>
        <v/>
      </c>
      <c r="AR238" s="38" t="str" cm="1">
        <f t="array" ref="AR238">IF(AT211="", "", IF(AND(AT211&lt;=MIN(AZ211:BK211,AQ224:BK224),AU211&gt;=MAX(AZ211:BK211,AQ224:BK224)),"ACCEPT",IF(AND(AZ211:BK211,AQ224:BK224="OK"),"ACCEPT","REJECT")))</f>
        <v/>
      </c>
      <c r="AS238" s="38" t="str">
        <f t="shared" si="235"/>
        <v/>
      </c>
      <c r="AT238" s="38" t="str">
        <f t="shared" si="244"/>
        <v/>
      </c>
      <c r="AU238" s="38">
        <f t="shared" si="245"/>
        <v>0</v>
      </c>
      <c r="AV238" s="38">
        <f t="shared" si="236"/>
        <v>0</v>
      </c>
      <c r="AW238" s="38">
        <f t="shared" si="237"/>
        <v>0</v>
      </c>
      <c r="AX238" s="57" t="str">
        <f>IF(AU238=0,"-",IF(AU238-AT211&lt;AU211-AU238,AU238-AT211,AU211-AU238)/(AW238*3))</f>
        <v>-</v>
      </c>
      <c r="AY238" s="49" t="str">
        <f t="shared" si="246"/>
        <v/>
      </c>
      <c r="AZ238" s="38" t="str" cm="1">
        <f t="array" ref="AZ238">IF(AT217="", "", IF(AND(Y218&lt;=MIN(AZ217:BK217,AQ230:BK230),AU217&gt;=MAX(AZ217:BK217,AQ230:BK230)),"ACCEPT",IF(AND(AZ217:BK217,AQ230:BK230="OK"),"ACCEPT","REJECT")))</f>
        <v/>
      </c>
      <c r="BA238" s="38" t="str">
        <f t="shared" si="247"/>
        <v/>
      </c>
      <c r="BB238" s="63" t="str">
        <f t="shared" si="238"/>
        <v/>
      </c>
      <c r="BC238" s="63">
        <f t="shared" si="239"/>
        <v>0</v>
      </c>
      <c r="BD238" s="63">
        <f t="shared" si="240"/>
        <v>0</v>
      </c>
      <c r="BE238" s="63">
        <f t="shared" si="241"/>
        <v>0</v>
      </c>
      <c r="BF238" s="64" t="str">
        <f t="shared" si="242"/>
        <v>-</v>
      </c>
      <c r="BG238" s="61" t="s">
        <v>48</v>
      </c>
      <c r="BH238" s="35"/>
      <c r="BI238" s="59" t="s">
        <v>48</v>
      </c>
      <c r="BJ238" s="35"/>
      <c r="BK238" s="22"/>
      <c r="BL238" s="173"/>
      <c r="BM238" s="174"/>
      <c r="BN238" s="175"/>
      <c r="BO238" s="180"/>
      <c r="BP238" s="174"/>
      <c r="BQ238" s="175"/>
      <c r="BR238" s="180"/>
      <c r="BS238" s="174"/>
      <c r="BT238" s="174"/>
      <c r="BU238" s="174"/>
      <c r="BV238" s="174"/>
      <c r="BW238" s="174"/>
      <c r="BX238" s="175"/>
      <c r="BY238" s="122"/>
      <c r="BZ238" s="123"/>
      <c r="CA238" s="123"/>
      <c r="CB238" s="124"/>
      <c r="CC238" s="150" t="s">
        <v>123</v>
      </c>
      <c r="CD238" s="151"/>
      <c r="CE238" s="151"/>
      <c r="CF238" s="152"/>
    </row>
    <row r="239" spans="22:84" ht="14.4" customHeight="1" thickBot="1" x14ac:dyDescent="0.35">
      <c r="V239" s="55"/>
      <c r="W239" s="56"/>
      <c r="X239" s="56"/>
      <c r="Y239" s="56"/>
      <c r="Z239" s="56"/>
      <c r="AA239" s="56"/>
      <c r="AB239" s="56"/>
      <c r="AC239" s="56"/>
      <c r="AD239" s="56"/>
      <c r="AE239" s="56"/>
      <c r="AF239" s="56"/>
      <c r="AG239" s="56"/>
      <c r="AH239" s="56"/>
      <c r="AI239" s="56"/>
      <c r="AJ239" s="56"/>
      <c r="AK239" s="56"/>
      <c r="AL239" s="56"/>
      <c r="AM239" s="56"/>
      <c r="AN239" s="56"/>
      <c r="AO239" s="56"/>
      <c r="AP239" s="65"/>
      <c r="AQ239" s="55"/>
      <c r="AR239" s="66"/>
      <c r="AS239" s="56"/>
      <c r="AT239" s="56"/>
      <c r="AU239" s="56"/>
      <c r="AV239" s="56"/>
      <c r="AW239" s="56"/>
      <c r="AX239" s="56"/>
      <c r="AY239" s="56"/>
      <c r="AZ239" s="56"/>
      <c r="BA239" s="56"/>
      <c r="BB239" s="56"/>
      <c r="BC239" s="56"/>
      <c r="BD239" s="56"/>
      <c r="BE239" s="56"/>
      <c r="BF239" s="56"/>
      <c r="BG239" s="56"/>
      <c r="BH239" s="56"/>
      <c r="BI239" s="56"/>
      <c r="BJ239" s="56"/>
      <c r="BK239" s="65"/>
      <c r="BL239" s="176"/>
      <c r="BM239" s="177"/>
      <c r="BN239" s="178"/>
      <c r="BO239" s="181"/>
      <c r="BP239" s="177"/>
      <c r="BQ239" s="178"/>
      <c r="BR239" s="181"/>
      <c r="BS239" s="177"/>
      <c r="BT239" s="177"/>
      <c r="BU239" s="177"/>
      <c r="BV239" s="177"/>
      <c r="BW239" s="177"/>
      <c r="BX239" s="178"/>
      <c r="BY239" s="125"/>
      <c r="BZ239" s="126"/>
      <c r="CA239" s="126"/>
      <c r="CB239" s="127"/>
      <c r="CC239" s="153"/>
      <c r="CD239" s="154"/>
      <c r="CE239" s="154"/>
      <c r="CF239" s="155"/>
    </row>
    <row r="240" spans="22:84" ht="14.4" customHeight="1" thickBot="1" x14ac:dyDescent="0.35">
      <c r="V240" s="67"/>
      <c r="W240" s="68"/>
      <c r="X240" s="68"/>
      <c r="Y240" s="68"/>
      <c r="Z240" s="68"/>
      <c r="AA240" s="68"/>
      <c r="AB240" s="68"/>
      <c r="AC240" s="68"/>
      <c r="AD240" s="68"/>
      <c r="AE240" s="68"/>
      <c r="AF240" s="68"/>
      <c r="AG240" s="233" t="s">
        <v>140</v>
      </c>
      <c r="AH240" s="233"/>
      <c r="AI240" s="233"/>
      <c r="AJ240" s="234" t="s">
        <v>139</v>
      </c>
      <c r="AK240" s="234"/>
      <c r="AL240" s="234"/>
      <c r="AM240" s="234"/>
      <c r="AN240" s="234" t="s">
        <v>138</v>
      </c>
      <c r="AO240" s="234"/>
      <c r="AP240" s="235"/>
      <c r="AQ240" s="67"/>
      <c r="AR240" s="68"/>
      <c r="AS240" s="68"/>
      <c r="AT240" s="68"/>
      <c r="AU240" s="68"/>
      <c r="AV240" s="68"/>
      <c r="AW240" s="68"/>
      <c r="AX240" s="68"/>
      <c r="AY240" s="68"/>
      <c r="AZ240" s="68"/>
      <c r="BA240" s="68"/>
      <c r="BB240" s="233" t="s">
        <v>140</v>
      </c>
      <c r="BC240" s="233"/>
      <c r="BD240" s="233"/>
      <c r="BE240" s="234" t="s">
        <v>139</v>
      </c>
      <c r="BF240" s="234"/>
      <c r="BG240" s="234"/>
      <c r="BH240" s="234"/>
      <c r="BI240" s="234" t="s">
        <v>142</v>
      </c>
      <c r="BJ240" s="234"/>
      <c r="BK240" s="235"/>
      <c r="BL240" s="67"/>
      <c r="BM240" s="68"/>
      <c r="BN240" s="68"/>
      <c r="BO240" s="68"/>
      <c r="BP240" s="68"/>
      <c r="BQ240" s="68"/>
      <c r="BR240" s="68"/>
      <c r="BS240" s="68"/>
      <c r="BT240" s="68"/>
      <c r="BU240" s="68"/>
      <c r="BV240" s="68"/>
      <c r="BW240" s="68"/>
      <c r="BX240" s="68"/>
      <c r="BY240" s="68"/>
      <c r="BZ240" s="71" t="s">
        <v>133</v>
      </c>
      <c r="CA240" s="68"/>
      <c r="CB240" s="68"/>
      <c r="CC240" s="68"/>
      <c r="CD240" s="68"/>
      <c r="CE240" s="68"/>
      <c r="CF240" s="69"/>
    </row>
    <row r="241" spans="22:84" ht="14.4" customHeight="1" x14ac:dyDescent="0.3">
      <c r="V241" s="183" t="e" vm="1">
        <v>#VALUE!</v>
      </c>
      <c r="W241" s="184"/>
      <c r="X241" s="189" t="s">
        <v>1</v>
      </c>
      <c r="Y241" s="189"/>
      <c r="Z241" s="189"/>
      <c r="AA241" s="189"/>
      <c r="AB241" s="189"/>
      <c r="AC241" s="189"/>
      <c r="AD241" s="189"/>
      <c r="AE241" s="189"/>
      <c r="AF241" s="291" t="s">
        <v>2</v>
      </c>
      <c r="AG241" s="191"/>
      <c r="AH241" s="191"/>
      <c r="AI241" s="191"/>
      <c r="AJ241" s="191"/>
      <c r="AK241" s="191"/>
      <c r="AL241" s="191"/>
      <c r="AM241" s="191"/>
      <c r="AN241" s="191" t="e" vm="4">
        <v>#VALUE!</v>
      </c>
      <c r="AO241" s="191"/>
      <c r="AP241" s="192"/>
      <c r="AQ241" s="183" t="e" vm="1">
        <v>#VALUE!</v>
      </c>
      <c r="AR241" s="184"/>
      <c r="AS241" s="190" t="s">
        <v>1</v>
      </c>
      <c r="AT241" s="190"/>
      <c r="AU241" s="190"/>
      <c r="AV241" s="190"/>
      <c r="AW241" s="190"/>
      <c r="AX241" s="190"/>
      <c r="AY241" s="190"/>
      <c r="AZ241" s="190"/>
      <c r="BA241" s="190" t="s">
        <v>3</v>
      </c>
      <c r="BB241" s="190"/>
      <c r="BC241" s="190"/>
      <c r="BD241" s="190"/>
      <c r="BE241" s="190"/>
      <c r="BF241" s="190"/>
      <c r="BG241" s="190"/>
      <c r="BH241" s="190"/>
      <c r="BI241" s="191" t="e" vm="4">
        <v>#VALUE!</v>
      </c>
      <c r="BJ241" s="191"/>
      <c r="BK241" s="192"/>
      <c r="BL241" s="183" t="e" vm="1">
        <v>#VALUE!</v>
      </c>
      <c r="BM241" s="184"/>
      <c r="BN241" s="189" t="s">
        <v>1</v>
      </c>
      <c r="BO241" s="189"/>
      <c r="BP241" s="189"/>
      <c r="BQ241" s="189"/>
      <c r="BR241" s="189"/>
      <c r="BS241" s="189"/>
      <c r="BT241" s="189"/>
      <c r="BU241" s="189"/>
      <c r="BV241" s="189" t="s">
        <v>4</v>
      </c>
      <c r="BW241" s="189"/>
      <c r="BX241" s="189"/>
      <c r="BY241" s="189"/>
      <c r="BZ241" s="189"/>
      <c r="CA241" s="189"/>
      <c r="CB241" s="189"/>
      <c r="CC241" s="189"/>
      <c r="CD241" s="191" t="e" vm="3">
        <v>#VALUE!</v>
      </c>
      <c r="CE241" s="191"/>
      <c r="CF241" s="192"/>
    </row>
    <row r="242" spans="22:84" ht="14.4" customHeight="1" x14ac:dyDescent="0.3">
      <c r="V242" s="185"/>
      <c r="W242" s="186"/>
      <c r="X242" s="190"/>
      <c r="Y242" s="190"/>
      <c r="Z242" s="190"/>
      <c r="AA242" s="190"/>
      <c r="AB242" s="190"/>
      <c r="AC242" s="190"/>
      <c r="AD242" s="190"/>
      <c r="AE242" s="190"/>
      <c r="AF242" s="293"/>
      <c r="AG242" s="193"/>
      <c r="AH242" s="193"/>
      <c r="AI242" s="193"/>
      <c r="AJ242" s="193"/>
      <c r="AK242" s="193"/>
      <c r="AL242" s="193"/>
      <c r="AM242" s="193"/>
      <c r="AN242" s="193"/>
      <c r="AO242" s="193"/>
      <c r="AP242" s="194"/>
      <c r="AQ242" s="185"/>
      <c r="AR242" s="186"/>
      <c r="AS242" s="190"/>
      <c r="AT242" s="190"/>
      <c r="AU242" s="190"/>
      <c r="AV242" s="190"/>
      <c r="AW242" s="190"/>
      <c r="AX242" s="190"/>
      <c r="AY242" s="190"/>
      <c r="AZ242" s="190"/>
      <c r="BA242" s="190"/>
      <c r="BB242" s="190"/>
      <c r="BC242" s="190"/>
      <c r="BD242" s="190"/>
      <c r="BE242" s="190"/>
      <c r="BF242" s="190"/>
      <c r="BG242" s="190"/>
      <c r="BH242" s="190"/>
      <c r="BI242" s="193"/>
      <c r="BJ242" s="193"/>
      <c r="BK242" s="194"/>
      <c r="BL242" s="185"/>
      <c r="BM242" s="186"/>
      <c r="BN242" s="190"/>
      <c r="BO242" s="190"/>
      <c r="BP242" s="190"/>
      <c r="BQ242" s="190"/>
      <c r="BR242" s="190"/>
      <c r="BS242" s="190"/>
      <c r="BT242" s="190"/>
      <c r="BU242" s="190"/>
      <c r="BV242" s="190"/>
      <c r="BW242" s="190"/>
      <c r="BX242" s="190"/>
      <c r="BY242" s="190"/>
      <c r="BZ242" s="190"/>
      <c r="CA242" s="190"/>
      <c r="CB242" s="190"/>
      <c r="CC242" s="190"/>
      <c r="CD242" s="193"/>
      <c r="CE242" s="193"/>
      <c r="CF242" s="194"/>
    </row>
    <row r="243" spans="22:84" ht="14.4" customHeight="1" x14ac:dyDescent="0.3">
      <c r="V243" s="187"/>
      <c r="W243" s="188"/>
      <c r="X243" s="190"/>
      <c r="Y243" s="190"/>
      <c r="Z243" s="190"/>
      <c r="AA243" s="190"/>
      <c r="AB243" s="190"/>
      <c r="AC243" s="190"/>
      <c r="AD243" s="190"/>
      <c r="AE243" s="190"/>
      <c r="AF243" s="295"/>
      <c r="AG243" s="195"/>
      <c r="AH243" s="195"/>
      <c r="AI243" s="195"/>
      <c r="AJ243" s="195"/>
      <c r="AK243" s="195"/>
      <c r="AL243" s="195"/>
      <c r="AM243" s="195"/>
      <c r="AN243" s="193"/>
      <c r="AO243" s="193"/>
      <c r="AP243" s="194"/>
      <c r="AQ243" s="187"/>
      <c r="AR243" s="188"/>
      <c r="AS243" s="190"/>
      <c r="AT243" s="190"/>
      <c r="AU243" s="190"/>
      <c r="AV243" s="190"/>
      <c r="AW243" s="190"/>
      <c r="AX243" s="190"/>
      <c r="AY243" s="190"/>
      <c r="AZ243" s="190"/>
      <c r="BA243" s="190"/>
      <c r="BB243" s="190"/>
      <c r="BC243" s="190"/>
      <c r="BD243" s="190"/>
      <c r="BE243" s="190"/>
      <c r="BF243" s="190"/>
      <c r="BG243" s="190"/>
      <c r="BH243" s="190"/>
      <c r="BI243" s="195"/>
      <c r="BJ243" s="195"/>
      <c r="BK243" s="196"/>
      <c r="BL243" s="187"/>
      <c r="BM243" s="188"/>
      <c r="BN243" s="190"/>
      <c r="BO243" s="190"/>
      <c r="BP243" s="190"/>
      <c r="BQ243" s="190"/>
      <c r="BR243" s="190"/>
      <c r="BS243" s="190"/>
      <c r="BT243" s="190"/>
      <c r="BU243" s="190"/>
      <c r="BV243" s="190"/>
      <c r="BW243" s="190"/>
      <c r="BX243" s="190"/>
      <c r="BY243" s="190"/>
      <c r="BZ243" s="190"/>
      <c r="CA243" s="190"/>
      <c r="CB243" s="190"/>
      <c r="CC243" s="190"/>
      <c r="CD243" s="195"/>
      <c r="CE243" s="195"/>
      <c r="CF243" s="196"/>
    </row>
    <row r="244" spans="22:84" ht="14.4" customHeight="1" x14ac:dyDescent="0.3">
      <c r="V244" s="107" t="s">
        <v>7</v>
      </c>
      <c r="W244" s="106"/>
      <c r="X244" s="182" t="str">
        <f>IF(ISBLANK($C$4),"",$C$4)</f>
        <v/>
      </c>
      <c r="Y244" s="182"/>
      <c r="Z244" s="182"/>
      <c r="AA244" s="182"/>
      <c r="AB244" s="182"/>
      <c r="AC244" s="105" t="s">
        <v>8</v>
      </c>
      <c r="AD244" s="112"/>
      <c r="AE244" s="106"/>
      <c r="AF244" s="105" t="s">
        <v>9</v>
      </c>
      <c r="AG244" s="112"/>
      <c r="AH244" s="106"/>
      <c r="AI244" s="105" t="s">
        <v>10</v>
      </c>
      <c r="AJ244" s="112"/>
      <c r="AK244" s="106"/>
      <c r="AL244" s="113" t="s">
        <v>11</v>
      </c>
      <c r="AM244" s="117"/>
      <c r="AN244" s="113" t="str">
        <f>IF(ISBLANK($S$4),"",$S$4)</f>
        <v/>
      </c>
      <c r="AO244" s="117"/>
      <c r="AP244" s="114"/>
      <c r="AQ244" s="112" t="s">
        <v>7</v>
      </c>
      <c r="AR244" s="106"/>
      <c r="AS244" s="182" t="str">
        <f>IF(ISBLANK($C$4),"",$C$4)</f>
        <v/>
      </c>
      <c r="AT244" s="182"/>
      <c r="AU244" s="182"/>
      <c r="AV244" s="182"/>
      <c r="AW244" s="182"/>
      <c r="AX244" s="108" t="s">
        <v>8</v>
      </c>
      <c r="AY244" s="109"/>
      <c r="AZ244" s="110"/>
      <c r="BA244" s="108" t="s">
        <v>9</v>
      </c>
      <c r="BB244" s="109"/>
      <c r="BC244" s="110"/>
      <c r="BD244" s="108" t="s">
        <v>10</v>
      </c>
      <c r="BE244" s="109"/>
      <c r="BF244" s="110"/>
      <c r="BG244" s="113" t="s">
        <v>11</v>
      </c>
      <c r="BH244" s="114"/>
      <c r="BI244" s="113" t="str">
        <f>IF(ISBLANK($S$4),"",$S$4)</f>
        <v/>
      </c>
      <c r="BJ244" s="117"/>
      <c r="BK244" s="114"/>
      <c r="BL244" s="112" t="s">
        <v>7</v>
      </c>
      <c r="BM244" s="106"/>
      <c r="BN244" s="182" t="str">
        <f>IF(ISBLANK($C$4),"",$C$4)</f>
        <v/>
      </c>
      <c r="BO244" s="182"/>
      <c r="BP244" s="182"/>
      <c r="BQ244" s="182"/>
      <c r="BR244" s="182"/>
      <c r="BS244" s="108" t="s">
        <v>8</v>
      </c>
      <c r="BT244" s="109"/>
      <c r="BU244" s="110"/>
      <c r="BV244" s="108" t="s">
        <v>9</v>
      </c>
      <c r="BW244" s="109"/>
      <c r="BX244" s="110"/>
      <c r="BY244" s="108" t="s">
        <v>10</v>
      </c>
      <c r="BZ244" s="109"/>
      <c r="CA244" s="110"/>
      <c r="CB244" s="113" t="s">
        <v>11</v>
      </c>
      <c r="CC244" s="114"/>
      <c r="CD244" s="113" t="str">
        <f>IF(ISBLANK($S$4),"",$S$4)</f>
        <v/>
      </c>
      <c r="CE244" s="117"/>
      <c r="CF244" s="114"/>
    </row>
    <row r="245" spans="22:84" ht="14.4" customHeight="1" x14ac:dyDescent="0.3">
      <c r="V245" s="107" t="s">
        <v>12</v>
      </c>
      <c r="W245" s="106"/>
      <c r="X245" s="182" t="str">
        <f>IF(ISBLANK($C$5),"",$C$5)</f>
        <v/>
      </c>
      <c r="Y245" s="182"/>
      <c r="Z245" s="182"/>
      <c r="AA245" s="182"/>
      <c r="AB245" s="182"/>
      <c r="AC245" s="105" t="s">
        <v>13</v>
      </c>
      <c r="AD245" s="112"/>
      <c r="AE245" s="106"/>
      <c r="AF245" s="105" t="s">
        <v>14</v>
      </c>
      <c r="AG245" s="112"/>
      <c r="AH245" s="106"/>
      <c r="AI245" s="105" t="s">
        <v>15</v>
      </c>
      <c r="AJ245" s="112"/>
      <c r="AK245" s="106"/>
      <c r="AL245" s="115"/>
      <c r="AM245" s="118"/>
      <c r="AN245" s="115" t="str">
        <f>IF(ISBLANK($S$5),"",$S$5)</f>
        <v/>
      </c>
      <c r="AO245" s="118"/>
      <c r="AP245" s="116"/>
      <c r="AQ245" s="112" t="s">
        <v>12</v>
      </c>
      <c r="AR245" s="106"/>
      <c r="AS245" s="182" t="str">
        <f>IF(ISBLANK($C$5),"",$C$5)</f>
        <v/>
      </c>
      <c r="AT245" s="182"/>
      <c r="AU245" s="182"/>
      <c r="AV245" s="182"/>
      <c r="AW245" s="182"/>
      <c r="AX245" s="108" t="s">
        <v>13</v>
      </c>
      <c r="AY245" s="109"/>
      <c r="AZ245" s="110"/>
      <c r="BA245" s="108" t="s">
        <v>14</v>
      </c>
      <c r="BB245" s="109"/>
      <c r="BC245" s="110"/>
      <c r="BD245" s="108" t="s">
        <v>15</v>
      </c>
      <c r="BE245" s="109"/>
      <c r="BF245" s="110"/>
      <c r="BG245" s="115"/>
      <c r="BH245" s="116"/>
      <c r="BI245" s="115" t="str">
        <f>IF(ISBLANK($S$5),"",$S$5)</f>
        <v/>
      </c>
      <c r="BJ245" s="118"/>
      <c r="BK245" s="116"/>
      <c r="BL245" s="112" t="s">
        <v>12</v>
      </c>
      <c r="BM245" s="106"/>
      <c r="BN245" s="182" t="str">
        <f>IF(ISBLANK($C$5),"",$C$5)</f>
        <v/>
      </c>
      <c r="BO245" s="182"/>
      <c r="BP245" s="182"/>
      <c r="BQ245" s="182"/>
      <c r="BR245" s="182"/>
      <c r="BS245" s="108" t="s">
        <v>143</v>
      </c>
      <c r="BT245" s="109"/>
      <c r="BU245" s="110"/>
      <c r="BV245" s="108" t="s">
        <v>144</v>
      </c>
      <c r="BW245" s="109"/>
      <c r="BX245" s="110"/>
      <c r="BY245" s="108" t="s">
        <v>15</v>
      </c>
      <c r="BZ245" s="109"/>
      <c r="CA245" s="110"/>
      <c r="CB245" s="115"/>
      <c r="CC245" s="116"/>
      <c r="CD245" s="115" t="str">
        <f>IF(ISBLANK($S$5),"",$S$5)</f>
        <v/>
      </c>
      <c r="CE245" s="118"/>
      <c r="CF245" s="116"/>
    </row>
    <row r="246" spans="22:84" ht="14.4" customHeight="1" x14ac:dyDescent="0.3">
      <c r="V246" s="107" t="s">
        <v>42</v>
      </c>
      <c r="W246" s="106"/>
      <c r="X246" s="182" t="str">
        <f>IF(ISBLANK($C$6),"",$C$6)</f>
        <v/>
      </c>
      <c r="Y246" s="182"/>
      <c r="Z246" s="182"/>
      <c r="AA246" s="182"/>
      <c r="AB246" s="182"/>
      <c r="AC246" s="253"/>
      <c r="AD246" s="254"/>
      <c r="AE246" s="255"/>
      <c r="AF246" s="253"/>
      <c r="AG246" s="254"/>
      <c r="AH246" s="255"/>
      <c r="AI246" s="253"/>
      <c r="AJ246" s="254"/>
      <c r="AK246" s="255"/>
      <c r="AL246" s="105" t="s">
        <v>43</v>
      </c>
      <c r="AM246" s="106"/>
      <c r="AN246" s="115" t="str">
        <f>IF(ISBLANK($S$6),"",$S$6)</f>
        <v/>
      </c>
      <c r="AO246" s="118"/>
      <c r="AP246" s="252"/>
      <c r="AQ246" s="107" t="s">
        <v>42</v>
      </c>
      <c r="AR246" s="106"/>
      <c r="AS246" s="182" t="str">
        <f>IF(ISBLANK($C$6),"",$C$6)</f>
        <v/>
      </c>
      <c r="AT246" s="182"/>
      <c r="AU246" s="182"/>
      <c r="AV246" s="182"/>
      <c r="AW246" s="182"/>
      <c r="AX246" s="253"/>
      <c r="AY246" s="254"/>
      <c r="AZ246" s="255"/>
      <c r="BA246" s="253"/>
      <c r="BB246" s="254"/>
      <c r="BC246" s="255"/>
      <c r="BD246" s="253"/>
      <c r="BE246" s="254"/>
      <c r="BF246" s="255"/>
      <c r="BG246" s="105" t="s">
        <v>43</v>
      </c>
      <c r="BH246" s="106"/>
      <c r="BI246" s="115" t="str">
        <f>IF(ISBLANK($S$6),"",$S$6)</f>
        <v/>
      </c>
      <c r="BJ246" s="118"/>
      <c r="BK246" s="252"/>
      <c r="BL246" s="107" t="s">
        <v>42</v>
      </c>
      <c r="BM246" s="106"/>
      <c r="BN246" s="182" t="str">
        <f>IF(ISBLANK($C$6),"",$C$6)</f>
        <v/>
      </c>
      <c r="BO246" s="182"/>
      <c r="BP246" s="182"/>
      <c r="BQ246" s="182"/>
      <c r="BR246" s="182"/>
      <c r="BS246" s="141"/>
      <c r="BT246" s="142"/>
      <c r="BU246" s="143"/>
      <c r="BV246" s="141"/>
      <c r="BW246" s="142"/>
      <c r="BX246" s="143"/>
      <c r="BY246" s="141"/>
      <c r="BZ246" s="142"/>
      <c r="CA246" s="143"/>
      <c r="CB246" s="105" t="s">
        <v>43</v>
      </c>
      <c r="CC246" s="106"/>
      <c r="CD246" s="115" t="str">
        <f>IF(ISBLANK($S$6),"",$S$6)</f>
        <v/>
      </c>
      <c r="CE246" s="118"/>
      <c r="CF246" s="252"/>
    </row>
    <row r="247" spans="22:84" ht="14.4" customHeight="1" x14ac:dyDescent="0.3">
      <c r="V247" s="107" t="s">
        <v>16</v>
      </c>
      <c r="W247" s="106"/>
      <c r="X247" s="182" t="str">
        <f>IF(ISBLANK($C$7),"",$C$7)</f>
        <v/>
      </c>
      <c r="Y247" s="182"/>
      <c r="Z247" s="182"/>
      <c r="AA247" s="182"/>
      <c r="AB247" s="182"/>
      <c r="AC247" s="256"/>
      <c r="AD247" s="257"/>
      <c r="AE247" s="258"/>
      <c r="AF247" s="256"/>
      <c r="AG247" s="257"/>
      <c r="AH247" s="258"/>
      <c r="AI247" s="256"/>
      <c r="AJ247" s="257"/>
      <c r="AK247" s="258"/>
      <c r="AL247" s="105" t="s">
        <v>44</v>
      </c>
      <c r="AM247" s="106"/>
      <c r="AN247" s="313" t="str">
        <f>IF(AJ249&lt;&gt;"", AJ249+7, "")</f>
        <v/>
      </c>
      <c r="AO247" s="314"/>
      <c r="AP247" s="315"/>
      <c r="AQ247" s="107" t="s">
        <v>16</v>
      </c>
      <c r="AR247" s="106"/>
      <c r="AS247" s="182" t="str">
        <f>IF(ISBLANK($C$7),"",$C$7)</f>
        <v/>
      </c>
      <c r="AT247" s="182"/>
      <c r="AU247" s="182"/>
      <c r="AV247" s="182"/>
      <c r="AW247" s="182"/>
      <c r="AX247" s="256"/>
      <c r="AY247" s="257"/>
      <c r="AZ247" s="258"/>
      <c r="BA247" s="256"/>
      <c r="BB247" s="257"/>
      <c r="BC247" s="258"/>
      <c r="BD247" s="256"/>
      <c r="BE247" s="257"/>
      <c r="BF247" s="258"/>
      <c r="BG247" s="105" t="s">
        <v>44</v>
      </c>
      <c r="BH247" s="106"/>
      <c r="BI247" s="313" t="str">
        <f>IF(BE249&lt;&gt;"", BE249+7, "")</f>
        <v/>
      </c>
      <c r="BJ247" s="314"/>
      <c r="BK247" s="315"/>
      <c r="BL247" s="107" t="s">
        <v>16</v>
      </c>
      <c r="BM247" s="106"/>
      <c r="BN247" s="182" t="str">
        <f>IF(ISBLANK($C$7),"",$C$7)</f>
        <v/>
      </c>
      <c r="BO247" s="182"/>
      <c r="BP247" s="182"/>
      <c r="BQ247" s="182"/>
      <c r="BR247" s="182"/>
      <c r="BS247" s="144"/>
      <c r="BT247" s="145"/>
      <c r="BU247" s="146"/>
      <c r="BV247" s="144"/>
      <c r="BW247" s="145"/>
      <c r="BX247" s="146"/>
      <c r="BY247" s="144"/>
      <c r="BZ247" s="145"/>
      <c r="CA247" s="146"/>
      <c r="CB247" s="105" t="s">
        <v>44</v>
      </c>
      <c r="CC247" s="106"/>
      <c r="CD247" s="105" t="str">
        <f>IF(ISBLANK($S$7),"",$S$7)</f>
        <v/>
      </c>
      <c r="CE247" s="112"/>
      <c r="CF247" s="311"/>
    </row>
    <row r="248" spans="22:84" ht="14.4" customHeight="1" x14ac:dyDescent="0.3">
      <c r="V248" s="107" t="s">
        <v>17</v>
      </c>
      <c r="W248" s="106"/>
      <c r="X248" s="182" t="str">
        <f>IF(ISBLANK($C$8),"",$C$8)</f>
        <v/>
      </c>
      <c r="Y248" s="182"/>
      <c r="Z248" s="182"/>
      <c r="AA248" s="182"/>
      <c r="AB248" s="182"/>
      <c r="AC248" s="259"/>
      <c r="AD248" s="257"/>
      <c r="AE248" s="260"/>
      <c r="AF248" s="259"/>
      <c r="AG248" s="261"/>
      <c r="AH248" s="260"/>
      <c r="AI248" s="259"/>
      <c r="AJ248" s="261"/>
      <c r="AK248" s="260"/>
      <c r="AL248" s="105" t="s">
        <v>46</v>
      </c>
      <c r="AM248" s="106"/>
      <c r="AN248" s="78">
        <v>6</v>
      </c>
      <c r="AO248" s="78" t="s">
        <v>47</v>
      </c>
      <c r="AP248" s="82">
        <f>COUNTA(V15,V63,V111,V159,V207,V255,V303,V351,V399,V447)</f>
        <v>0</v>
      </c>
      <c r="AQ248" s="107" t="s">
        <v>17</v>
      </c>
      <c r="AR248" s="106"/>
      <c r="AS248" s="182" t="str">
        <f>IF(ISBLANK($C$8),"",$C$8)</f>
        <v/>
      </c>
      <c r="AT248" s="182"/>
      <c r="AU248" s="182"/>
      <c r="AV248" s="182"/>
      <c r="AW248" s="182"/>
      <c r="AX248" s="259"/>
      <c r="AY248" s="257"/>
      <c r="AZ248" s="260"/>
      <c r="BA248" s="259"/>
      <c r="BB248" s="261"/>
      <c r="BC248" s="260"/>
      <c r="BD248" s="259"/>
      <c r="BE248" s="261"/>
      <c r="BF248" s="260"/>
      <c r="BG248" s="105" t="s">
        <v>46</v>
      </c>
      <c r="BH248" s="106"/>
      <c r="BI248" s="78">
        <v>6</v>
      </c>
      <c r="BJ248" s="78" t="s">
        <v>47</v>
      </c>
      <c r="BK248" s="82">
        <f>IF(ISBLANK(AP8),"",AP8)</f>
        <v>0</v>
      </c>
      <c r="BL248" s="107" t="s">
        <v>17</v>
      </c>
      <c r="BM248" s="106"/>
      <c r="BN248" s="182" t="str">
        <f>IF(ISBLANK($C$8),"",$C$8)</f>
        <v/>
      </c>
      <c r="BO248" s="182"/>
      <c r="BP248" s="182"/>
      <c r="BQ248" s="182"/>
      <c r="BR248" s="182"/>
      <c r="BS248" s="147"/>
      <c r="BT248" s="148"/>
      <c r="BU248" s="149"/>
      <c r="BV248" s="147"/>
      <c r="BW248" s="148"/>
      <c r="BX248" s="149"/>
      <c r="BY248" s="147"/>
      <c r="BZ248" s="148"/>
      <c r="CA248" s="149"/>
      <c r="CB248" s="18" t="s">
        <v>46</v>
      </c>
      <c r="CC248" s="11"/>
      <c r="CD248" s="14">
        <v>6</v>
      </c>
      <c r="CE248" s="14" t="s">
        <v>47</v>
      </c>
      <c r="CF248" s="19">
        <f>COUNT(BN253,BN301,BN349,BN397,BN445,BN493,BN541,BN589,BN637,BN685)</f>
        <v>0</v>
      </c>
    </row>
    <row r="249" spans="22:84" ht="14.4" customHeight="1" x14ac:dyDescent="0.3">
      <c r="V249" s="107" t="s">
        <v>18</v>
      </c>
      <c r="W249" s="106"/>
      <c r="X249" s="108" t="e">
        <f>IF(ISBLANK($S$10),"",$S$10)</f>
        <v>#N/A</v>
      </c>
      <c r="Y249" s="109"/>
      <c r="Z249" s="110"/>
      <c r="AA249" s="20"/>
      <c r="AB249" s="74"/>
      <c r="AC249" s="103" t="s">
        <v>48</v>
      </c>
      <c r="AD249" s="244"/>
      <c r="AE249" s="236"/>
      <c r="AF249" s="103" t="s">
        <v>48</v>
      </c>
      <c r="AG249" s="236"/>
      <c r="AH249" s="236"/>
      <c r="AI249" s="103" t="s">
        <v>48</v>
      </c>
      <c r="AJ249" s="237"/>
      <c r="AK249" s="238"/>
      <c r="AL249" s="85"/>
      <c r="AM249" s="85"/>
      <c r="AN249" s="85"/>
      <c r="AO249" s="85"/>
      <c r="AP249" s="22"/>
      <c r="AQ249" s="107" t="s">
        <v>18</v>
      </c>
      <c r="AR249" s="106"/>
      <c r="AS249" s="108" t="e">
        <f>IF(ISBLANK($S$10),"",$S$10)</f>
        <v>#N/A</v>
      </c>
      <c r="AT249" s="109"/>
      <c r="AU249" s="110"/>
      <c r="AV249" s="20"/>
      <c r="AW249" s="4"/>
      <c r="AX249" s="104" t="s">
        <v>48</v>
      </c>
      <c r="AY249" s="244"/>
      <c r="AZ249" s="236"/>
      <c r="BA249" s="104" t="s">
        <v>48</v>
      </c>
      <c r="BB249" s="236"/>
      <c r="BC249" s="236"/>
      <c r="BD249" s="104" t="s">
        <v>48</v>
      </c>
      <c r="BE249" s="237"/>
      <c r="BF249" s="238"/>
      <c r="BJ249" s="20"/>
      <c r="BK249" s="23"/>
      <c r="BL249" s="107" t="s">
        <v>18</v>
      </c>
      <c r="BM249" s="106"/>
      <c r="BN249" s="108" t="e">
        <f>IF(ISBLANK($S$10),"",$S$10)</f>
        <v>#N/A</v>
      </c>
      <c r="BO249" s="109"/>
      <c r="BP249" s="110"/>
      <c r="BQ249" s="20"/>
      <c r="BR249" s="4"/>
      <c r="BS249" s="78" t="s">
        <v>48</v>
      </c>
      <c r="BT249" s="197" t="str">
        <f>IF(ISBLANK($I$9),"",$I$9)</f>
        <v/>
      </c>
      <c r="BU249" s="198"/>
      <c r="BV249" s="78" t="s">
        <v>48</v>
      </c>
      <c r="BW249" s="197" t="str">
        <f>IF(ISBLANK($L$9),"",$L$9)</f>
        <v/>
      </c>
      <c r="BX249" s="198"/>
      <c r="BY249" s="78" t="s">
        <v>48</v>
      </c>
      <c r="BZ249" s="197" t="str">
        <f>IF(ISBLANK($O$9),"",$O$9)</f>
        <v/>
      </c>
      <c r="CA249" s="198"/>
      <c r="CB249" s="24"/>
      <c r="CC249" s="24"/>
      <c r="CD249" s="24"/>
      <c r="CE249" s="20"/>
      <c r="CF249" s="23"/>
    </row>
    <row r="250" spans="22:84" ht="14.4" customHeight="1" x14ac:dyDescent="0.3">
      <c r="V250" s="107" t="s">
        <v>19</v>
      </c>
      <c r="W250" s="106"/>
      <c r="X250" s="14" t="str">
        <f>IF(ISBLANK($S$11),"",$S$11)</f>
        <v/>
      </c>
      <c r="Y250" s="14" t="s">
        <v>47</v>
      </c>
      <c r="Z250" s="14">
        <f>IF(ISBLANK($U$11),"",$U$11)</f>
        <v>0</v>
      </c>
      <c r="AB250" s="269" t="s">
        <v>58</v>
      </c>
      <c r="AC250" s="87" t="s">
        <v>59</v>
      </c>
      <c r="AD250" s="270"/>
      <c r="AE250" s="271"/>
      <c r="AF250" s="84" t="s">
        <v>60</v>
      </c>
      <c r="AG250" s="88"/>
      <c r="AH250" s="85"/>
      <c r="AI250" s="335" t="s">
        <v>61</v>
      </c>
      <c r="AJ250" s="78" t="s">
        <v>62</v>
      </c>
      <c r="AK250" s="81"/>
      <c r="AL250" s="85"/>
      <c r="AM250" s="85"/>
      <c r="AN250" s="85"/>
      <c r="AO250" s="85"/>
      <c r="AP250" s="22"/>
      <c r="AQ250" s="107" t="s">
        <v>19</v>
      </c>
      <c r="AR250" s="106"/>
      <c r="AS250" s="14" t="str">
        <f>IF(ISBLANK($S$11),"",$S$11)</f>
        <v/>
      </c>
      <c r="AT250" s="14" t="s">
        <v>47</v>
      </c>
      <c r="AU250" s="14">
        <f>IF(ISBLANK($U$11),"",$U$11)</f>
        <v>0</v>
      </c>
      <c r="AW250" s="20"/>
      <c r="AX250" s="30"/>
      <c r="AY250" s="30"/>
      <c r="BC250" s="30"/>
      <c r="BD250" s="335" t="s">
        <v>61</v>
      </c>
      <c r="BE250" s="29" t="s">
        <v>62</v>
      </c>
      <c r="BF250" s="29" t="str">
        <f>IF(ISBLANK($BF$10),"",$BF$10)</f>
        <v/>
      </c>
      <c r="BG250" s="266" t="s">
        <v>63</v>
      </c>
      <c r="BH250" s="266"/>
      <c r="BI250" s="14" t="str">
        <f>IF(ISBLANK($BI$10),"",BI202)</f>
        <v/>
      </c>
      <c r="BJ250" s="20"/>
      <c r="BK250" s="23"/>
      <c r="BL250" s="111" t="s">
        <v>19</v>
      </c>
      <c r="BM250" s="110"/>
      <c r="BN250" s="14" t="str">
        <f>IF(ISBLANK($S$11),"",$S$11)</f>
        <v/>
      </c>
      <c r="BO250" s="14" t="s">
        <v>47</v>
      </c>
      <c r="BP250" s="14">
        <f>IF(ISBLANK($U$11),"",$U$11)</f>
        <v>0</v>
      </c>
      <c r="BR250" s="20"/>
      <c r="BS250" s="30"/>
      <c r="BT250" s="30"/>
      <c r="BU250" s="30"/>
      <c r="BV250" s="30"/>
      <c r="BW250" s="30"/>
      <c r="BX250" s="30"/>
      <c r="BY250" s="30"/>
      <c r="BZ250" s="30"/>
      <c r="CA250" s="30"/>
      <c r="CB250" s="30"/>
      <c r="CC250" s="30"/>
      <c r="CD250" s="30"/>
      <c r="CE250" s="20"/>
      <c r="CF250" s="23"/>
    </row>
    <row r="251" spans="22:84" ht="14.4" customHeight="1" x14ac:dyDescent="0.3">
      <c r="V251" s="33"/>
      <c r="AB251" s="269"/>
      <c r="AC251" s="87" t="s">
        <v>80</v>
      </c>
      <c r="AD251" s="245"/>
      <c r="AE251" s="246"/>
      <c r="AF251" s="90" t="s">
        <v>81</v>
      </c>
      <c r="AG251" s="88"/>
      <c r="AH251" s="85"/>
      <c r="AI251" s="335"/>
      <c r="AJ251" s="78" t="s">
        <v>82</v>
      </c>
      <c r="AK251" s="88"/>
      <c r="AL251" s="267" t="s">
        <v>83</v>
      </c>
      <c r="AM251" s="268"/>
      <c r="AN251" s="81"/>
      <c r="AO251" s="85"/>
      <c r="AP251" s="22"/>
      <c r="AQ251" s="34"/>
      <c r="AR251" s="20"/>
      <c r="AS251" s="20"/>
      <c r="AT251" s="20"/>
      <c r="AU251" s="20"/>
      <c r="AV251" s="20"/>
      <c r="AW251" s="20"/>
      <c r="AX251" s="20"/>
      <c r="AY251" s="20"/>
      <c r="BC251" s="20"/>
      <c r="BD251" s="335"/>
      <c r="BE251" s="29" t="s">
        <v>82</v>
      </c>
      <c r="BF251" s="29" t="str">
        <f>IF(ISBLANK($BF$11),"",$BF$11)</f>
        <v/>
      </c>
      <c r="BG251" s="20"/>
      <c r="BH251" s="20"/>
      <c r="BI251" s="20"/>
      <c r="BJ251" s="20"/>
      <c r="BK251" s="23"/>
      <c r="BL251" s="33"/>
      <c r="CF251" s="22"/>
    </row>
    <row r="252" spans="22:84" ht="14.4" customHeight="1" x14ac:dyDescent="0.3">
      <c r="V252" s="33"/>
      <c r="AP252" s="22"/>
      <c r="AQ252" s="356" t="s">
        <v>49</v>
      </c>
      <c r="AR252" s="342" t="s">
        <v>85</v>
      </c>
      <c r="AS252" s="342"/>
      <c r="AT252" s="14" t="s">
        <v>51</v>
      </c>
      <c r="AU252" s="14" t="s">
        <v>86</v>
      </c>
      <c r="AV252" s="10"/>
      <c r="AW252" s="14" t="s">
        <v>87</v>
      </c>
      <c r="AX252" s="272" t="s">
        <v>54</v>
      </c>
      <c r="AY252" s="272"/>
      <c r="AZ252" s="20"/>
      <c r="BA252" s="20"/>
      <c r="BB252" s="20"/>
      <c r="BC252" s="20"/>
      <c r="BD252" s="20"/>
      <c r="BE252" s="20"/>
      <c r="BF252" s="20"/>
      <c r="BG252" s="20"/>
      <c r="BH252" s="20"/>
      <c r="BI252" s="20"/>
      <c r="BJ252" s="20"/>
      <c r="BK252" s="23"/>
      <c r="BL252" s="128" t="s">
        <v>88</v>
      </c>
      <c r="BM252" s="129"/>
      <c r="BN252" s="130"/>
      <c r="BO252" s="131" t="s">
        <v>89</v>
      </c>
      <c r="BP252" s="132"/>
      <c r="BQ252" s="133"/>
      <c r="BR252" s="131" t="s">
        <v>90</v>
      </c>
      <c r="BS252" s="132"/>
      <c r="BT252" s="132"/>
      <c r="BU252" s="132"/>
      <c r="BV252" s="132"/>
      <c r="BW252" s="132"/>
      <c r="BX252" s="133"/>
      <c r="BY252" s="131" t="s">
        <v>91</v>
      </c>
      <c r="BZ252" s="132"/>
      <c r="CA252" s="132"/>
      <c r="CB252" s="133"/>
      <c r="CC252" s="131" t="s">
        <v>92</v>
      </c>
      <c r="CD252" s="132"/>
      <c r="CE252" s="132"/>
      <c r="CF252" s="156"/>
    </row>
    <row r="253" spans="22:84" ht="14.4" customHeight="1" x14ac:dyDescent="0.3">
      <c r="V253" s="262" t="s">
        <v>49</v>
      </c>
      <c r="W253" s="264" t="s">
        <v>94</v>
      </c>
      <c r="X253" s="264"/>
      <c r="Y253" s="31" t="s">
        <v>51</v>
      </c>
      <c r="Z253" s="14" t="s">
        <v>52</v>
      </c>
      <c r="AA253" s="14" t="s">
        <v>53</v>
      </c>
      <c r="AB253" s="108" t="s">
        <v>54</v>
      </c>
      <c r="AC253" s="110"/>
      <c r="AD253" s="363" t="s">
        <v>145</v>
      </c>
      <c r="AE253" s="364"/>
      <c r="AF253" s="108" t="s">
        <v>56</v>
      </c>
      <c r="AG253" s="109"/>
      <c r="AH253" s="109"/>
      <c r="AI253" s="109"/>
      <c r="AJ253" s="110"/>
      <c r="AK253" s="108" t="s">
        <v>57</v>
      </c>
      <c r="AL253" s="109"/>
      <c r="AM253" s="109"/>
      <c r="AN253" s="109"/>
      <c r="AO253" s="110"/>
      <c r="AP253" s="22"/>
      <c r="AQ253" s="357"/>
      <c r="AR253" s="342"/>
      <c r="AS253" s="342"/>
      <c r="AT253" s="14" t="s">
        <v>64</v>
      </c>
      <c r="AU253" s="14" t="s">
        <v>65</v>
      </c>
      <c r="AV253" s="14" t="s">
        <v>95</v>
      </c>
      <c r="AW253" s="14" t="s">
        <v>66</v>
      </c>
      <c r="AX253" s="14" t="s">
        <v>67</v>
      </c>
      <c r="AY253" s="14" t="s">
        <v>68</v>
      </c>
      <c r="AZ253" s="239" t="s">
        <v>69</v>
      </c>
      <c r="BA253" s="239"/>
      <c r="BB253" s="239"/>
      <c r="BC253" s="239" t="s">
        <v>70</v>
      </c>
      <c r="BD253" s="239"/>
      <c r="BE253" s="239"/>
      <c r="BF253" s="239" t="s">
        <v>71</v>
      </c>
      <c r="BG253" s="239"/>
      <c r="BH253" s="239"/>
      <c r="BI253" s="239" t="s">
        <v>72</v>
      </c>
      <c r="BJ253" s="239"/>
      <c r="BK253" s="240"/>
      <c r="BL253" s="158" t="s">
        <v>96</v>
      </c>
      <c r="BM253" s="159"/>
      <c r="BN253" s="35"/>
      <c r="BO253" s="134"/>
      <c r="BP253" s="135"/>
      <c r="BQ253" s="136"/>
      <c r="BR253" s="134"/>
      <c r="BS253" s="135"/>
      <c r="BT253" s="135"/>
      <c r="BU253" s="135"/>
      <c r="BV253" s="135"/>
      <c r="BW253" s="135"/>
      <c r="BX253" s="136"/>
      <c r="BY253" s="134"/>
      <c r="BZ253" s="135"/>
      <c r="CA253" s="135"/>
      <c r="CB253" s="136"/>
      <c r="CC253" s="134"/>
      <c r="CD253" s="135"/>
      <c r="CE253" s="135"/>
      <c r="CF253" s="157"/>
    </row>
    <row r="254" spans="22:84" ht="14.4" customHeight="1" x14ac:dyDescent="0.3">
      <c r="V254" s="263"/>
      <c r="W254" s="264"/>
      <c r="X254" s="264"/>
      <c r="Y254" s="31" t="s">
        <v>64</v>
      </c>
      <c r="Z254" s="14" t="s">
        <v>65</v>
      </c>
      <c r="AA254" s="14" t="s">
        <v>66</v>
      </c>
      <c r="AB254" s="14" t="s">
        <v>67</v>
      </c>
      <c r="AC254" s="14" t="s">
        <v>68</v>
      </c>
      <c r="AD254" s="365"/>
      <c r="AE254" s="366"/>
      <c r="AF254" s="14">
        <v>1</v>
      </c>
      <c r="AG254" s="14">
        <v>2</v>
      </c>
      <c r="AH254" s="14">
        <v>3</v>
      </c>
      <c r="AI254" s="14">
        <v>4</v>
      </c>
      <c r="AJ254" s="14">
        <v>5</v>
      </c>
      <c r="AK254" s="14">
        <v>1</v>
      </c>
      <c r="AL254" s="14">
        <v>2</v>
      </c>
      <c r="AM254" s="14">
        <v>3</v>
      </c>
      <c r="AN254" s="14">
        <v>4</v>
      </c>
      <c r="AO254" s="14">
        <v>5</v>
      </c>
      <c r="AP254" s="22"/>
      <c r="AQ254" s="36" t="str">
        <f>IF(ISBLANK(V255),"",V255)</f>
        <v/>
      </c>
      <c r="AR254" s="287" t="str">
        <f>IF(OR(AW254="QC",ISTEXT(Y255)), W255, "")</f>
        <v/>
      </c>
      <c r="AS254" s="288"/>
      <c r="AT254" s="37" t="str">
        <f>IF(OR(AW254="QC",ISTEXT(Y255)), Y255, "")</f>
        <v/>
      </c>
      <c r="AU254" s="37" t="str">
        <f>IF(OR(AW254="QC",ISTEXT(Y255)), Z255, "")</f>
        <v/>
      </c>
      <c r="AV254" s="37" t="str">
        <f>IF(ISBLANK(Z269),"",Z269)</f>
        <v/>
      </c>
      <c r="AW254" s="38" t="str">
        <f>IF(ISBLANK(AA255),"",AA255)</f>
        <v/>
      </c>
      <c r="AX254" s="38" t="str">
        <f>IF(OR(AW254="QC",ISTEXT(Y255)), AB255, "")</f>
        <v/>
      </c>
      <c r="AY254" s="38" t="str">
        <f>IF(OR(AW254="QC",ISTEXT(Y255)), AC255, "")</f>
        <v/>
      </c>
      <c r="AZ254" s="39"/>
      <c r="BA254" s="39"/>
      <c r="BB254" s="39"/>
      <c r="BC254" s="39"/>
      <c r="BD254" s="39"/>
      <c r="BE254" s="39"/>
      <c r="BF254" s="39"/>
      <c r="BG254" s="39"/>
      <c r="BH254" s="39"/>
      <c r="BI254" s="39"/>
      <c r="BJ254" s="39"/>
      <c r="BK254" s="40"/>
      <c r="BL254" s="158" t="s">
        <v>97</v>
      </c>
      <c r="BM254" s="159"/>
      <c r="BN254" s="41" t="s">
        <v>98</v>
      </c>
      <c r="BO254" s="204" t="s">
        <v>99</v>
      </c>
      <c r="BP254" s="205"/>
      <c r="BQ254" s="206"/>
      <c r="BR254" s="207" t="s">
        <v>100</v>
      </c>
      <c r="BS254" s="208"/>
      <c r="BT254" s="208"/>
      <c r="BU254" s="209"/>
      <c r="BV254" s="217"/>
      <c r="BW254" s="218"/>
      <c r="BX254" s="219"/>
      <c r="BY254" s="119"/>
      <c r="BZ254" s="120"/>
      <c r="CA254" s="120"/>
      <c r="CB254" s="121"/>
      <c r="CC254" s="119"/>
      <c r="CD254" s="120"/>
      <c r="CE254" s="120"/>
      <c r="CF254" s="214"/>
    </row>
    <row r="255" spans="22:84" ht="14.4" customHeight="1" x14ac:dyDescent="0.3">
      <c r="V255" s="36"/>
      <c r="W255" s="249"/>
      <c r="X255" s="250"/>
      <c r="Y255" s="37"/>
      <c r="Z255" s="38"/>
      <c r="AA255" s="38"/>
      <c r="AB255" s="38" t="str">
        <f t="shared" ref="AB255:AB266" si="249">IF(ISNUMBER(Y255),(Y255+Z255)/2-3*(Z255 - (Y255+Z255)/2) / (3 * AA269),"")</f>
        <v/>
      </c>
      <c r="AC255" s="38" t="str">
        <f t="shared" ref="AC255:AC266" si="250">IF(ISNUMBER(Z255),(Y255+Z255)/2+3*(Z255 - (Y255+Z255)/2) / (3 * AA269),"")</f>
        <v/>
      </c>
      <c r="AD255" s="247"/>
      <c r="AE255" s="248"/>
      <c r="AF255" s="39"/>
      <c r="AG255" s="39"/>
      <c r="AH255" s="39"/>
      <c r="AI255" s="39"/>
      <c r="AJ255" s="39"/>
      <c r="AK255" s="39"/>
      <c r="AL255" s="39"/>
      <c r="AM255" s="39"/>
      <c r="AN255" s="39"/>
      <c r="AO255" s="39"/>
      <c r="AP255" s="22"/>
      <c r="AQ255" s="36" t="str">
        <f t="shared" ref="AQ255:AQ265" si="251">IF(ISBLANK(V256),"",V256)</f>
        <v/>
      </c>
      <c r="AR255" s="287" t="str">
        <f t="shared" ref="AR255:AR265" si="252">IF(OR(AW255="QC",ISTEXT(Y256)), W256, "")</f>
        <v/>
      </c>
      <c r="AS255" s="288"/>
      <c r="AT255" s="37" t="str">
        <f t="shared" ref="AT255:AT265" si="253">IF(OR(AW255="QC",ISTEXT(Y256)), Y256, "")</f>
        <v/>
      </c>
      <c r="AU255" s="37" t="str">
        <f t="shared" ref="AU255:AU265" si="254">IF(OR(AW255="QC",ISTEXT(Y256)), Z256, "")</f>
        <v/>
      </c>
      <c r="AV255" s="37" t="str">
        <f t="shared" ref="AV255:AV265" si="255">IF(ISBLANK(Z270),"",Z270)</f>
        <v/>
      </c>
      <c r="AW255" s="38" t="str">
        <f t="shared" ref="AW255:AW265" si="256">IF(ISBLANK(AA256),"",AA256)</f>
        <v/>
      </c>
      <c r="AX255" s="38" t="str">
        <f t="shared" ref="AX255:AX265" si="257">IF(OR(AW255="QC",ISTEXT(Y256)), AB256, "")</f>
        <v/>
      </c>
      <c r="AY255" s="38" t="str">
        <f t="shared" ref="AY255:AY265" si="258">IF(OR(AW255="QC",ISTEXT(Y256)), AC256, "")</f>
        <v/>
      </c>
      <c r="AZ255" s="39"/>
      <c r="BA255" s="39"/>
      <c r="BB255" s="39"/>
      <c r="BC255" s="39"/>
      <c r="BD255" s="39"/>
      <c r="BE255" s="39"/>
      <c r="BF255" s="39"/>
      <c r="BG255" s="39"/>
      <c r="BH255" s="39"/>
      <c r="BI255" s="39"/>
      <c r="BJ255" s="39"/>
      <c r="BK255" s="40"/>
      <c r="BL255" s="158" t="s">
        <v>102</v>
      </c>
      <c r="BM255" s="159"/>
      <c r="BN255" s="42" t="s">
        <v>103</v>
      </c>
      <c r="BO255" s="119"/>
      <c r="BP255" s="120"/>
      <c r="BQ255" s="121"/>
      <c r="BR255" s="137" t="s">
        <v>104</v>
      </c>
      <c r="BS255" s="138"/>
      <c r="BT255" s="164"/>
      <c r="BU255" s="165"/>
      <c r="BV255" s="165"/>
      <c r="BW255" s="165"/>
      <c r="BX255" s="166"/>
      <c r="BY255" s="122"/>
      <c r="BZ255" s="123"/>
      <c r="CA255" s="123"/>
      <c r="CB255" s="124"/>
      <c r="CC255" s="122"/>
      <c r="CD255" s="123"/>
      <c r="CE255" s="123"/>
      <c r="CF255" s="215"/>
    </row>
    <row r="256" spans="22:84" ht="14.4" customHeight="1" x14ac:dyDescent="0.3">
      <c r="V256" s="36"/>
      <c r="W256" s="249"/>
      <c r="X256" s="250"/>
      <c r="Y256" s="37"/>
      <c r="Z256" s="38"/>
      <c r="AA256" s="38"/>
      <c r="AB256" s="38" t="str">
        <f t="shared" si="249"/>
        <v/>
      </c>
      <c r="AC256" s="38" t="str">
        <f t="shared" si="250"/>
        <v/>
      </c>
      <c r="AD256" s="247"/>
      <c r="AE256" s="248"/>
      <c r="AF256" s="39"/>
      <c r="AG256" s="39"/>
      <c r="AH256" s="39"/>
      <c r="AI256" s="39"/>
      <c r="AJ256" s="39"/>
      <c r="AK256" s="39"/>
      <c r="AL256" s="39"/>
      <c r="AM256" s="39"/>
      <c r="AN256" s="39"/>
      <c r="AO256" s="39"/>
      <c r="AP256" s="22"/>
      <c r="AQ256" s="36" t="str">
        <f t="shared" si="251"/>
        <v/>
      </c>
      <c r="AR256" s="287" t="str">
        <f t="shared" si="252"/>
        <v/>
      </c>
      <c r="AS256" s="288"/>
      <c r="AT256" s="37" t="str">
        <f t="shared" si="253"/>
        <v/>
      </c>
      <c r="AU256" s="37" t="str">
        <f t="shared" si="254"/>
        <v/>
      </c>
      <c r="AV256" s="37" t="str">
        <f t="shared" si="255"/>
        <v/>
      </c>
      <c r="AW256" s="38" t="str">
        <f t="shared" si="256"/>
        <v/>
      </c>
      <c r="AX256" s="38" t="str">
        <f t="shared" si="257"/>
        <v/>
      </c>
      <c r="AY256" s="38" t="str">
        <f t="shared" si="258"/>
        <v/>
      </c>
      <c r="AZ256" s="39"/>
      <c r="BA256" s="39"/>
      <c r="BB256" s="39"/>
      <c r="BC256" s="39"/>
      <c r="BD256" s="39"/>
      <c r="BE256" s="39"/>
      <c r="BF256" s="39"/>
      <c r="BG256" s="39"/>
      <c r="BH256" s="39"/>
      <c r="BI256" s="39"/>
      <c r="BJ256" s="39"/>
      <c r="BK256" s="40"/>
      <c r="BL256" s="210" t="s">
        <v>105</v>
      </c>
      <c r="BM256" s="211"/>
      <c r="BN256" s="28" t="s">
        <v>101</v>
      </c>
      <c r="BO256" s="125"/>
      <c r="BP256" s="126"/>
      <c r="BQ256" s="127"/>
      <c r="BR256" s="139"/>
      <c r="BS256" s="140"/>
      <c r="BT256" s="167"/>
      <c r="BU256" s="168"/>
      <c r="BV256" s="168"/>
      <c r="BW256" s="168"/>
      <c r="BX256" s="169"/>
      <c r="BY256" s="122"/>
      <c r="BZ256" s="123"/>
      <c r="CA256" s="123"/>
      <c r="CB256" s="124"/>
      <c r="CC256" s="122"/>
      <c r="CD256" s="123"/>
      <c r="CE256" s="123"/>
      <c r="CF256" s="215"/>
    </row>
    <row r="257" spans="22:84" ht="14.4" customHeight="1" x14ac:dyDescent="0.3">
      <c r="V257" s="36"/>
      <c r="W257" s="249"/>
      <c r="X257" s="250"/>
      <c r="Y257" s="37"/>
      <c r="Z257" s="38"/>
      <c r="AA257" s="38"/>
      <c r="AB257" s="38" t="str">
        <f t="shared" si="249"/>
        <v/>
      </c>
      <c r="AC257" s="38" t="str">
        <f t="shared" si="250"/>
        <v/>
      </c>
      <c r="AD257" s="247"/>
      <c r="AE257" s="248"/>
      <c r="AF257" s="39"/>
      <c r="AG257" s="39"/>
      <c r="AH257" s="39"/>
      <c r="AI257" s="39"/>
      <c r="AJ257" s="39"/>
      <c r="AK257" s="39"/>
      <c r="AL257" s="39"/>
      <c r="AM257" s="39"/>
      <c r="AN257" s="39"/>
      <c r="AO257" s="39"/>
      <c r="AP257" s="22"/>
      <c r="AQ257" s="36" t="str">
        <f t="shared" si="251"/>
        <v/>
      </c>
      <c r="AR257" s="287" t="str">
        <f t="shared" si="252"/>
        <v/>
      </c>
      <c r="AS257" s="288"/>
      <c r="AT257" s="37" t="str">
        <f t="shared" si="253"/>
        <v/>
      </c>
      <c r="AU257" s="37" t="str">
        <f t="shared" si="254"/>
        <v/>
      </c>
      <c r="AV257" s="37" t="str">
        <f t="shared" si="255"/>
        <v/>
      </c>
      <c r="AW257" s="38" t="str">
        <f t="shared" si="256"/>
        <v/>
      </c>
      <c r="AX257" s="38" t="str">
        <f t="shared" si="257"/>
        <v/>
      </c>
      <c r="AY257" s="38" t="str">
        <f t="shared" si="258"/>
        <v/>
      </c>
      <c r="AZ257" s="39"/>
      <c r="BA257" s="39"/>
      <c r="BB257" s="39"/>
      <c r="BC257" s="39"/>
      <c r="BD257" s="39"/>
      <c r="BE257" s="39"/>
      <c r="BF257" s="39"/>
      <c r="BG257" s="39"/>
      <c r="BH257" s="39"/>
      <c r="BI257" s="39"/>
      <c r="BJ257" s="39"/>
      <c r="BK257" s="40"/>
      <c r="BL257" s="212" t="s">
        <v>106</v>
      </c>
      <c r="BM257" s="205"/>
      <c r="BN257" s="206"/>
      <c r="BO257" s="213" t="s">
        <v>107</v>
      </c>
      <c r="BP257" s="159"/>
      <c r="BQ257" s="43"/>
      <c r="BR257" s="220" t="s">
        <v>108</v>
      </c>
      <c r="BS257" s="44" t="s">
        <v>109</v>
      </c>
      <c r="BT257" s="45"/>
      <c r="BU257" s="220" t="s">
        <v>110</v>
      </c>
      <c r="BV257" s="119"/>
      <c r="BW257" s="120"/>
      <c r="BX257" s="121"/>
      <c r="BY257" s="122"/>
      <c r="BZ257" s="123"/>
      <c r="CA257" s="123"/>
      <c r="CB257" s="124"/>
      <c r="CC257" s="122"/>
      <c r="CD257" s="123"/>
      <c r="CE257" s="123"/>
      <c r="CF257" s="215"/>
    </row>
    <row r="258" spans="22:84" ht="14.4" customHeight="1" x14ac:dyDescent="0.3">
      <c r="V258" s="36"/>
      <c r="W258" s="249"/>
      <c r="X258" s="250"/>
      <c r="Y258" s="37"/>
      <c r="Z258" s="38"/>
      <c r="AA258" s="38"/>
      <c r="AB258" s="38" t="str">
        <f t="shared" si="249"/>
        <v/>
      </c>
      <c r="AC258" s="38" t="str">
        <f t="shared" si="250"/>
        <v/>
      </c>
      <c r="AD258" s="247"/>
      <c r="AE258" s="248"/>
      <c r="AF258" s="39"/>
      <c r="AG258" s="39"/>
      <c r="AH258" s="39"/>
      <c r="AI258" s="39"/>
      <c r="AJ258" s="39"/>
      <c r="AK258" s="39"/>
      <c r="AL258" s="39"/>
      <c r="AM258" s="39"/>
      <c r="AN258" s="39"/>
      <c r="AO258" s="39"/>
      <c r="AP258" s="22"/>
      <c r="AQ258" s="36" t="str">
        <f t="shared" si="251"/>
        <v/>
      </c>
      <c r="AR258" s="287" t="str">
        <f t="shared" si="252"/>
        <v/>
      </c>
      <c r="AS258" s="288"/>
      <c r="AT258" s="37" t="str">
        <f t="shared" si="253"/>
        <v/>
      </c>
      <c r="AU258" s="37" t="str">
        <f t="shared" si="254"/>
        <v/>
      </c>
      <c r="AV258" s="37" t="str">
        <f t="shared" si="255"/>
        <v/>
      </c>
      <c r="AW258" s="38" t="str">
        <f t="shared" si="256"/>
        <v/>
      </c>
      <c r="AX258" s="38" t="str">
        <f t="shared" si="257"/>
        <v/>
      </c>
      <c r="AY258" s="38" t="str">
        <f t="shared" si="258"/>
        <v/>
      </c>
      <c r="AZ258" s="39"/>
      <c r="BA258" s="39"/>
      <c r="BB258" s="39"/>
      <c r="BC258" s="39"/>
      <c r="BD258" s="39"/>
      <c r="BE258" s="39"/>
      <c r="BF258" s="39"/>
      <c r="BG258" s="39"/>
      <c r="BH258" s="39"/>
      <c r="BI258" s="39"/>
      <c r="BJ258" s="39"/>
      <c r="BK258" s="40"/>
      <c r="BL258" s="199" t="s">
        <v>111</v>
      </c>
      <c r="BM258" s="154"/>
      <c r="BN258" s="200"/>
      <c r="BO258" s="201"/>
      <c r="BP258" s="202"/>
      <c r="BQ258" s="203"/>
      <c r="BR258" s="221"/>
      <c r="BS258" s="44" t="s">
        <v>112</v>
      </c>
      <c r="BT258" s="45"/>
      <c r="BU258" s="221"/>
      <c r="BV258" s="125"/>
      <c r="BW258" s="126"/>
      <c r="BX258" s="127"/>
      <c r="BY258" s="122"/>
      <c r="BZ258" s="123"/>
      <c r="CA258" s="123"/>
      <c r="CB258" s="124"/>
      <c r="CC258" s="122"/>
      <c r="CD258" s="123"/>
      <c r="CE258" s="123"/>
      <c r="CF258" s="215"/>
    </row>
    <row r="259" spans="22:84" ht="14.4" customHeight="1" x14ac:dyDescent="0.3">
      <c r="V259" s="36"/>
      <c r="W259" s="249"/>
      <c r="X259" s="250"/>
      <c r="Y259" s="37"/>
      <c r="Z259" s="38"/>
      <c r="AA259" s="38"/>
      <c r="AB259" s="38" t="str">
        <f t="shared" si="249"/>
        <v/>
      </c>
      <c r="AC259" s="38" t="str">
        <f t="shared" si="250"/>
        <v/>
      </c>
      <c r="AD259" s="247"/>
      <c r="AE259" s="248"/>
      <c r="AF259" s="39"/>
      <c r="AG259" s="39"/>
      <c r="AH259" s="39"/>
      <c r="AI259" s="39"/>
      <c r="AJ259" s="39"/>
      <c r="AK259" s="39"/>
      <c r="AL259" s="39"/>
      <c r="AM259" s="39"/>
      <c r="AN259" s="39"/>
      <c r="AO259" s="39"/>
      <c r="AP259" s="22"/>
      <c r="AQ259" s="36" t="str">
        <f t="shared" si="251"/>
        <v/>
      </c>
      <c r="AR259" s="287" t="str">
        <f t="shared" si="252"/>
        <v/>
      </c>
      <c r="AS259" s="288"/>
      <c r="AT259" s="37" t="str">
        <f t="shared" si="253"/>
        <v/>
      </c>
      <c r="AU259" s="37" t="str">
        <f t="shared" si="254"/>
        <v/>
      </c>
      <c r="AV259" s="37" t="str">
        <f t="shared" si="255"/>
        <v/>
      </c>
      <c r="AW259" s="38" t="str">
        <f t="shared" si="256"/>
        <v/>
      </c>
      <c r="AX259" s="38" t="str">
        <f t="shared" si="257"/>
        <v/>
      </c>
      <c r="AY259" s="38" t="str">
        <f t="shared" si="258"/>
        <v/>
      </c>
      <c r="AZ259" s="39"/>
      <c r="BA259" s="39"/>
      <c r="BB259" s="39"/>
      <c r="BC259" s="39"/>
      <c r="BD259" s="39"/>
      <c r="BE259" s="39"/>
      <c r="BF259" s="39"/>
      <c r="BG259" s="39"/>
      <c r="BH259" s="39"/>
      <c r="BI259" s="39"/>
      <c r="BJ259" s="39"/>
      <c r="BK259" s="40"/>
      <c r="BL259" s="170"/>
      <c r="BM259" s="171"/>
      <c r="BN259" s="172"/>
      <c r="BO259" s="179"/>
      <c r="BP259" s="171"/>
      <c r="BQ259" s="172"/>
      <c r="BR259" s="179"/>
      <c r="BS259" s="171"/>
      <c r="BT259" s="171"/>
      <c r="BU259" s="171"/>
      <c r="BV259" s="171"/>
      <c r="BW259" s="171"/>
      <c r="BX259" s="172"/>
      <c r="BY259" s="122"/>
      <c r="BZ259" s="123"/>
      <c r="CA259" s="123"/>
      <c r="CB259" s="124"/>
      <c r="CC259" s="122"/>
      <c r="CD259" s="123"/>
      <c r="CE259" s="123"/>
      <c r="CF259" s="215"/>
    </row>
    <row r="260" spans="22:84" ht="14.4" customHeight="1" x14ac:dyDescent="0.3">
      <c r="V260" s="36"/>
      <c r="W260" s="249"/>
      <c r="X260" s="250"/>
      <c r="Y260" s="37"/>
      <c r="Z260" s="38"/>
      <c r="AA260" s="38"/>
      <c r="AB260" s="38" t="str">
        <f t="shared" si="249"/>
        <v/>
      </c>
      <c r="AC260" s="38" t="str">
        <f t="shared" si="250"/>
        <v/>
      </c>
      <c r="AD260" s="247"/>
      <c r="AE260" s="248"/>
      <c r="AF260" s="39"/>
      <c r="AG260" s="39"/>
      <c r="AH260" s="39"/>
      <c r="AI260" s="39"/>
      <c r="AJ260" s="39"/>
      <c r="AK260" s="39"/>
      <c r="AL260" s="39"/>
      <c r="AM260" s="39"/>
      <c r="AN260" s="39"/>
      <c r="AO260" s="39"/>
      <c r="AP260" s="22"/>
      <c r="AQ260" s="36" t="str">
        <f t="shared" si="251"/>
        <v/>
      </c>
      <c r="AR260" s="287" t="str">
        <f t="shared" si="252"/>
        <v/>
      </c>
      <c r="AS260" s="288"/>
      <c r="AT260" s="37" t="str">
        <f t="shared" si="253"/>
        <v/>
      </c>
      <c r="AU260" s="37" t="str">
        <f t="shared" si="254"/>
        <v/>
      </c>
      <c r="AV260" s="37" t="str">
        <f t="shared" si="255"/>
        <v/>
      </c>
      <c r="AW260" s="38" t="str">
        <f t="shared" si="256"/>
        <v/>
      </c>
      <c r="AX260" s="38" t="str">
        <f t="shared" si="257"/>
        <v/>
      </c>
      <c r="AY260" s="38" t="str">
        <f t="shared" si="258"/>
        <v/>
      </c>
      <c r="AZ260" s="39"/>
      <c r="BA260" s="39"/>
      <c r="BB260" s="39"/>
      <c r="BC260" s="39"/>
      <c r="BD260" s="39"/>
      <c r="BE260" s="39"/>
      <c r="BF260" s="39"/>
      <c r="BG260" s="39"/>
      <c r="BH260" s="39"/>
      <c r="BI260" s="39"/>
      <c r="BJ260" s="39"/>
      <c r="BK260" s="40"/>
      <c r="BL260" s="173"/>
      <c r="BM260" s="174"/>
      <c r="BN260" s="175"/>
      <c r="BO260" s="180"/>
      <c r="BP260" s="174"/>
      <c r="BQ260" s="175"/>
      <c r="BR260" s="180"/>
      <c r="BS260" s="174"/>
      <c r="BT260" s="174"/>
      <c r="BU260" s="174"/>
      <c r="BV260" s="174"/>
      <c r="BW260" s="174"/>
      <c r="BX260" s="175"/>
      <c r="BY260" s="122"/>
      <c r="BZ260" s="123"/>
      <c r="CA260" s="123"/>
      <c r="CB260" s="124"/>
      <c r="CC260" s="122"/>
      <c r="CD260" s="123"/>
      <c r="CE260" s="123"/>
      <c r="CF260" s="215"/>
    </row>
    <row r="261" spans="22:84" ht="14.4" customHeight="1" x14ac:dyDescent="0.3">
      <c r="V261" s="36"/>
      <c r="W261" s="249"/>
      <c r="X261" s="250"/>
      <c r="Y261" s="37"/>
      <c r="Z261" s="38"/>
      <c r="AA261" s="38"/>
      <c r="AB261" s="38" t="str">
        <f t="shared" si="249"/>
        <v/>
      </c>
      <c r="AC261" s="38" t="str">
        <f t="shared" si="250"/>
        <v/>
      </c>
      <c r="AD261" s="247"/>
      <c r="AE261" s="248"/>
      <c r="AF261" s="39"/>
      <c r="AG261" s="39"/>
      <c r="AH261" s="39"/>
      <c r="AI261" s="39"/>
      <c r="AJ261" s="39"/>
      <c r="AK261" s="39"/>
      <c r="AL261" s="39"/>
      <c r="AM261" s="39"/>
      <c r="AN261" s="39"/>
      <c r="AO261" s="39"/>
      <c r="AP261" s="22"/>
      <c r="AQ261" s="36" t="str">
        <f t="shared" si="251"/>
        <v/>
      </c>
      <c r="AR261" s="287" t="str">
        <f t="shared" si="252"/>
        <v/>
      </c>
      <c r="AS261" s="288"/>
      <c r="AT261" s="37" t="str">
        <f t="shared" si="253"/>
        <v/>
      </c>
      <c r="AU261" s="37" t="str">
        <f t="shared" si="254"/>
        <v/>
      </c>
      <c r="AV261" s="37" t="str">
        <f t="shared" si="255"/>
        <v/>
      </c>
      <c r="AW261" s="38" t="str">
        <f t="shared" si="256"/>
        <v/>
      </c>
      <c r="AX261" s="38" t="str">
        <f t="shared" si="257"/>
        <v/>
      </c>
      <c r="AY261" s="38" t="str">
        <f t="shared" si="258"/>
        <v/>
      </c>
      <c r="AZ261" s="39"/>
      <c r="BA261" s="39"/>
      <c r="BB261" s="39"/>
      <c r="BC261" s="39"/>
      <c r="BD261" s="39"/>
      <c r="BE261" s="39"/>
      <c r="BF261" s="39"/>
      <c r="BG261" s="39"/>
      <c r="BH261" s="39"/>
      <c r="BI261" s="39"/>
      <c r="BJ261" s="39"/>
      <c r="BK261" s="40"/>
      <c r="BL261" s="173"/>
      <c r="BM261" s="174"/>
      <c r="BN261" s="175"/>
      <c r="BO261" s="180"/>
      <c r="BP261" s="174"/>
      <c r="BQ261" s="175"/>
      <c r="BR261" s="180"/>
      <c r="BS261" s="174"/>
      <c r="BT261" s="174"/>
      <c r="BU261" s="174"/>
      <c r="BV261" s="174"/>
      <c r="BW261" s="174"/>
      <c r="BX261" s="175"/>
      <c r="BY261" s="122"/>
      <c r="BZ261" s="123"/>
      <c r="CA261" s="123"/>
      <c r="CB261" s="124"/>
      <c r="CC261" s="122"/>
      <c r="CD261" s="123"/>
      <c r="CE261" s="123"/>
      <c r="CF261" s="215"/>
    </row>
    <row r="262" spans="22:84" ht="14.4" customHeight="1" x14ac:dyDescent="0.3">
      <c r="V262" s="36"/>
      <c r="W262" s="249"/>
      <c r="X262" s="250"/>
      <c r="Y262" s="37"/>
      <c r="Z262" s="38"/>
      <c r="AA262" s="38"/>
      <c r="AB262" s="38" t="str">
        <f t="shared" si="249"/>
        <v/>
      </c>
      <c r="AC262" s="38" t="str">
        <f t="shared" si="250"/>
        <v/>
      </c>
      <c r="AD262" s="247"/>
      <c r="AE262" s="248"/>
      <c r="AF262" s="39"/>
      <c r="AG262" s="39"/>
      <c r="AH262" s="39"/>
      <c r="AI262" s="39"/>
      <c r="AJ262" s="39"/>
      <c r="AK262" s="39"/>
      <c r="AL262" s="39"/>
      <c r="AM262" s="39"/>
      <c r="AN262" s="39"/>
      <c r="AO262" s="39"/>
      <c r="AP262" s="22"/>
      <c r="AQ262" s="36" t="str">
        <f t="shared" si="251"/>
        <v/>
      </c>
      <c r="AR262" s="287" t="str">
        <f t="shared" si="252"/>
        <v/>
      </c>
      <c r="AS262" s="288"/>
      <c r="AT262" s="37" t="str">
        <f t="shared" si="253"/>
        <v/>
      </c>
      <c r="AU262" s="37" t="str">
        <f t="shared" si="254"/>
        <v/>
      </c>
      <c r="AV262" s="37" t="str">
        <f t="shared" si="255"/>
        <v/>
      </c>
      <c r="AW262" s="38" t="str">
        <f t="shared" si="256"/>
        <v/>
      </c>
      <c r="AX262" s="38" t="str">
        <f t="shared" si="257"/>
        <v/>
      </c>
      <c r="AY262" s="38" t="str">
        <f t="shared" si="258"/>
        <v/>
      </c>
      <c r="AZ262" s="39"/>
      <c r="BA262" s="39"/>
      <c r="BB262" s="39"/>
      <c r="BC262" s="39"/>
      <c r="BD262" s="39"/>
      <c r="BE262" s="39"/>
      <c r="BF262" s="39"/>
      <c r="BG262" s="39"/>
      <c r="BH262" s="39"/>
      <c r="BI262" s="39"/>
      <c r="BJ262" s="39"/>
      <c r="BK262" s="40"/>
      <c r="BL262" s="173"/>
      <c r="BM262" s="174"/>
      <c r="BN262" s="175"/>
      <c r="BO262" s="180"/>
      <c r="BP262" s="174"/>
      <c r="BQ262" s="175"/>
      <c r="BR262" s="180"/>
      <c r="BS262" s="174"/>
      <c r="BT262" s="174"/>
      <c r="BU262" s="174"/>
      <c r="BV262" s="174"/>
      <c r="BW262" s="174"/>
      <c r="BX262" s="175"/>
      <c r="BY262" s="122"/>
      <c r="BZ262" s="123"/>
      <c r="CA262" s="123"/>
      <c r="CB262" s="124"/>
      <c r="CC262" s="122"/>
      <c r="CD262" s="123"/>
      <c r="CE262" s="123"/>
      <c r="CF262" s="215"/>
    </row>
    <row r="263" spans="22:84" ht="14.4" customHeight="1" x14ac:dyDescent="0.3">
      <c r="V263" s="36"/>
      <c r="W263" s="249"/>
      <c r="X263" s="250"/>
      <c r="Y263" s="37"/>
      <c r="Z263" s="38"/>
      <c r="AA263" s="38"/>
      <c r="AB263" s="38" t="str">
        <f t="shared" si="249"/>
        <v/>
      </c>
      <c r="AC263" s="38" t="str">
        <f t="shared" si="250"/>
        <v/>
      </c>
      <c r="AD263" s="247"/>
      <c r="AE263" s="248"/>
      <c r="AF263" s="39"/>
      <c r="AG263" s="39"/>
      <c r="AH263" s="39"/>
      <c r="AI263" s="39"/>
      <c r="AJ263" s="39"/>
      <c r="AK263" s="39"/>
      <c r="AL263" s="39"/>
      <c r="AM263" s="39"/>
      <c r="AN263" s="39"/>
      <c r="AO263" s="39"/>
      <c r="AP263" s="22"/>
      <c r="AQ263" s="36" t="str">
        <f t="shared" si="251"/>
        <v/>
      </c>
      <c r="AR263" s="287" t="str">
        <f t="shared" si="252"/>
        <v/>
      </c>
      <c r="AS263" s="288"/>
      <c r="AT263" s="37" t="str">
        <f t="shared" si="253"/>
        <v/>
      </c>
      <c r="AU263" s="37" t="str">
        <f t="shared" si="254"/>
        <v/>
      </c>
      <c r="AV263" s="37" t="str">
        <f t="shared" si="255"/>
        <v/>
      </c>
      <c r="AW263" s="38" t="str">
        <f t="shared" si="256"/>
        <v/>
      </c>
      <c r="AX263" s="38" t="str">
        <f t="shared" si="257"/>
        <v/>
      </c>
      <c r="AY263" s="38" t="str">
        <f t="shared" si="258"/>
        <v/>
      </c>
      <c r="AZ263" s="39"/>
      <c r="BA263" s="39"/>
      <c r="BB263" s="39"/>
      <c r="BC263" s="39"/>
      <c r="BD263" s="39"/>
      <c r="BE263" s="39"/>
      <c r="BF263" s="39"/>
      <c r="BG263" s="39"/>
      <c r="BH263" s="39"/>
      <c r="BI263" s="39"/>
      <c r="BJ263" s="39"/>
      <c r="BK263" s="40"/>
      <c r="BL263" s="173"/>
      <c r="BM263" s="174"/>
      <c r="BN263" s="175"/>
      <c r="BO263" s="180"/>
      <c r="BP263" s="174"/>
      <c r="BQ263" s="175"/>
      <c r="BR263" s="180"/>
      <c r="BS263" s="174"/>
      <c r="BT263" s="174"/>
      <c r="BU263" s="174"/>
      <c r="BV263" s="174"/>
      <c r="BW263" s="174"/>
      <c r="BX263" s="175"/>
      <c r="BY263" s="122"/>
      <c r="BZ263" s="123"/>
      <c r="CA263" s="123"/>
      <c r="CB263" s="124"/>
      <c r="CC263" s="122"/>
      <c r="CD263" s="123"/>
      <c r="CE263" s="123"/>
      <c r="CF263" s="215"/>
    </row>
    <row r="264" spans="22:84" ht="14.4" customHeight="1" x14ac:dyDescent="0.3">
      <c r="V264" s="36"/>
      <c r="W264" s="249"/>
      <c r="X264" s="250"/>
      <c r="Y264" s="37"/>
      <c r="Z264" s="38"/>
      <c r="AA264" s="38"/>
      <c r="AB264" s="38" t="str">
        <f t="shared" si="249"/>
        <v/>
      </c>
      <c r="AC264" s="38" t="str">
        <f t="shared" si="250"/>
        <v/>
      </c>
      <c r="AD264" s="247"/>
      <c r="AE264" s="248"/>
      <c r="AF264" s="39"/>
      <c r="AG264" s="39"/>
      <c r="AH264" s="39"/>
      <c r="AI264" s="39"/>
      <c r="AJ264" s="39"/>
      <c r="AK264" s="39"/>
      <c r="AL264" s="39"/>
      <c r="AM264" s="39"/>
      <c r="AN264" s="39"/>
      <c r="AO264" s="39"/>
      <c r="AP264" s="22"/>
      <c r="AQ264" s="36" t="str">
        <f t="shared" si="251"/>
        <v/>
      </c>
      <c r="AR264" s="287" t="str">
        <f t="shared" si="252"/>
        <v/>
      </c>
      <c r="AS264" s="288"/>
      <c r="AT264" s="37" t="str">
        <f t="shared" si="253"/>
        <v/>
      </c>
      <c r="AU264" s="37" t="str">
        <f t="shared" si="254"/>
        <v/>
      </c>
      <c r="AV264" s="37" t="str">
        <f t="shared" si="255"/>
        <v/>
      </c>
      <c r="AW264" s="38" t="str">
        <f t="shared" si="256"/>
        <v/>
      </c>
      <c r="AX264" s="38" t="str">
        <f t="shared" si="257"/>
        <v/>
      </c>
      <c r="AY264" s="38" t="str">
        <f t="shared" si="258"/>
        <v/>
      </c>
      <c r="AZ264" s="39"/>
      <c r="BA264" s="39"/>
      <c r="BB264" s="39"/>
      <c r="BC264" s="39"/>
      <c r="BD264" s="39"/>
      <c r="BE264" s="39"/>
      <c r="BF264" s="39"/>
      <c r="BG264" s="39"/>
      <c r="BH264" s="39"/>
      <c r="BI264" s="39"/>
      <c r="BJ264" s="39"/>
      <c r="BK264" s="40"/>
      <c r="BL264" s="173"/>
      <c r="BM264" s="174"/>
      <c r="BN264" s="175"/>
      <c r="BO264" s="180"/>
      <c r="BP264" s="174"/>
      <c r="BQ264" s="175"/>
      <c r="BR264" s="180"/>
      <c r="BS264" s="174"/>
      <c r="BT264" s="174"/>
      <c r="BU264" s="174"/>
      <c r="BV264" s="174"/>
      <c r="BW264" s="174"/>
      <c r="BX264" s="175"/>
      <c r="BY264" s="122"/>
      <c r="BZ264" s="123"/>
      <c r="CA264" s="123"/>
      <c r="CB264" s="124"/>
      <c r="CC264" s="122"/>
      <c r="CD264" s="123"/>
      <c r="CE264" s="123"/>
      <c r="CF264" s="215"/>
    </row>
    <row r="265" spans="22:84" ht="14.4" customHeight="1" x14ac:dyDescent="0.3">
      <c r="V265" s="36"/>
      <c r="W265" s="249"/>
      <c r="X265" s="250"/>
      <c r="Y265" s="37"/>
      <c r="Z265" s="38"/>
      <c r="AA265" s="38"/>
      <c r="AB265" s="38" t="str">
        <f t="shared" si="249"/>
        <v/>
      </c>
      <c r="AC265" s="38" t="str">
        <f t="shared" si="250"/>
        <v/>
      </c>
      <c r="AD265" s="247"/>
      <c r="AE265" s="248"/>
      <c r="AF265" s="39"/>
      <c r="AG265" s="39"/>
      <c r="AH265" s="39"/>
      <c r="AI265" s="39"/>
      <c r="AJ265" s="39"/>
      <c r="AK265" s="39"/>
      <c r="AL265" s="39"/>
      <c r="AM265" s="39"/>
      <c r="AN265" s="39"/>
      <c r="AO265" s="39"/>
      <c r="AP265" s="22"/>
      <c r="AQ265" s="36" t="str">
        <f t="shared" si="251"/>
        <v/>
      </c>
      <c r="AR265" s="287" t="str">
        <f t="shared" si="252"/>
        <v/>
      </c>
      <c r="AS265" s="288"/>
      <c r="AT265" s="37" t="str">
        <f t="shared" si="253"/>
        <v/>
      </c>
      <c r="AU265" s="37" t="str">
        <f t="shared" si="254"/>
        <v/>
      </c>
      <c r="AV265" s="37" t="str">
        <f t="shared" si="255"/>
        <v/>
      </c>
      <c r="AW265" s="38" t="str">
        <f t="shared" si="256"/>
        <v/>
      </c>
      <c r="AX265" s="38" t="str">
        <f t="shared" si="257"/>
        <v/>
      </c>
      <c r="AY265" s="38" t="str">
        <f t="shared" si="258"/>
        <v/>
      </c>
      <c r="AZ265" s="39"/>
      <c r="BA265" s="39"/>
      <c r="BB265" s="39"/>
      <c r="BC265" s="39"/>
      <c r="BD265" s="39"/>
      <c r="BE265" s="39"/>
      <c r="BF265" s="39"/>
      <c r="BG265" s="39"/>
      <c r="BH265" s="39"/>
      <c r="BI265" s="39"/>
      <c r="BJ265" s="39"/>
      <c r="BK265" s="40"/>
      <c r="BL265" s="173"/>
      <c r="BM265" s="174"/>
      <c r="BN265" s="175"/>
      <c r="BO265" s="180"/>
      <c r="BP265" s="174"/>
      <c r="BQ265" s="175"/>
      <c r="BR265" s="180"/>
      <c r="BS265" s="174"/>
      <c r="BT265" s="174"/>
      <c r="BU265" s="174"/>
      <c r="BV265" s="174"/>
      <c r="BW265" s="174"/>
      <c r="BX265" s="175"/>
      <c r="BY265" s="122"/>
      <c r="BZ265" s="123"/>
      <c r="CA265" s="123"/>
      <c r="CB265" s="124"/>
      <c r="CC265" s="122"/>
      <c r="CD265" s="123"/>
      <c r="CE265" s="123"/>
      <c r="CF265" s="215"/>
    </row>
    <row r="266" spans="22:84" ht="14.4" customHeight="1" x14ac:dyDescent="0.3">
      <c r="V266" s="36"/>
      <c r="W266" s="249"/>
      <c r="X266" s="250"/>
      <c r="Y266" s="37"/>
      <c r="Z266" s="38"/>
      <c r="AA266" s="38"/>
      <c r="AB266" s="38" t="str">
        <f t="shared" si="249"/>
        <v/>
      </c>
      <c r="AC266" s="38" t="str">
        <f t="shared" si="250"/>
        <v/>
      </c>
      <c r="AD266" s="247"/>
      <c r="AE266" s="248"/>
      <c r="AF266" s="39"/>
      <c r="AG266" s="39"/>
      <c r="AH266" s="39"/>
      <c r="AI266" s="39"/>
      <c r="AJ266" s="39"/>
      <c r="AK266" s="39"/>
      <c r="AL266" s="39"/>
      <c r="AM266" s="39"/>
      <c r="AN266" s="39"/>
      <c r="AO266" s="39"/>
      <c r="AP266" s="22"/>
      <c r="AQ266" s="325" t="s">
        <v>73</v>
      </c>
      <c r="AR266" s="318"/>
      <c r="AS266" s="318"/>
      <c r="AT266" s="317" t="s">
        <v>74</v>
      </c>
      <c r="AU266" s="318"/>
      <c r="AV266" s="318"/>
      <c r="AW266" s="317" t="s">
        <v>75</v>
      </c>
      <c r="AX266" s="318"/>
      <c r="AY266" s="319"/>
      <c r="AZ266" s="241" t="s">
        <v>76</v>
      </c>
      <c r="BA266" s="242"/>
      <c r="BB266" s="242"/>
      <c r="BC266" s="241" t="s">
        <v>77</v>
      </c>
      <c r="BD266" s="242"/>
      <c r="BE266" s="242"/>
      <c r="BF266" s="241" t="s">
        <v>78</v>
      </c>
      <c r="BG266" s="242"/>
      <c r="BH266" s="242"/>
      <c r="BI266" s="241" t="s">
        <v>79</v>
      </c>
      <c r="BJ266" s="242"/>
      <c r="BK266" s="243"/>
      <c r="BL266" s="173"/>
      <c r="BM266" s="174"/>
      <c r="BN266" s="175"/>
      <c r="BO266" s="180"/>
      <c r="BP266" s="174"/>
      <c r="BQ266" s="175"/>
      <c r="BR266" s="180"/>
      <c r="BS266" s="174"/>
      <c r="BT266" s="174"/>
      <c r="BU266" s="174"/>
      <c r="BV266" s="174"/>
      <c r="BW266" s="174"/>
      <c r="BX266" s="175"/>
      <c r="BY266" s="122"/>
      <c r="BZ266" s="123"/>
      <c r="CA266" s="123"/>
      <c r="CB266" s="124"/>
      <c r="CC266" s="122"/>
      <c r="CD266" s="123"/>
      <c r="CE266" s="123"/>
      <c r="CF266" s="215"/>
    </row>
    <row r="267" spans="22:84" ht="14.4" customHeight="1" x14ac:dyDescent="0.3">
      <c r="V267" s="353" t="s">
        <v>113</v>
      </c>
      <c r="W267" s="222"/>
      <c r="X267" s="222"/>
      <c r="Y267" s="222"/>
      <c r="Z267" s="222"/>
      <c r="AA267" s="222"/>
      <c r="AB267" s="222"/>
      <c r="AC267" s="222"/>
      <c r="AD267" s="222"/>
      <c r="AE267" s="250"/>
      <c r="AP267" s="22"/>
      <c r="AQ267" s="46"/>
      <c r="AR267" s="39"/>
      <c r="AS267" s="39"/>
      <c r="AT267" s="39"/>
      <c r="AU267" s="39"/>
      <c r="AV267" s="39"/>
      <c r="AW267" s="39"/>
      <c r="AX267" s="39"/>
      <c r="AY267" s="39"/>
      <c r="AZ267" s="39"/>
      <c r="BA267" s="39"/>
      <c r="BB267" s="39"/>
      <c r="BC267" s="39"/>
      <c r="BD267" s="39"/>
      <c r="BE267" s="39"/>
      <c r="BF267" s="39"/>
      <c r="BG267" s="39"/>
      <c r="BH267" s="39"/>
      <c r="BI267" s="39"/>
      <c r="BJ267" s="39"/>
      <c r="BK267" s="40"/>
      <c r="BL267" s="173"/>
      <c r="BM267" s="174"/>
      <c r="BN267" s="175"/>
      <c r="BO267" s="180"/>
      <c r="BP267" s="174"/>
      <c r="BQ267" s="175"/>
      <c r="BR267" s="180"/>
      <c r="BS267" s="174"/>
      <c r="BT267" s="174"/>
      <c r="BU267" s="174"/>
      <c r="BV267" s="174"/>
      <c r="BW267" s="174"/>
      <c r="BX267" s="175"/>
      <c r="BY267" s="122"/>
      <c r="BZ267" s="123"/>
      <c r="CA267" s="123"/>
      <c r="CB267" s="124"/>
      <c r="CC267" s="125"/>
      <c r="CD267" s="126"/>
      <c r="CE267" s="126"/>
      <c r="CF267" s="216"/>
    </row>
    <row r="268" spans="22:84" ht="14.4" customHeight="1" x14ac:dyDescent="0.3">
      <c r="V268" s="47"/>
      <c r="W268" s="10" t="s">
        <v>114</v>
      </c>
      <c r="X268" s="10" t="s">
        <v>115</v>
      </c>
      <c r="Y268" s="10" t="s">
        <v>116</v>
      </c>
      <c r="Z268" s="48" t="s">
        <v>117</v>
      </c>
      <c r="AA268" s="14" t="s">
        <v>118</v>
      </c>
      <c r="AB268" s="10" t="s">
        <v>119</v>
      </c>
      <c r="AC268" s="10" t="s">
        <v>120</v>
      </c>
      <c r="AD268" s="10" t="s">
        <v>121</v>
      </c>
      <c r="AE268" s="10" t="s">
        <v>122</v>
      </c>
      <c r="AP268" s="22"/>
      <c r="AQ268" s="46"/>
      <c r="AR268" s="28"/>
      <c r="AS268" s="28"/>
      <c r="AT268" s="28"/>
      <c r="AU268" s="28"/>
      <c r="AV268" s="28"/>
      <c r="AW268" s="28"/>
      <c r="AX268" s="28"/>
      <c r="AY268" s="28"/>
      <c r="AZ268" s="28"/>
      <c r="BA268" s="28"/>
      <c r="BB268" s="28"/>
      <c r="BC268" s="28"/>
      <c r="BD268" s="28"/>
      <c r="BE268" s="28"/>
      <c r="BF268" s="28"/>
      <c r="BG268" s="28"/>
      <c r="BH268" s="28"/>
      <c r="BI268" s="28"/>
      <c r="BJ268" s="28"/>
      <c r="BK268" s="51"/>
      <c r="BL268" s="173"/>
      <c r="BM268" s="174"/>
      <c r="BN268" s="175"/>
      <c r="BO268" s="180"/>
      <c r="BP268" s="174"/>
      <c r="BQ268" s="175"/>
      <c r="BR268" s="180"/>
      <c r="BS268" s="174"/>
      <c r="BT268" s="174"/>
      <c r="BU268" s="174"/>
      <c r="BV268" s="174"/>
      <c r="BW268" s="174"/>
      <c r="BX268" s="175"/>
      <c r="BY268" s="122"/>
      <c r="BZ268" s="123"/>
      <c r="CA268" s="123"/>
      <c r="CB268" s="124"/>
      <c r="CC268" s="150" t="s">
        <v>123</v>
      </c>
      <c r="CD268" s="151"/>
      <c r="CE268" s="151"/>
      <c r="CF268" s="152"/>
    </row>
    <row r="269" spans="22:84" ht="14.4" customHeight="1" x14ac:dyDescent="0.3">
      <c r="V269" s="49" t="str">
        <f>IF(ISBLANK(V255),"",V255)</f>
        <v/>
      </c>
      <c r="W269" s="38" t="str" cm="1">
        <f t="array" ref="W269">IF(Y255="", "", IF(AND(Y255&lt;=MIN(AF255:AO255),Z255&gt;=MAX(AF255:AO255)),"ACCEPT",IF(AND(AF255:AO255="OK"),"ACCEPT","REJECT")))</f>
        <v/>
      </c>
      <c r="X269" s="38" t="str">
        <f t="shared" ref="X269:X280" si="259">IF(TRIM(W269)="", "", MAX(AF255:AO255))</f>
        <v/>
      </c>
      <c r="Y269" s="38" t="str">
        <f t="shared" ref="Y269:Y280" si="260">IF(TRIM(W269)="", "", MIN(AF255:AO255))</f>
        <v/>
      </c>
      <c r="Z269" s="38" t="str">
        <f t="shared" ref="Z269:Z280" si="261">IF(ISNUMBER(Y255),"VARIABLE",IF(ISBLANK(Y255),"","ATTRIBUTE"))</f>
        <v/>
      </c>
      <c r="AA269" s="38">
        <f t="shared" ref="AA269:AA280" si="262">IF((AA255="QC"),1.33,1)</f>
        <v>1</v>
      </c>
      <c r="AB269" s="38">
        <f t="shared" ref="AB269:AB280" si="263">IF(COUNT(AF255:AO255)=0,0,AVERAGE(AF255:AO255))</f>
        <v>0</v>
      </c>
      <c r="AC269" s="38">
        <f t="shared" ref="AC269:AC280" si="264">MAX(AF255:AO255)-MIN(AF255:AO255)</f>
        <v>0</v>
      </c>
      <c r="AD269" s="38">
        <f t="shared" ref="AD269:AD280" si="265">IF(COUNT(AF255:AO255)=0,0,_xlfn.STDEV.S(AF255:AO255))</f>
        <v>0</v>
      </c>
      <c r="AE269" s="38" t="str">
        <f t="shared" ref="AE269:AE280" si="266">IF(AB269=0,"-",IF(AB269-Y255&lt;Z255-AB269,AB269-Y255,Z255-AB269)/(AD269*3))</f>
        <v>-</v>
      </c>
      <c r="AP269" s="22"/>
      <c r="AQ269" s="46"/>
      <c r="AR269" s="39"/>
      <c r="AS269" s="39"/>
      <c r="AT269" s="39"/>
      <c r="AU269" s="39"/>
      <c r="AV269" s="39"/>
      <c r="AW269" s="39"/>
      <c r="AX269" s="39"/>
      <c r="AY269" s="39"/>
      <c r="AZ269" s="39"/>
      <c r="BA269" s="39"/>
      <c r="BB269" s="39"/>
      <c r="BC269" s="39"/>
      <c r="BD269" s="39"/>
      <c r="BE269" s="39"/>
      <c r="BF269" s="39"/>
      <c r="BG269" s="39"/>
      <c r="BH269" s="39"/>
      <c r="BI269" s="39"/>
      <c r="BJ269" s="39"/>
      <c r="BK269" s="40"/>
      <c r="BL269" s="176"/>
      <c r="BM269" s="177"/>
      <c r="BN269" s="178"/>
      <c r="BO269" s="181"/>
      <c r="BP269" s="177"/>
      <c r="BQ269" s="178"/>
      <c r="BR269" s="181"/>
      <c r="BS269" s="177"/>
      <c r="BT269" s="177"/>
      <c r="BU269" s="177"/>
      <c r="BV269" s="177"/>
      <c r="BW269" s="177"/>
      <c r="BX269" s="178"/>
      <c r="BY269" s="125"/>
      <c r="BZ269" s="126"/>
      <c r="CA269" s="126"/>
      <c r="CB269" s="127"/>
      <c r="CC269" s="153"/>
      <c r="CD269" s="154"/>
      <c r="CE269" s="154"/>
      <c r="CF269" s="155"/>
    </row>
    <row r="270" spans="22:84" ht="14.4" customHeight="1" x14ac:dyDescent="0.3">
      <c r="V270" s="49" t="str">
        <f t="shared" ref="V270:V279" si="267">IF(ISBLANK(V256),"",V256)</f>
        <v/>
      </c>
      <c r="W270" s="38" t="str" cm="1">
        <f t="array" ref="W270">IF(Y256="", "", IF(AND(Y256&lt;=MIN(AF256:AO256),Z256&gt;=MAX(AF256:AO256)),"ACCEPT",IF(AND(AF256:AO256="OK"),"ACCEPT","REJECT")))</f>
        <v/>
      </c>
      <c r="X270" s="38" t="str">
        <f t="shared" si="259"/>
        <v/>
      </c>
      <c r="Y270" s="38" t="str">
        <f t="shared" si="260"/>
        <v/>
      </c>
      <c r="Z270" s="38" t="str">
        <f t="shared" si="261"/>
        <v/>
      </c>
      <c r="AA270" s="38">
        <f t="shared" si="262"/>
        <v>1</v>
      </c>
      <c r="AB270" s="38">
        <f t="shared" si="263"/>
        <v>0</v>
      </c>
      <c r="AC270" s="38">
        <f t="shared" si="264"/>
        <v>0</v>
      </c>
      <c r="AD270" s="38">
        <f t="shared" si="265"/>
        <v>0</v>
      </c>
      <c r="AE270" s="38" t="str">
        <f t="shared" si="266"/>
        <v>-</v>
      </c>
      <c r="AP270" s="22"/>
      <c r="AQ270" s="50"/>
      <c r="AR270" s="28"/>
      <c r="AS270" s="28"/>
      <c r="AT270" s="28"/>
      <c r="AU270" s="28"/>
      <c r="AV270" s="28"/>
      <c r="AW270" s="28"/>
      <c r="AX270" s="28"/>
      <c r="AY270" s="28"/>
      <c r="AZ270" s="28"/>
      <c r="BA270" s="28"/>
      <c r="BB270" s="28"/>
      <c r="BC270" s="28"/>
      <c r="BD270" s="28"/>
      <c r="BE270" s="28"/>
      <c r="BF270" s="28"/>
      <c r="BG270" s="28"/>
      <c r="BH270" s="28"/>
      <c r="BI270" s="28"/>
      <c r="BJ270" s="28"/>
      <c r="BK270" s="51"/>
      <c r="BL270" s="128" t="s">
        <v>88</v>
      </c>
      <c r="BM270" s="129"/>
      <c r="BN270" s="130"/>
      <c r="BO270" s="131" t="s">
        <v>89</v>
      </c>
      <c r="BP270" s="132"/>
      <c r="BQ270" s="133"/>
      <c r="BR270" s="131" t="s">
        <v>90</v>
      </c>
      <c r="BS270" s="132"/>
      <c r="BT270" s="132"/>
      <c r="BU270" s="132"/>
      <c r="BV270" s="132"/>
      <c r="BW270" s="132"/>
      <c r="BX270" s="133"/>
      <c r="BY270" s="131" t="s">
        <v>91</v>
      </c>
      <c r="BZ270" s="132"/>
      <c r="CA270" s="132"/>
      <c r="CB270" s="133"/>
      <c r="CC270" s="131" t="s">
        <v>92</v>
      </c>
      <c r="CD270" s="132"/>
      <c r="CE270" s="132"/>
      <c r="CF270" s="156"/>
    </row>
    <row r="271" spans="22:84" ht="14.4" customHeight="1" x14ac:dyDescent="0.3">
      <c r="V271" s="49" t="str">
        <f t="shared" si="267"/>
        <v/>
      </c>
      <c r="W271" s="38" t="str" cm="1">
        <f t="array" ref="W271">IF(Y257="", "", IF(AND(Y257&lt;=MIN(AF257:AO257),Z257&gt;=MAX(AF257:AO257)),"ACCEPT",IF(AND(AF257:AO257="OK"),"ACCEPT","REJECT")))</f>
        <v/>
      </c>
      <c r="X271" s="38" t="str">
        <f t="shared" si="259"/>
        <v/>
      </c>
      <c r="Y271" s="38" t="str">
        <f t="shared" si="260"/>
        <v/>
      </c>
      <c r="Z271" s="38" t="str">
        <f t="shared" si="261"/>
        <v/>
      </c>
      <c r="AA271" s="38">
        <f t="shared" si="262"/>
        <v>1</v>
      </c>
      <c r="AB271" s="38">
        <f t="shared" si="263"/>
        <v>0</v>
      </c>
      <c r="AC271" s="38">
        <f t="shared" si="264"/>
        <v>0</v>
      </c>
      <c r="AD271" s="38">
        <f t="shared" si="265"/>
        <v>0</v>
      </c>
      <c r="AE271" s="38" t="str">
        <f t="shared" si="266"/>
        <v>-</v>
      </c>
      <c r="AP271" s="22"/>
      <c r="AQ271" s="50"/>
      <c r="AR271" s="28"/>
      <c r="AS271" s="28"/>
      <c r="AT271" s="28"/>
      <c r="AU271" s="28"/>
      <c r="AV271" s="28"/>
      <c r="AW271" s="28"/>
      <c r="AX271" s="28"/>
      <c r="AY271" s="28"/>
      <c r="AZ271" s="28"/>
      <c r="BA271" s="28"/>
      <c r="BB271" s="28"/>
      <c r="BC271" s="28"/>
      <c r="BD271" s="28"/>
      <c r="BE271" s="28"/>
      <c r="BF271" s="28"/>
      <c r="BG271" s="28"/>
      <c r="BH271" s="28"/>
      <c r="BI271" s="28"/>
      <c r="BJ271" s="28"/>
      <c r="BK271" s="51"/>
      <c r="BL271" s="158" t="s">
        <v>96</v>
      </c>
      <c r="BM271" s="159"/>
      <c r="BN271" s="35"/>
      <c r="BO271" s="134"/>
      <c r="BP271" s="135"/>
      <c r="BQ271" s="136"/>
      <c r="BR271" s="134"/>
      <c r="BS271" s="135"/>
      <c r="BT271" s="135"/>
      <c r="BU271" s="135"/>
      <c r="BV271" s="135"/>
      <c r="BW271" s="135"/>
      <c r="BX271" s="136"/>
      <c r="BY271" s="134"/>
      <c r="BZ271" s="135"/>
      <c r="CA271" s="135"/>
      <c r="CB271" s="136"/>
      <c r="CC271" s="134"/>
      <c r="CD271" s="135"/>
      <c r="CE271" s="135"/>
      <c r="CF271" s="157"/>
    </row>
    <row r="272" spans="22:84" ht="14.4" customHeight="1" x14ac:dyDescent="0.3">
      <c r="V272" s="49" t="str">
        <f t="shared" si="267"/>
        <v/>
      </c>
      <c r="W272" s="38" t="str" cm="1">
        <f t="array" ref="W272">IF(Y258="", "", IF(AND(Y258&lt;=MIN(AF258:AO258),Z258&gt;=MAX(AF258:AO258)),"ACCEPT",IF(AND(AF258:AO258="OK"),"ACCEPT","REJECT")))</f>
        <v/>
      </c>
      <c r="X272" s="38" t="str">
        <f t="shared" si="259"/>
        <v/>
      </c>
      <c r="Y272" s="38" t="str">
        <f t="shared" si="260"/>
        <v/>
      </c>
      <c r="Z272" s="38" t="str">
        <f t="shared" si="261"/>
        <v/>
      </c>
      <c r="AA272" s="38">
        <f t="shared" si="262"/>
        <v>1</v>
      </c>
      <c r="AB272" s="38">
        <f t="shared" si="263"/>
        <v>0</v>
      </c>
      <c r="AC272" s="38">
        <f t="shared" si="264"/>
        <v>0</v>
      </c>
      <c r="AD272" s="38">
        <f t="shared" si="265"/>
        <v>0</v>
      </c>
      <c r="AE272" s="38" t="str">
        <f t="shared" si="266"/>
        <v>-</v>
      </c>
      <c r="AP272" s="22"/>
      <c r="AQ272" s="46"/>
      <c r="AR272" s="28"/>
      <c r="AS272" s="28"/>
      <c r="AT272" s="28"/>
      <c r="AU272" s="28"/>
      <c r="AV272" s="28"/>
      <c r="AW272" s="28"/>
      <c r="AX272" s="28"/>
      <c r="AY272" s="28"/>
      <c r="AZ272" s="28"/>
      <c r="BA272" s="28"/>
      <c r="BB272" s="28"/>
      <c r="BC272" s="28"/>
      <c r="BD272" s="28"/>
      <c r="BE272" s="28"/>
      <c r="BF272" s="28"/>
      <c r="BG272" s="28"/>
      <c r="BH272" s="28"/>
      <c r="BI272" s="28"/>
      <c r="BJ272" s="28"/>
      <c r="BK272" s="51"/>
      <c r="BL272" s="158" t="s">
        <v>97</v>
      </c>
      <c r="BM272" s="159"/>
      <c r="BN272" s="41" t="s">
        <v>98</v>
      </c>
      <c r="BO272" s="204" t="s">
        <v>99</v>
      </c>
      <c r="BP272" s="205"/>
      <c r="BQ272" s="206"/>
      <c r="BR272" s="207" t="s">
        <v>100</v>
      </c>
      <c r="BS272" s="208"/>
      <c r="BT272" s="208"/>
      <c r="BU272" s="209"/>
      <c r="BV272" s="217"/>
      <c r="BW272" s="218"/>
      <c r="BX272" s="219"/>
      <c r="BY272" s="119"/>
      <c r="BZ272" s="120"/>
      <c r="CA272" s="120"/>
      <c r="CB272" s="121"/>
      <c r="CC272" s="119"/>
      <c r="CD272" s="120"/>
      <c r="CE272" s="120"/>
      <c r="CF272" s="214"/>
    </row>
    <row r="273" spans="22:84" ht="14.4" customHeight="1" x14ac:dyDescent="0.3">
      <c r="V273" s="49" t="str">
        <f t="shared" si="267"/>
        <v/>
      </c>
      <c r="W273" s="38" t="str" cm="1">
        <f t="array" ref="W273">IF(Y259="", "", IF(AND(Y259&lt;=MIN(AF259:AO259),Z259&gt;=MAX(AF259:AO259)),"ACCEPT",IF(AND(AF259:AO259="OK"),"ACCEPT","REJECT")))</f>
        <v/>
      </c>
      <c r="X273" s="38" t="str">
        <f t="shared" si="259"/>
        <v/>
      </c>
      <c r="Y273" s="38" t="str">
        <f t="shared" si="260"/>
        <v/>
      </c>
      <c r="Z273" s="38" t="str">
        <f t="shared" si="261"/>
        <v/>
      </c>
      <c r="AA273" s="38">
        <f t="shared" si="262"/>
        <v>1</v>
      </c>
      <c r="AB273" s="38">
        <f t="shared" si="263"/>
        <v>0</v>
      </c>
      <c r="AC273" s="38">
        <f t="shared" si="264"/>
        <v>0</v>
      </c>
      <c r="AD273" s="38">
        <f t="shared" si="265"/>
        <v>0</v>
      </c>
      <c r="AE273" s="38" t="str">
        <f t="shared" si="266"/>
        <v>-</v>
      </c>
      <c r="AP273" s="22"/>
      <c r="AQ273" s="46"/>
      <c r="AR273" s="28"/>
      <c r="AS273" s="28"/>
      <c r="AT273" s="28"/>
      <c r="AU273" s="28"/>
      <c r="AV273" s="28"/>
      <c r="AW273" s="28"/>
      <c r="AX273" s="28"/>
      <c r="AY273" s="28"/>
      <c r="AZ273" s="28"/>
      <c r="BA273" s="28"/>
      <c r="BB273" s="28"/>
      <c r="BC273" s="28"/>
      <c r="BD273" s="28"/>
      <c r="BE273" s="28"/>
      <c r="BF273" s="28"/>
      <c r="BG273" s="28"/>
      <c r="BH273" s="28"/>
      <c r="BI273" s="28"/>
      <c r="BJ273" s="28"/>
      <c r="BK273" s="51"/>
      <c r="BL273" s="158" t="s">
        <v>102</v>
      </c>
      <c r="BM273" s="159"/>
      <c r="BN273" s="42" t="s">
        <v>103</v>
      </c>
      <c r="BO273" s="119"/>
      <c r="BP273" s="120"/>
      <c r="BQ273" s="121"/>
      <c r="BR273" s="160" t="s">
        <v>124</v>
      </c>
      <c r="BS273" s="161"/>
      <c r="BT273" s="164"/>
      <c r="BU273" s="165"/>
      <c r="BV273" s="165"/>
      <c r="BW273" s="165"/>
      <c r="BX273" s="166"/>
      <c r="BY273" s="122"/>
      <c r="BZ273" s="123"/>
      <c r="CA273" s="123"/>
      <c r="CB273" s="124"/>
      <c r="CC273" s="122"/>
      <c r="CD273" s="123"/>
      <c r="CE273" s="123"/>
      <c r="CF273" s="215"/>
    </row>
    <row r="274" spans="22:84" ht="14.4" customHeight="1" x14ac:dyDescent="0.3">
      <c r="V274" s="49" t="str">
        <f t="shared" si="267"/>
        <v/>
      </c>
      <c r="W274" s="38" t="str" cm="1">
        <f t="array" ref="W274">IF(Y260="", "", IF(AND(Y260&lt;=MIN(AF260:AO260),Z260&gt;=MAX(AF260:AO260)),"ACCEPT",IF(AND(AF260:AO260="OK"),"ACCEPT","REJECT")))</f>
        <v/>
      </c>
      <c r="X274" s="38" t="str">
        <f t="shared" si="259"/>
        <v/>
      </c>
      <c r="Y274" s="38" t="str">
        <f t="shared" si="260"/>
        <v/>
      </c>
      <c r="Z274" s="38" t="str">
        <f t="shared" si="261"/>
        <v/>
      </c>
      <c r="AA274" s="38">
        <f t="shared" si="262"/>
        <v>1</v>
      </c>
      <c r="AB274" s="38">
        <f t="shared" si="263"/>
        <v>0</v>
      </c>
      <c r="AC274" s="38">
        <f t="shared" si="264"/>
        <v>0</v>
      </c>
      <c r="AD274" s="38">
        <f t="shared" si="265"/>
        <v>0</v>
      </c>
      <c r="AE274" s="38" t="str">
        <f t="shared" si="266"/>
        <v>-</v>
      </c>
      <c r="AP274" s="22"/>
      <c r="AQ274" s="46"/>
      <c r="AR274" s="28"/>
      <c r="AS274" s="28"/>
      <c r="AT274" s="28"/>
      <c r="AU274" s="28"/>
      <c r="AV274" s="28"/>
      <c r="AW274" s="28"/>
      <c r="AX274" s="28"/>
      <c r="AY274" s="28"/>
      <c r="AZ274" s="28"/>
      <c r="BA274" s="28"/>
      <c r="BB274" s="28"/>
      <c r="BC274" s="28"/>
      <c r="BD274" s="28"/>
      <c r="BE274" s="28"/>
      <c r="BF274" s="28"/>
      <c r="BG274" s="28"/>
      <c r="BH274" s="28"/>
      <c r="BI274" s="28"/>
      <c r="BJ274" s="28"/>
      <c r="BK274" s="51"/>
      <c r="BL274" s="210" t="s">
        <v>105</v>
      </c>
      <c r="BM274" s="211"/>
      <c r="BN274" s="28" t="s">
        <v>101</v>
      </c>
      <c r="BO274" s="125"/>
      <c r="BP274" s="126"/>
      <c r="BQ274" s="127"/>
      <c r="BR274" s="162"/>
      <c r="BS274" s="163"/>
      <c r="BT274" s="167"/>
      <c r="BU274" s="168"/>
      <c r="BV274" s="168"/>
      <c r="BW274" s="168"/>
      <c r="BX274" s="169"/>
      <c r="BY274" s="122"/>
      <c r="BZ274" s="123"/>
      <c r="CA274" s="123"/>
      <c r="CB274" s="124"/>
      <c r="CC274" s="122"/>
      <c r="CD274" s="123"/>
      <c r="CE274" s="123"/>
      <c r="CF274" s="215"/>
    </row>
    <row r="275" spans="22:84" ht="14.4" customHeight="1" x14ac:dyDescent="0.3">
      <c r="V275" s="49" t="str">
        <f t="shared" si="267"/>
        <v/>
      </c>
      <c r="W275" s="38" t="str" cm="1">
        <f t="array" ref="W275">IF(Y261="", "", IF(AND(Y261&lt;=MIN(AF261:AO261),Z261&gt;=MAX(AF261:AO261)),"ACCEPT",IF(AND(AF261:AO261="OK"),"ACCEPT","REJECT")))</f>
        <v/>
      </c>
      <c r="X275" s="38" t="str">
        <f t="shared" si="259"/>
        <v/>
      </c>
      <c r="Y275" s="38" t="str">
        <f t="shared" si="260"/>
        <v/>
      </c>
      <c r="Z275" s="38" t="str">
        <f t="shared" si="261"/>
        <v/>
      </c>
      <c r="AA275" s="38">
        <f t="shared" si="262"/>
        <v>1</v>
      </c>
      <c r="AB275" s="38">
        <f t="shared" si="263"/>
        <v>0</v>
      </c>
      <c r="AC275" s="38">
        <f t="shared" si="264"/>
        <v>0</v>
      </c>
      <c r="AD275" s="38">
        <f t="shared" si="265"/>
        <v>0</v>
      </c>
      <c r="AE275" s="38" t="str">
        <f t="shared" si="266"/>
        <v>-</v>
      </c>
      <c r="AP275" s="22"/>
      <c r="AQ275" s="46"/>
      <c r="AR275" s="28"/>
      <c r="AS275" s="28"/>
      <c r="AT275" s="28"/>
      <c r="AU275" s="28"/>
      <c r="AV275" s="28"/>
      <c r="AW275" s="28"/>
      <c r="AX275" s="28"/>
      <c r="AY275" s="28"/>
      <c r="AZ275" s="28"/>
      <c r="BA275" s="28"/>
      <c r="BB275" s="28"/>
      <c r="BC275" s="28"/>
      <c r="BD275" s="28"/>
      <c r="BE275" s="28"/>
      <c r="BF275" s="28"/>
      <c r="BG275" s="28"/>
      <c r="BH275" s="28"/>
      <c r="BI275" s="28"/>
      <c r="BJ275" s="28"/>
      <c r="BK275" s="51"/>
      <c r="BL275" s="212" t="s">
        <v>106</v>
      </c>
      <c r="BM275" s="205"/>
      <c r="BN275" s="206"/>
      <c r="BO275" s="213" t="s">
        <v>107</v>
      </c>
      <c r="BP275" s="159"/>
      <c r="BQ275" s="43"/>
      <c r="BR275" s="220" t="s">
        <v>108</v>
      </c>
      <c r="BS275" s="44" t="s">
        <v>109</v>
      </c>
      <c r="BT275" s="45"/>
      <c r="BU275" s="220" t="s">
        <v>110</v>
      </c>
      <c r="BV275" s="119"/>
      <c r="BW275" s="120"/>
      <c r="BX275" s="121"/>
      <c r="BY275" s="122"/>
      <c r="BZ275" s="123"/>
      <c r="CA275" s="123"/>
      <c r="CB275" s="124"/>
      <c r="CC275" s="122"/>
      <c r="CD275" s="123"/>
      <c r="CE275" s="123"/>
      <c r="CF275" s="215"/>
    </row>
    <row r="276" spans="22:84" ht="14.4" customHeight="1" x14ac:dyDescent="0.3">
      <c r="V276" s="49" t="str">
        <f t="shared" si="267"/>
        <v/>
      </c>
      <c r="W276" s="38" t="str" cm="1">
        <f t="array" ref="W276">IF(Y262="", "", IF(AND(Y262&lt;=MIN(AF262:AO262),Z262&gt;=MAX(AF262:AO262)),"ACCEPT",IF(AND(AF262:AO262="OK"),"ACCEPT","REJECT")))</f>
        <v/>
      </c>
      <c r="X276" s="38" t="str">
        <f t="shared" si="259"/>
        <v/>
      </c>
      <c r="Y276" s="38" t="str">
        <f t="shared" si="260"/>
        <v/>
      </c>
      <c r="Z276" s="38" t="str">
        <f t="shared" si="261"/>
        <v/>
      </c>
      <c r="AA276" s="38">
        <f t="shared" si="262"/>
        <v>1</v>
      </c>
      <c r="AB276" s="38">
        <f t="shared" si="263"/>
        <v>0</v>
      </c>
      <c r="AC276" s="38">
        <f t="shared" si="264"/>
        <v>0</v>
      </c>
      <c r="AD276" s="38">
        <f t="shared" si="265"/>
        <v>0</v>
      </c>
      <c r="AE276" s="38" t="str">
        <f t="shared" si="266"/>
        <v>-</v>
      </c>
      <c r="AP276" s="22"/>
      <c r="AQ276" s="46"/>
      <c r="AR276" s="28"/>
      <c r="AS276" s="28"/>
      <c r="AT276" s="28"/>
      <c r="AU276" s="28"/>
      <c r="AV276" s="28"/>
      <c r="AW276" s="28"/>
      <c r="AX276" s="28"/>
      <c r="AY276" s="28"/>
      <c r="AZ276" s="28"/>
      <c r="BA276" s="28"/>
      <c r="BB276" s="28"/>
      <c r="BC276" s="28"/>
      <c r="BD276" s="28"/>
      <c r="BE276" s="28"/>
      <c r="BF276" s="28"/>
      <c r="BG276" s="28"/>
      <c r="BH276" s="28"/>
      <c r="BI276" s="28"/>
      <c r="BJ276" s="28"/>
      <c r="BK276" s="51"/>
      <c r="BL276" s="199"/>
      <c r="BM276" s="154"/>
      <c r="BN276" s="200"/>
      <c r="BO276" s="201"/>
      <c r="BP276" s="202"/>
      <c r="BQ276" s="203"/>
      <c r="BR276" s="221"/>
      <c r="BS276" s="44" t="s">
        <v>112</v>
      </c>
      <c r="BT276" s="45"/>
      <c r="BU276" s="221"/>
      <c r="BV276" s="125"/>
      <c r="BW276" s="126"/>
      <c r="BX276" s="127"/>
      <c r="BY276" s="122"/>
      <c r="BZ276" s="123"/>
      <c r="CA276" s="123"/>
      <c r="CB276" s="124"/>
      <c r="CC276" s="122"/>
      <c r="CD276" s="123"/>
      <c r="CE276" s="123"/>
      <c r="CF276" s="215"/>
    </row>
    <row r="277" spans="22:84" ht="14.4" customHeight="1" x14ac:dyDescent="0.3">
      <c r="V277" s="49" t="str">
        <f t="shared" si="267"/>
        <v/>
      </c>
      <c r="W277" s="38" t="str" cm="1">
        <f t="array" ref="W277">IF(Y263="", "", IF(AND(Y263&lt;=MIN(AF263:AO263),Z263&gt;=MAX(AF263:AO263)),"ACCEPT",IF(AND(AF263:AO263="OK"),"ACCEPT","REJECT")))</f>
        <v/>
      </c>
      <c r="X277" s="38" t="str">
        <f t="shared" si="259"/>
        <v/>
      </c>
      <c r="Y277" s="38" t="str">
        <f t="shared" si="260"/>
        <v/>
      </c>
      <c r="Z277" s="38" t="str">
        <f t="shared" si="261"/>
        <v/>
      </c>
      <c r="AA277" s="38">
        <f t="shared" si="262"/>
        <v>1</v>
      </c>
      <c r="AB277" s="38">
        <f t="shared" si="263"/>
        <v>0</v>
      </c>
      <c r="AC277" s="38">
        <f t="shared" si="264"/>
        <v>0</v>
      </c>
      <c r="AD277" s="38">
        <f t="shared" si="265"/>
        <v>0</v>
      </c>
      <c r="AE277" s="38" t="str">
        <f t="shared" si="266"/>
        <v>-</v>
      </c>
      <c r="AP277" s="22"/>
      <c r="AQ277" s="46"/>
      <c r="AR277" s="28"/>
      <c r="AS277" s="28"/>
      <c r="AT277" s="28"/>
      <c r="AU277" s="28"/>
      <c r="AV277" s="28"/>
      <c r="AW277" s="28"/>
      <c r="AX277" s="28"/>
      <c r="AY277" s="28"/>
      <c r="AZ277" s="28"/>
      <c r="BA277" s="28"/>
      <c r="BB277" s="28"/>
      <c r="BC277" s="28"/>
      <c r="BD277" s="28"/>
      <c r="BE277" s="28"/>
      <c r="BF277" s="28"/>
      <c r="BG277" s="28"/>
      <c r="BH277" s="28"/>
      <c r="BI277" s="28"/>
      <c r="BJ277" s="28"/>
      <c r="BK277" s="51"/>
      <c r="BL277" s="170"/>
      <c r="BM277" s="171"/>
      <c r="BN277" s="172"/>
      <c r="BO277" s="179"/>
      <c r="BP277" s="171"/>
      <c r="BQ277" s="172"/>
      <c r="BR277" s="179"/>
      <c r="BS277" s="171"/>
      <c r="BT277" s="171"/>
      <c r="BU277" s="171"/>
      <c r="BV277" s="171"/>
      <c r="BW277" s="171"/>
      <c r="BX277" s="172"/>
      <c r="BY277" s="122"/>
      <c r="BZ277" s="123"/>
      <c r="CA277" s="123"/>
      <c r="CB277" s="124"/>
      <c r="CC277" s="122"/>
      <c r="CD277" s="123"/>
      <c r="CE277" s="123"/>
      <c r="CF277" s="215"/>
    </row>
    <row r="278" spans="22:84" ht="14.4" customHeight="1" x14ac:dyDescent="0.3">
      <c r="V278" s="49" t="str">
        <f t="shared" si="267"/>
        <v/>
      </c>
      <c r="W278" s="38" t="str" cm="1">
        <f t="array" ref="W278">IF(Y264="", "", IF(AND(Y264&lt;=MIN(AF264:AO264),Z264&gt;=MAX(AF264:AO264)),"ACCEPT",IF(AND(AF264:AO264="OK"),"ACCEPT","REJECT")))</f>
        <v/>
      </c>
      <c r="X278" s="38" t="str">
        <f t="shared" si="259"/>
        <v/>
      </c>
      <c r="Y278" s="38" t="str">
        <f t="shared" si="260"/>
        <v/>
      </c>
      <c r="Z278" s="38" t="str">
        <f t="shared" si="261"/>
        <v/>
      </c>
      <c r="AA278" s="38">
        <f t="shared" si="262"/>
        <v>1</v>
      </c>
      <c r="AB278" s="38">
        <f t="shared" si="263"/>
        <v>0</v>
      </c>
      <c r="AC278" s="38">
        <f t="shared" si="264"/>
        <v>0</v>
      </c>
      <c r="AD278" s="38">
        <f t="shared" si="265"/>
        <v>0</v>
      </c>
      <c r="AE278" s="38" t="str">
        <f t="shared" si="266"/>
        <v>-</v>
      </c>
      <c r="AP278" s="22"/>
      <c r="AQ278" s="46"/>
      <c r="AR278" s="28"/>
      <c r="AS278" s="28"/>
      <c r="AT278" s="28"/>
      <c r="AU278" s="28"/>
      <c r="AV278" s="28"/>
      <c r="AW278" s="28"/>
      <c r="AX278" s="28"/>
      <c r="AY278" s="28"/>
      <c r="AZ278" s="28"/>
      <c r="BA278" s="28"/>
      <c r="BB278" s="28"/>
      <c r="BC278" s="28"/>
      <c r="BD278" s="28"/>
      <c r="BE278" s="28"/>
      <c r="BF278" s="28"/>
      <c r="BG278" s="28"/>
      <c r="BH278" s="28"/>
      <c r="BI278" s="28"/>
      <c r="BJ278" s="28"/>
      <c r="BK278" s="51"/>
      <c r="BL278" s="173"/>
      <c r="BM278" s="174"/>
      <c r="BN278" s="175"/>
      <c r="BO278" s="180"/>
      <c r="BP278" s="174"/>
      <c r="BQ278" s="175"/>
      <c r="BR278" s="180"/>
      <c r="BS278" s="174"/>
      <c r="BT278" s="174"/>
      <c r="BU278" s="174"/>
      <c r="BV278" s="174"/>
      <c r="BW278" s="174"/>
      <c r="BX278" s="175"/>
      <c r="BY278" s="122"/>
      <c r="BZ278" s="123"/>
      <c r="CA278" s="123"/>
      <c r="CB278" s="124"/>
      <c r="CC278" s="122"/>
      <c r="CD278" s="123"/>
      <c r="CE278" s="123"/>
      <c r="CF278" s="215"/>
    </row>
    <row r="279" spans="22:84" ht="14.4" customHeight="1" thickBot="1" x14ac:dyDescent="0.35">
      <c r="V279" s="49" t="str">
        <f t="shared" si="267"/>
        <v/>
      </c>
      <c r="W279" s="38" t="str" cm="1">
        <f t="array" ref="W279">IF(Y265="", "", IF(AND(Y265&lt;=MIN(AF265:AO265),Z265&gt;=MAX(AF265:AO265)),"ACCEPT",IF(AND(AF265:AO265="OK"),"ACCEPT","REJECT")))</f>
        <v/>
      </c>
      <c r="X279" s="38" t="str">
        <f t="shared" si="259"/>
        <v/>
      </c>
      <c r="Y279" s="38" t="str">
        <f t="shared" si="260"/>
        <v/>
      </c>
      <c r="Z279" s="38" t="str">
        <f t="shared" si="261"/>
        <v/>
      </c>
      <c r="AA279" s="38">
        <f t="shared" si="262"/>
        <v>1</v>
      </c>
      <c r="AB279" s="38">
        <f t="shared" si="263"/>
        <v>0</v>
      </c>
      <c r="AC279" s="38">
        <f t="shared" si="264"/>
        <v>0</v>
      </c>
      <c r="AD279" s="38">
        <f t="shared" si="265"/>
        <v>0</v>
      </c>
      <c r="AE279" s="38" t="str">
        <f t="shared" si="266"/>
        <v>-</v>
      </c>
      <c r="AP279" s="22"/>
      <c r="AQ279" s="358" t="s">
        <v>113</v>
      </c>
      <c r="AR279" s="145"/>
      <c r="AS279" s="145"/>
      <c r="AT279" s="145"/>
      <c r="AU279" s="145"/>
      <c r="AV279" s="145"/>
      <c r="AW279" s="145"/>
      <c r="AX279" s="145"/>
      <c r="AY279" s="285"/>
      <c r="AZ279" s="285"/>
      <c r="BA279" s="285"/>
      <c r="BB279" s="285"/>
      <c r="BC279" s="285"/>
      <c r="BD279" s="285"/>
      <c r="BE279" s="285"/>
      <c r="BF279" s="286"/>
      <c r="BK279" s="22"/>
      <c r="BL279" s="173"/>
      <c r="BM279" s="174"/>
      <c r="BN279" s="175"/>
      <c r="BO279" s="180"/>
      <c r="BP279" s="174"/>
      <c r="BQ279" s="175"/>
      <c r="BR279" s="180"/>
      <c r="BS279" s="174"/>
      <c r="BT279" s="174"/>
      <c r="BU279" s="174"/>
      <c r="BV279" s="174"/>
      <c r="BW279" s="174"/>
      <c r="BX279" s="175"/>
      <c r="BY279" s="122"/>
      <c r="BZ279" s="123"/>
      <c r="CA279" s="123"/>
      <c r="CB279" s="124"/>
      <c r="CC279" s="122"/>
      <c r="CD279" s="123"/>
      <c r="CE279" s="123"/>
      <c r="CF279" s="215"/>
    </row>
    <row r="280" spans="22:84" ht="14.4" customHeight="1" x14ac:dyDescent="0.3">
      <c r="V280" s="49" t="str">
        <f>IF(ISBLANK(V266),"",V266)</f>
        <v/>
      </c>
      <c r="W280" s="38" t="str" cm="1">
        <f t="array" ref="W280">IF(Y266="", "", IF(AND(Y266&lt;=MIN(AF266:AO266),Z266&gt;=MAX(AF266:AO266)),"ACCEPT",IF(AND(AF266:AO266="OK"),"ACCEPT","REJECT")))</f>
        <v/>
      </c>
      <c r="X280" s="38" t="str">
        <f t="shared" si="259"/>
        <v/>
      </c>
      <c r="Y280" s="38" t="str">
        <f t="shared" si="260"/>
        <v/>
      </c>
      <c r="Z280" s="38" t="str">
        <f t="shared" si="261"/>
        <v/>
      </c>
      <c r="AA280" s="38">
        <f t="shared" si="262"/>
        <v>1</v>
      </c>
      <c r="AB280" s="38">
        <f t="shared" si="263"/>
        <v>0</v>
      </c>
      <c r="AC280" s="38">
        <f t="shared" si="264"/>
        <v>0</v>
      </c>
      <c r="AD280" s="38">
        <f t="shared" si="265"/>
        <v>0</v>
      </c>
      <c r="AE280" s="38" t="str">
        <f t="shared" si="266"/>
        <v>-</v>
      </c>
      <c r="AP280" s="22"/>
      <c r="AQ280" s="52"/>
      <c r="AR280" s="53" t="s">
        <v>114</v>
      </c>
      <c r="AS280" s="53" t="s">
        <v>115</v>
      </c>
      <c r="AT280" s="53" t="s">
        <v>116</v>
      </c>
      <c r="AU280" s="53" t="s">
        <v>119</v>
      </c>
      <c r="AV280" s="53" t="s">
        <v>120</v>
      </c>
      <c r="AW280" s="53" t="s">
        <v>121</v>
      </c>
      <c r="AX280" s="54" t="s">
        <v>122</v>
      </c>
      <c r="AY280" s="52"/>
      <c r="AZ280" s="53" t="s">
        <v>114</v>
      </c>
      <c r="BA280" s="53" t="s">
        <v>115</v>
      </c>
      <c r="BB280" s="53" t="s">
        <v>116</v>
      </c>
      <c r="BC280" s="53" t="s">
        <v>119</v>
      </c>
      <c r="BD280" s="53" t="s">
        <v>120</v>
      </c>
      <c r="BE280" s="53" t="s">
        <v>121</v>
      </c>
      <c r="BF280" s="54" t="s">
        <v>122</v>
      </c>
      <c r="BK280" s="22"/>
      <c r="BL280" s="173"/>
      <c r="BM280" s="174"/>
      <c r="BN280" s="175"/>
      <c r="BO280" s="180"/>
      <c r="BP280" s="174"/>
      <c r="BQ280" s="175"/>
      <c r="BR280" s="180"/>
      <c r="BS280" s="174"/>
      <c r="BT280" s="174"/>
      <c r="BU280" s="174"/>
      <c r="BV280" s="174"/>
      <c r="BW280" s="174"/>
      <c r="BX280" s="175"/>
      <c r="BY280" s="122"/>
      <c r="BZ280" s="123"/>
      <c r="CA280" s="123"/>
      <c r="CB280" s="124"/>
      <c r="CC280" s="122"/>
      <c r="CD280" s="123"/>
      <c r="CE280" s="123"/>
      <c r="CF280" s="215"/>
    </row>
    <row r="281" spans="22:84" ht="14.4" customHeight="1" x14ac:dyDescent="0.3">
      <c r="V281" s="55"/>
      <c r="W281" s="56"/>
      <c r="X281" s="56"/>
      <c r="Y281" s="56"/>
      <c r="Z281" s="56"/>
      <c r="AP281" s="22"/>
      <c r="AQ281" s="49" t="str">
        <f>IF(ISBLANK(V255),"",V255)</f>
        <v/>
      </c>
      <c r="AR281" s="38" t="str" cm="1">
        <f t="array" ref="AR281">IF(AT254="", "", IF(AND(AT254&lt;=MIN(AZ254:BK254,AQ267:BK267),AU254&gt;=MAX(AZ254:BK254,AQ267:BK267)),"ACCEPT",IF(AND(AZ254:BK254,AQ267:BK267="OK"),"ACCEPT","REJECT")))</f>
        <v/>
      </c>
      <c r="AS281" s="38" t="str">
        <f t="shared" ref="AS281:AS286" si="268">IF(TRIM(AR281)="", "", MAX(AZ254:BK254,AQ267:BK267))</f>
        <v/>
      </c>
      <c r="AT281" s="38" t="str">
        <f t="shared" ref="AT281:AT286" si="269">IF(TRIM(AR281)="", "", MIN(AZ254:BK254,AQ267:BK267))</f>
        <v/>
      </c>
      <c r="AU281" s="38">
        <f t="shared" ref="AU281:AU286" si="270">IF(COUNT(AZ254:BK254,AQ267:BK267)=0,0,AVERAGE(AZ254:BK254,AQ267:BK267))</f>
        <v>0</v>
      </c>
      <c r="AV281" s="38">
        <f t="shared" ref="AV281:AV286" si="271">MAX(AZ254:BK254,AQ267:BK267)-MIN(AZ254:BK254,AQ267:BK267)</f>
        <v>0</v>
      </c>
      <c r="AW281" s="38">
        <f t="shared" ref="AW281:AW286" si="272">IF(COUNT(AZ254:BK254,AQ267:BK267)=0,0,_xlfn.STDEV.S(AZ254:BK254,AQ267:BK267))</f>
        <v>0</v>
      </c>
      <c r="AX281" s="57" t="str">
        <f t="shared" ref="AX281:AX286" si="273">IF(AU281=0,"-",IF(AU281-AT254&lt;AU254-AU281,AU281-AT254,AU254-AU281)/(AW281*3))</f>
        <v>-</v>
      </c>
      <c r="AY281" s="49" t="str">
        <f>IF(ISBLANK(V261),"",V261)</f>
        <v/>
      </c>
      <c r="AZ281" s="38" t="str" cm="1">
        <f t="array" ref="AZ281">IF(AT260="", "", IF(AND(Y261&lt;=MIN(AZ260:BK260,AQ273:BK273),AU260&gt;=MAX(AZ260:BK260,AQ273:BK273)),"ACCEPT",IF(AND(AZ260:BK260,AQ273:BK273="OK"),"ACCEPT","REJECT")))</f>
        <v/>
      </c>
      <c r="BA281" s="38" t="str">
        <f t="shared" ref="BA281:BA286" si="274">IF(TRIM(AZ281)="", "", MAX(AZ260:BK260,AQ273:BK273))</f>
        <v/>
      </c>
      <c r="BB281" s="38" t="str">
        <f t="shared" ref="BB281:BB286" si="275">IF(TRIM(AZ281)="", "", MIN(AZ260:BK260,AQ273:BK273))</f>
        <v/>
      </c>
      <c r="BC281" s="38">
        <f t="shared" ref="BC281:BC286" si="276">IF(COUNT(AZ260:BK260,AQ273:BK273)=0,0,AVERAGE(AZ260:BK260,AQ273:BK273))</f>
        <v>0</v>
      </c>
      <c r="BD281" s="38">
        <f t="shared" ref="BD281:BD286" si="277">MAX(AZ260:BK260,AQ273:BK273)-MIN(AZ260:BK260,AQ273:BK273)</f>
        <v>0</v>
      </c>
      <c r="BE281" s="38">
        <f t="shared" ref="BE281:BE286" si="278">IF(COUNT(AZ260:BK260,AQ273:BK273)=0,0,_xlfn.STDEV.S(AZ260:BK260,AQ273:BK273))</f>
        <v>0</v>
      </c>
      <c r="BF281" s="57" t="str">
        <f t="shared" ref="BF281:BF286" si="279">IF(BC281=0,"-",IF(BC281-AT260&lt;AU260-BC281,BC281-AT260,AU260-BC281)/(BE281*3))</f>
        <v>-</v>
      </c>
      <c r="BK281" s="22"/>
      <c r="BL281" s="173"/>
      <c r="BM281" s="174"/>
      <c r="BN281" s="175"/>
      <c r="BO281" s="180"/>
      <c r="BP281" s="174"/>
      <c r="BQ281" s="175"/>
      <c r="BR281" s="180"/>
      <c r="BS281" s="174"/>
      <c r="BT281" s="174"/>
      <c r="BU281" s="174"/>
      <c r="BV281" s="174"/>
      <c r="BW281" s="174"/>
      <c r="BX281" s="175"/>
      <c r="BY281" s="122"/>
      <c r="BZ281" s="123"/>
      <c r="CA281" s="123"/>
      <c r="CB281" s="124"/>
      <c r="CC281" s="122"/>
      <c r="CD281" s="123"/>
      <c r="CE281" s="123"/>
      <c r="CF281" s="215"/>
    </row>
    <row r="282" spans="22:84" ht="14.4" customHeight="1" x14ac:dyDescent="0.3">
      <c r="V282" s="58" t="s">
        <v>35</v>
      </c>
      <c r="W282" s="247"/>
      <c r="X282" s="248"/>
      <c r="Y282" s="277" t="s">
        <v>37</v>
      </c>
      <c r="Z282" s="278"/>
      <c r="AB282" s="253" t="s">
        <v>125</v>
      </c>
      <c r="AC282" s="171"/>
      <c r="AD282" s="171"/>
      <c r="AE282" s="172"/>
      <c r="AG282" s="249" t="s">
        <v>126</v>
      </c>
      <c r="AH282" s="250"/>
      <c r="AI282" s="249" t="s">
        <v>9</v>
      </c>
      <c r="AJ282" s="250"/>
      <c r="AL282" s="249" t="s">
        <v>126</v>
      </c>
      <c r="AM282" s="250"/>
      <c r="AN282" s="249" t="s">
        <v>9</v>
      </c>
      <c r="AO282" s="250"/>
      <c r="AP282" s="22"/>
      <c r="AQ282" s="49" t="str">
        <f t="shared" ref="AQ282:AQ286" si="280">IF(ISBLANK(V256),"",V256)</f>
        <v/>
      </c>
      <c r="AR282" s="38" t="str" cm="1">
        <f t="array" ref="AR282">IF(AT255="", "", IF(AND(AT255&lt;=MIN(AZ255:BK255,AQ268:BK268),AU255&gt;=MAX(AZ255:BK255,AQ268:BK268)),"ACCEPT",IF(AND(AZ255:BK255,AQ268:BK268="OK"),"ACCEPT","REJECT")))</f>
        <v/>
      </c>
      <c r="AS282" s="38" t="str">
        <f t="shared" si="268"/>
        <v/>
      </c>
      <c r="AT282" s="38" t="str">
        <f t="shared" si="269"/>
        <v/>
      </c>
      <c r="AU282" s="38">
        <f t="shared" si="270"/>
        <v>0</v>
      </c>
      <c r="AV282" s="38">
        <f t="shared" si="271"/>
        <v>0</v>
      </c>
      <c r="AW282" s="38">
        <f t="shared" si="272"/>
        <v>0</v>
      </c>
      <c r="AX282" s="57" t="str">
        <f t="shared" si="273"/>
        <v>-</v>
      </c>
      <c r="AY282" s="49" t="str">
        <f t="shared" ref="AY282:AY286" si="281">IF(ISBLANK(V262),"",V262)</f>
        <v/>
      </c>
      <c r="AZ282" s="38" t="str" cm="1">
        <f t="array" ref="AZ282">IF(AT261="", "", IF(AND(Y262&lt;=MIN(AZ261:BK261,AQ274:BK274),AU261&gt;=MAX(AZ261:BK261,AQ274:BK274)),"ACCEPT",IF(AND(AZ261:BK261,AQ274:BK274="OK"),"ACCEPT","REJECT")))</f>
        <v/>
      </c>
      <c r="BA282" s="38" t="str">
        <f t="shared" si="274"/>
        <v/>
      </c>
      <c r="BB282" s="38" t="str">
        <f t="shared" si="275"/>
        <v/>
      </c>
      <c r="BC282" s="38">
        <f t="shared" si="276"/>
        <v>0</v>
      </c>
      <c r="BD282" s="38">
        <f t="shared" si="277"/>
        <v>0</v>
      </c>
      <c r="BE282" s="38">
        <f t="shared" si="278"/>
        <v>0</v>
      </c>
      <c r="BF282" s="57" t="str">
        <f t="shared" si="279"/>
        <v>-</v>
      </c>
      <c r="BG282" s="61" t="s">
        <v>126</v>
      </c>
      <c r="BH282" s="60"/>
      <c r="BI282" s="59" t="s">
        <v>9</v>
      </c>
      <c r="BJ282" s="60"/>
      <c r="BK282" s="22"/>
      <c r="BL282" s="173"/>
      <c r="BM282" s="174"/>
      <c r="BN282" s="175"/>
      <c r="BO282" s="180"/>
      <c r="BP282" s="174"/>
      <c r="BQ282" s="175"/>
      <c r="BR282" s="180"/>
      <c r="BS282" s="174"/>
      <c r="BT282" s="174"/>
      <c r="BU282" s="174"/>
      <c r="BV282" s="174"/>
      <c r="BW282" s="174"/>
      <c r="BX282" s="175"/>
      <c r="BY282" s="122"/>
      <c r="BZ282" s="123"/>
      <c r="CA282" s="123"/>
      <c r="CB282" s="124"/>
      <c r="CC282" s="122"/>
      <c r="CD282" s="123"/>
      <c r="CE282" s="123"/>
      <c r="CF282" s="215"/>
    </row>
    <row r="283" spans="22:84" ht="14.4" customHeight="1" x14ac:dyDescent="0.3">
      <c r="V283" s="33"/>
      <c r="Y283" s="279"/>
      <c r="Z283" s="280"/>
      <c r="AB283" s="259"/>
      <c r="AC283" s="177"/>
      <c r="AD283" s="177"/>
      <c r="AE283" s="178"/>
      <c r="AG283" s="179"/>
      <c r="AH283" s="172"/>
      <c r="AI283" s="179"/>
      <c r="AJ283" s="172"/>
      <c r="AL283" s="179"/>
      <c r="AM283" s="172"/>
      <c r="AN283" s="179"/>
      <c r="AO283" s="172"/>
      <c r="AP283" s="22"/>
      <c r="AQ283" s="49" t="str">
        <f t="shared" si="280"/>
        <v/>
      </c>
      <c r="AR283" s="38" t="str" cm="1">
        <f t="array" ref="AR283">IF(AT256="", "", IF(AND(AT256&lt;=MIN(AZ256:BK256,AQ269:BK269),AU256&gt;=MAX(AZ256:BK256,AQ269:BK269)),"ACCEPT",IF(AND(AZ256:BK256,AQ269:BK269="OK"),"ACCEPT","REJECT")))</f>
        <v/>
      </c>
      <c r="AS283" s="38" t="str">
        <f t="shared" si="268"/>
        <v/>
      </c>
      <c r="AT283" s="38" t="str">
        <f t="shared" si="269"/>
        <v/>
      </c>
      <c r="AU283" s="38">
        <f t="shared" si="270"/>
        <v>0</v>
      </c>
      <c r="AV283" s="38">
        <f t="shared" si="271"/>
        <v>0</v>
      </c>
      <c r="AW283" s="38">
        <f t="shared" si="272"/>
        <v>0</v>
      </c>
      <c r="AX283" s="57" t="str">
        <f t="shared" si="273"/>
        <v>-</v>
      </c>
      <c r="AY283" s="49" t="str">
        <f t="shared" si="281"/>
        <v/>
      </c>
      <c r="AZ283" s="38" t="str" cm="1">
        <f t="array" ref="AZ283">IF(AT262="", "", IF(AND(Y263&lt;=MIN(AZ262:BK262,AQ275:BK275),AU262&gt;=MAX(AZ262:BK262,AQ275:BK275)),"ACCEPT",IF(AND(AZ262:BK262,AQ275:BK275="OK"),"ACCEPT","REJECT")))</f>
        <v/>
      </c>
      <c r="BA283" s="38" t="str">
        <f t="shared" si="274"/>
        <v/>
      </c>
      <c r="BB283" s="38" t="str">
        <f t="shared" si="275"/>
        <v/>
      </c>
      <c r="BC283" s="38">
        <f t="shared" si="276"/>
        <v>0</v>
      </c>
      <c r="BD283" s="38">
        <f t="shared" si="277"/>
        <v>0</v>
      </c>
      <c r="BE283" s="38">
        <f t="shared" si="278"/>
        <v>0</v>
      </c>
      <c r="BF283" s="57" t="str">
        <f t="shared" si="279"/>
        <v>-</v>
      </c>
      <c r="BG283" s="170"/>
      <c r="BH283" s="172"/>
      <c r="BI283" s="179"/>
      <c r="BJ283" s="172"/>
      <c r="BK283" s="22"/>
      <c r="BL283" s="173"/>
      <c r="BM283" s="174"/>
      <c r="BN283" s="175"/>
      <c r="BO283" s="180"/>
      <c r="BP283" s="174"/>
      <c r="BQ283" s="175"/>
      <c r="BR283" s="180"/>
      <c r="BS283" s="174"/>
      <c r="BT283" s="174"/>
      <c r="BU283" s="174"/>
      <c r="BV283" s="174"/>
      <c r="BW283" s="174"/>
      <c r="BX283" s="175"/>
      <c r="BY283" s="122"/>
      <c r="BZ283" s="123"/>
      <c r="CA283" s="123"/>
      <c r="CB283" s="124"/>
      <c r="CC283" s="122"/>
      <c r="CD283" s="123"/>
      <c r="CE283" s="123"/>
      <c r="CF283" s="215"/>
    </row>
    <row r="284" spans="22:84" ht="14.4" customHeight="1" x14ac:dyDescent="0.3">
      <c r="V284" s="33" t="s">
        <v>36</v>
      </c>
      <c r="W284" s="247"/>
      <c r="X284" s="248"/>
      <c r="Y284" s="281"/>
      <c r="Z284" s="282"/>
      <c r="AB284" s="273" t="s">
        <v>141</v>
      </c>
      <c r="AC284" s="48" t="s">
        <v>127</v>
      </c>
      <c r="AD284" s="276" t="s">
        <v>128</v>
      </c>
      <c r="AE284" s="276"/>
      <c r="AG284" s="180"/>
      <c r="AH284" s="175"/>
      <c r="AI284" s="180"/>
      <c r="AJ284" s="175"/>
      <c r="AL284" s="180"/>
      <c r="AM284" s="175"/>
      <c r="AN284" s="180"/>
      <c r="AO284" s="175"/>
      <c r="AP284" s="22"/>
      <c r="AQ284" s="49" t="str">
        <f t="shared" si="280"/>
        <v/>
      </c>
      <c r="AR284" s="38" t="str" cm="1">
        <f t="array" ref="AR284">IF(AT257="", "", IF(AND(AT257&lt;=MIN(AZ257:BK257,AQ270:BK270),AU257&gt;=MAX(AZ257:BK257,AQ270:BK270)),"ACCEPT",IF(AND(AZ257:BK257,AQ270:BK270="OK"),"ACCEPT","REJECT")))</f>
        <v/>
      </c>
      <c r="AS284" s="38" t="str">
        <f t="shared" si="268"/>
        <v/>
      </c>
      <c r="AT284" s="38" t="str">
        <f t="shared" si="269"/>
        <v/>
      </c>
      <c r="AU284" s="38">
        <f t="shared" si="270"/>
        <v>0</v>
      </c>
      <c r="AV284" s="38">
        <f t="shared" si="271"/>
        <v>0</v>
      </c>
      <c r="AW284" s="38">
        <f t="shared" si="272"/>
        <v>0</v>
      </c>
      <c r="AX284" s="57" t="str">
        <f t="shared" si="273"/>
        <v>-</v>
      </c>
      <c r="AY284" s="49" t="str">
        <f t="shared" si="281"/>
        <v/>
      </c>
      <c r="AZ284" s="38" t="str" cm="1">
        <f t="array" ref="AZ284">IF(AT263="", "", IF(AND(Y264&lt;=MIN(AZ263:BK263,AQ276:BK276),AU263&gt;=MAX(AZ263:BK263,AQ276:BK276)),"ACCEPT",IF(AND(AZ263:BK263,AQ276:BK276="OK"),"ACCEPT","REJECT")))</f>
        <v/>
      </c>
      <c r="BA284" s="38" t="str">
        <f t="shared" si="274"/>
        <v/>
      </c>
      <c r="BB284" s="38" t="str">
        <f t="shared" si="275"/>
        <v/>
      </c>
      <c r="BC284" s="38">
        <f t="shared" si="276"/>
        <v>0</v>
      </c>
      <c r="BD284" s="38">
        <f t="shared" si="277"/>
        <v>0</v>
      </c>
      <c r="BE284" s="38">
        <f t="shared" si="278"/>
        <v>0</v>
      </c>
      <c r="BF284" s="57" t="str">
        <f t="shared" si="279"/>
        <v>-</v>
      </c>
      <c r="BG284" s="173"/>
      <c r="BH284" s="175"/>
      <c r="BI284" s="180"/>
      <c r="BJ284" s="175"/>
      <c r="BK284" s="22"/>
      <c r="BL284" s="173"/>
      <c r="BM284" s="174"/>
      <c r="BN284" s="175"/>
      <c r="BO284" s="180"/>
      <c r="BP284" s="174"/>
      <c r="BQ284" s="175"/>
      <c r="BR284" s="180"/>
      <c r="BS284" s="174"/>
      <c r="BT284" s="174"/>
      <c r="BU284" s="174"/>
      <c r="BV284" s="174"/>
      <c r="BW284" s="174"/>
      <c r="BX284" s="175"/>
      <c r="BY284" s="122"/>
      <c r="BZ284" s="123"/>
      <c r="CA284" s="123"/>
      <c r="CB284" s="124"/>
      <c r="CC284" s="122"/>
      <c r="CD284" s="123"/>
      <c r="CE284" s="123"/>
      <c r="CF284" s="215"/>
    </row>
    <row r="285" spans="22:84" ht="14.4" customHeight="1" x14ac:dyDescent="0.3">
      <c r="V285" s="33"/>
      <c r="Y285" s="283"/>
      <c r="Z285" s="284"/>
      <c r="AB285" s="274"/>
      <c r="AC285" s="48" t="s">
        <v>129</v>
      </c>
      <c r="AD285" s="276" t="s">
        <v>130</v>
      </c>
      <c r="AE285" s="276"/>
      <c r="AG285" s="181"/>
      <c r="AH285" s="178"/>
      <c r="AI285" s="181"/>
      <c r="AJ285" s="178"/>
      <c r="AL285" s="181"/>
      <c r="AM285" s="178"/>
      <c r="AN285" s="181"/>
      <c r="AO285" s="178"/>
      <c r="AP285" s="22"/>
      <c r="AQ285" s="49" t="str">
        <f t="shared" si="280"/>
        <v/>
      </c>
      <c r="AR285" s="38" t="str" cm="1">
        <f t="array" ref="AR285">IF(AT258="", "", IF(AND(AT258&lt;=MIN(AZ258:BK258,AQ271:BK271),AU258&gt;=MAX(AZ258:BK258,AQ271:BK271)),"ACCEPT",IF(AND(AZ258:BK258,AQ271:BK271="OK"),"ACCEPT","REJECT")))</f>
        <v/>
      </c>
      <c r="AS285" s="38" t="str">
        <f t="shared" si="268"/>
        <v/>
      </c>
      <c r="AT285" s="38" t="str">
        <f t="shared" si="269"/>
        <v/>
      </c>
      <c r="AU285" s="38">
        <f t="shared" si="270"/>
        <v>0</v>
      </c>
      <c r="AV285" s="38">
        <f t="shared" si="271"/>
        <v>0</v>
      </c>
      <c r="AW285" s="38">
        <f t="shared" si="272"/>
        <v>0</v>
      </c>
      <c r="AX285" s="57" t="str">
        <f t="shared" si="273"/>
        <v>-</v>
      </c>
      <c r="AY285" s="49" t="str">
        <f t="shared" si="281"/>
        <v/>
      </c>
      <c r="AZ285" s="38" t="str" cm="1">
        <f t="array" ref="AZ285">IF(AT264="", "", IF(AND(Y265&lt;=MIN(AZ264:BK264,AQ277:BK277),AU264&gt;=MAX(AZ264:BK264,AQ277:BK277)),"ACCEPT",IF(AND(AZ264:BK264,AQ277:BK277="OK"),"ACCEPT","REJECT")))</f>
        <v/>
      </c>
      <c r="BA285" s="38" t="str">
        <f t="shared" si="274"/>
        <v/>
      </c>
      <c r="BB285" s="38" t="str">
        <f t="shared" si="275"/>
        <v/>
      </c>
      <c r="BC285" s="38">
        <f t="shared" si="276"/>
        <v>0</v>
      </c>
      <c r="BD285" s="38">
        <f t="shared" si="277"/>
        <v>0</v>
      </c>
      <c r="BE285" s="38">
        <f t="shared" si="278"/>
        <v>0</v>
      </c>
      <c r="BF285" s="57" t="str">
        <f t="shared" si="279"/>
        <v>-</v>
      </c>
      <c r="BG285" s="176"/>
      <c r="BH285" s="178"/>
      <c r="BI285" s="181"/>
      <c r="BJ285" s="178"/>
      <c r="BK285" s="22"/>
      <c r="BL285" s="173"/>
      <c r="BM285" s="174"/>
      <c r="BN285" s="175"/>
      <c r="BO285" s="180"/>
      <c r="BP285" s="174"/>
      <c r="BQ285" s="175"/>
      <c r="BR285" s="180"/>
      <c r="BS285" s="174"/>
      <c r="BT285" s="174"/>
      <c r="BU285" s="174"/>
      <c r="BV285" s="174"/>
      <c r="BW285" s="174"/>
      <c r="BX285" s="175"/>
      <c r="BY285" s="122"/>
      <c r="BZ285" s="123"/>
      <c r="CA285" s="123"/>
      <c r="CB285" s="124"/>
      <c r="CC285" s="125"/>
      <c r="CD285" s="126"/>
      <c r="CE285" s="126"/>
      <c r="CF285" s="216"/>
    </row>
    <row r="286" spans="22:84" ht="14.4" customHeight="1" x14ac:dyDescent="0.3">
      <c r="V286" s="55"/>
      <c r="W286" s="56"/>
      <c r="X286" s="56"/>
      <c r="Y286" s="75" t="s">
        <v>48</v>
      </c>
      <c r="Z286" s="62"/>
      <c r="AB286" s="275"/>
      <c r="AC286" s="48" t="s">
        <v>131</v>
      </c>
      <c r="AD286" s="276" t="s">
        <v>132</v>
      </c>
      <c r="AE286" s="276"/>
      <c r="AG286" s="83" t="s">
        <v>48</v>
      </c>
      <c r="AH286" s="35"/>
      <c r="AI286" s="83" t="s">
        <v>48</v>
      </c>
      <c r="AJ286" s="35"/>
      <c r="AL286" s="83" t="s">
        <v>48</v>
      </c>
      <c r="AM286" s="35"/>
      <c r="AN286" s="83" t="s">
        <v>48</v>
      </c>
      <c r="AO286" s="35"/>
      <c r="AP286" s="22"/>
      <c r="AQ286" s="49" t="str">
        <f t="shared" si="280"/>
        <v/>
      </c>
      <c r="AR286" s="38" t="str" cm="1">
        <f t="array" ref="AR286">IF(AT259="", "", IF(AND(AT259&lt;=MIN(AZ259:BK259,AQ272:BK272),AU259&gt;=MAX(AZ259:BK259,AQ272:BK272)),"ACCEPT",IF(AND(AZ259:BK259,AQ272:BK272="OK"),"ACCEPT","REJECT")))</f>
        <v/>
      </c>
      <c r="AS286" s="38" t="str">
        <f t="shared" si="268"/>
        <v/>
      </c>
      <c r="AT286" s="38" t="str">
        <f t="shared" si="269"/>
        <v/>
      </c>
      <c r="AU286" s="38">
        <f t="shared" si="270"/>
        <v>0</v>
      </c>
      <c r="AV286" s="38">
        <f t="shared" si="271"/>
        <v>0</v>
      </c>
      <c r="AW286" s="38">
        <f t="shared" si="272"/>
        <v>0</v>
      </c>
      <c r="AX286" s="57" t="str">
        <f t="shared" si="273"/>
        <v>-</v>
      </c>
      <c r="AY286" s="49" t="str">
        <f t="shared" si="281"/>
        <v/>
      </c>
      <c r="AZ286" s="38" t="str" cm="1">
        <f t="array" ref="AZ286">IF(AT265="", "", IF(AND(Y266&lt;=MIN(AZ265:BK265,AQ278:BK278),AU265&gt;=MAX(AZ265:BK265,AQ278:BK278)),"ACCEPT",IF(AND(AZ265:BK265,AQ278:BK278="OK"),"ACCEPT","REJECT")))</f>
        <v/>
      </c>
      <c r="BA286" s="38" t="str">
        <f t="shared" si="274"/>
        <v/>
      </c>
      <c r="BB286" s="38" t="str">
        <f t="shared" si="275"/>
        <v/>
      </c>
      <c r="BC286" s="38">
        <f t="shared" si="276"/>
        <v>0</v>
      </c>
      <c r="BD286" s="38">
        <f t="shared" si="277"/>
        <v>0</v>
      </c>
      <c r="BE286" s="38">
        <f t="shared" si="278"/>
        <v>0</v>
      </c>
      <c r="BF286" s="57" t="str">
        <f t="shared" si="279"/>
        <v>-</v>
      </c>
      <c r="BG286" s="61" t="s">
        <v>48</v>
      </c>
      <c r="BH286" s="35"/>
      <c r="BI286" s="59" t="s">
        <v>48</v>
      </c>
      <c r="BJ286" s="35"/>
      <c r="BK286" s="22"/>
      <c r="BL286" s="173"/>
      <c r="BM286" s="174"/>
      <c r="BN286" s="175"/>
      <c r="BO286" s="180"/>
      <c r="BP286" s="174"/>
      <c r="BQ286" s="175"/>
      <c r="BR286" s="180"/>
      <c r="BS286" s="174"/>
      <c r="BT286" s="174"/>
      <c r="BU286" s="174"/>
      <c r="BV286" s="174"/>
      <c r="BW286" s="174"/>
      <c r="BX286" s="175"/>
      <c r="BY286" s="122"/>
      <c r="BZ286" s="123"/>
      <c r="CA286" s="123"/>
      <c r="CB286" s="124"/>
      <c r="CC286" s="150" t="s">
        <v>123</v>
      </c>
      <c r="CD286" s="151"/>
      <c r="CE286" s="151"/>
      <c r="CF286" s="152"/>
    </row>
    <row r="287" spans="22:84" ht="14.4" customHeight="1" thickBot="1" x14ac:dyDescent="0.35">
      <c r="V287" s="55"/>
      <c r="W287" s="56"/>
      <c r="X287" s="56"/>
      <c r="Y287" s="56"/>
      <c r="Z287" s="56"/>
      <c r="AA287" s="56"/>
      <c r="AB287" s="56"/>
      <c r="AC287" s="56"/>
      <c r="AD287" s="56"/>
      <c r="AE287" s="56"/>
      <c r="AF287" s="56"/>
      <c r="AG287" s="56"/>
      <c r="AH287" s="56"/>
      <c r="AI287" s="56"/>
      <c r="AJ287" s="56"/>
      <c r="AK287" s="56"/>
      <c r="AL287" s="56"/>
      <c r="AM287" s="56"/>
      <c r="AN287" s="56"/>
      <c r="AO287" s="56"/>
      <c r="AP287" s="65"/>
      <c r="AQ287" s="55"/>
      <c r="AR287" s="66"/>
      <c r="AS287" s="56"/>
      <c r="AT287" s="56"/>
      <c r="AU287" s="56"/>
      <c r="AV287" s="56"/>
      <c r="AW287" s="56"/>
      <c r="AX287" s="56"/>
      <c r="AY287" s="56"/>
      <c r="AZ287" s="56"/>
      <c r="BA287" s="56"/>
      <c r="BB287" s="56"/>
      <c r="BC287" s="56"/>
      <c r="BD287" s="56"/>
      <c r="BE287" s="56"/>
      <c r="BF287" s="56"/>
      <c r="BG287" s="56"/>
      <c r="BH287" s="56"/>
      <c r="BI287" s="56"/>
      <c r="BJ287" s="56"/>
      <c r="BK287" s="65"/>
      <c r="BL287" s="176"/>
      <c r="BM287" s="177"/>
      <c r="BN287" s="178"/>
      <c r="BO287" s="181"/>
      <c r="BP287" s="177"/>
      <c r="BQ287" s="178"/>
      <c r="BR287" s="181"/>
      <c r="BS287" s="177"/>
      <c r="BT287" s="177"/>
      <c r="BU287" s="177"/>
      <c r="BV287" s="177"/>
      <c r="BW287" s="177"/>
      <c r="BX287" s="178"/>
      <c r="BY287" s="125"/>
      <c r="BZ287" s="126"/>
      <c r="CA287" s="126"/>
      <c r="CB287" s="127"/>
      <c r="CC287" s="153"/>
      <c r="CD287" s="154"/>
      <c r="CE287" s="154"/>
      <c r="CF287" s="155"/>
    </row>
    <row r="288" spans="22:84" ht="14.4" customHeight="1" thickBot="1" x14ac:dyDescent="0.35">
      <c r="V288" s="67"/>
      <c r="W288" s="68"/>
      <c r="X288" s="68"/>
      <c r="Y288" s="68"/>
      <c r="Z288" s="68"/>
      <c r="AA288" s="68"/>
      <c r="AB288" s="68"/>
      <c r="AC288" s="68"/>
      <c r="AD288" s="68"/>
      <c r="AE288" s="68"/>
      <c r="AF288" s="68"/>
      <c r="AG288" s="233" t="s">
        <v>140</v>
      </c>
      <c r="AH288" s="233"/>
      <c r="AI288" s="233"/>
      <c r="AJ288" s="234" t="s">
        <v>139</v>
      </c>
      <c r="AK288" s="234"/>
      <c r="AL288" s="234"/>
      <c r="AM288" s="234"/>
      <c r="AN288" s="234" t="s">
        <v>138</v>
      </c>
      <c r="AO288" s="234"/>
      <c r="AP288" s="235"/>
      <c r="AQ288" s="67"/>
      <c r="AR288" s="68"/>
      <c r="AS288" s="68"/>
      <c r="AT288" s="68"/>
      <c r="AU288" s="68"/>
      <c r="AV288" s="68"/>
      <c r="AW288" s="68"/>
      <c r="AX288" s="68"/>
      <c r="AY288" s="68"/>
      <c r="AZ288" s="68"/>
      <c r="BA288" s="68"/>
      <c r="BB288" s="233" t="s">
        <v>140</v>
      </c>
      <c r="BC288" s="233"/>
      <c r="BD288" s="233"/>
      <c r="BE288" s="234" t="s">
        <v>139</v>
      </c>
      <c r="BF288" s="234"/>
      <c r="BG288" s="234"/>
      <c r="BH288" s="234"/>
      <c r="BI288" s="234" t="s">
        <v>142</v>
      </c>
      <c r="BJ288" s="234"/>
      <c r="BK288" s="235"/>
      <c r="BL288" s="67"/>
      <c r="BM288" s="68"/>
      <c r="BN288" s="68"/>
      <c r="BO288" s="68"/>
      <c r="BP288" s="68"/>
      <c r="BQ288" s="68"/>
      <c r="BR288" s="68"/>
      <c r="BS288" s="68"/>
      <c r="BT288" s="68"/>
      <c r="BU288" s="68"/>
      <c r="BV288" s="68"/>
      <c r="BW288" s="68"/>
      <c r="BX288" s="68"/>
      <c r="BY288" s="68"/>
      <c r="BZ288" s="71" t="s">
        <v>133</v>
      </c>
      <c r="CA288" s="68"/>
      <c r="CB288" s="68"/>
      <c r="CC288" s="68"/>
      <c r="CD288" s="68"/>
      <c r="CE288" s="68"/>
      <c r="CF288" s="69"/>
    </row>
    <row r="289" spans="22:84" ht="14.4" customHeight="1" x14ac:dyDescent="0.3">
      <c r="V289" s="183" t="e" vm="1">
        <v>#VALUE!</v>
      </c>
      <c r="W289" s="184"/>
      <c r="X289" s="189" t="s">
        <v>1</v>
      </c>
      <c r="Y289" s="189"/>
      <c r="Z289" s="189"/>
      <c r="AA289" s="189"/>
      <c r="AB289" s="189"/>
      <c r="AC289" s="189"/>
      <c r="AD289" s="189"/>
      <c r="AE289" s="189"/>
      <c r="AF289" s="291" t="s">
        <v>2</v>
      </c>
      <c r="AG289" s="191"/>
      <c r="AH289" s="191"/>
      <c r="AI289" s="191"/>
      <c r="AJ289" s="191"/>
      <c r="AK289" s="191"/>
      <c r="AL289" s="191"/>
      <c r="AM289" s="191"/>
      <c r="AN289" s="191" t="e" vm="4">
        <v>#VALUE!</v>
      </c>
      <c r="AO289" s="191"/>
      <c r="AP289" s="192"/>
      <c r="AQ289" s="183" t="e" vm="1">
        <v>#VALUE!</v>
      </c>
      <c r="AR289" s="184"/>
      <c r="AS289" s="190" t="s">
        <v>1</v>
      </c>
      <c r="AT289" s="190"/>
      <c r="AU289" s="190"/>
      <c r="AV289" s="190"/>
      <c r="AW289" s="190"/>
      <c r="AX289" s="190"/>
      <c r="AY289" s="190"/>
      <c r="AZ289" s="190"/>
      <c r="BA289" s="190" t="s">
        <v>3</v>
      </c>
      <c r="BB289" s="190"/>
      <c r="BC289" s="190"/>
      <c r="BD289" s="190"/>
      <c r="BE289" s="190"/>
      <c r="BF289" s="190"/>
      <c r="BG289" s="190"/>
      <c r="BH289" s="190"/>
      <c r="BI289" s="191" t="e" vm="4">
        <v>#VALUE!</v>
      </c>
      <c r="BJ289" s="191"/>
      <c r="BK289" s="192"/>
      <c r="BL289" s="183" t="e" vm="1">
        <v>#VALUE!</v>
      </c>
      <c r="BM289" s="184"/>
      <c r="BN289" s="189" t="s">
        <v>1</v>
      </c>
      <c r="BO289" s="189"/>
      <c r="BP289" s="189"/>
      <c r="BQ289" s="189"/>
      <c r="BR289" s="189"/>
      <c r="BS289" s="189"/>
      <c r="BT289" s="189"/>
      <c r="BU289" s="189"/>
      <c r="BV289" s="189" t="s">
        <v>4</v>
      </c>
      <c r="BW289" s="189"/>
      <c r="BX289" s="189"/>
      <c r="BY289" s="189"/>
      <c r="BZ289" s="189"/>
      <c r="CA289" s="189"/>
      <c r="CB289" s="189"/>
      <c r="CC289" s="189"/>
      <c r="CD289" s="191" t="e" vm="3">
        <v>#VALUE!</v>
      </c>
      <c r="CE289" s="191"/>
      <c r="CF289" s="192"/>
    </row>
    <row r="290" spans="22:84" ht="14.4" customHeight="1" x14ac:dyDescent="0.3">
      <c r="V290" s="185"/>
      <c r="W290" s="186"/>
      <c r="X290" s="190"/>
      <c r="Y290" s="190"/>
      <c r="Z290" s="190"/>
      <c r="AA290" s="190"/>
      <c r="AB290" s="190"/>
      <c r="AC290" s="190"/>
      <c r="AD290" s="190"/>
      <c r="AE290" s="190"/>
      <c r="AF290" s="293"/>
      <c r="AG290" s="193"/>
      <c r="AH290" s="193"/>
      <c r="AI290" s="193"/>
      <c r="AJ290" s="193"/>
      <c r="AK290" s="193"/>
      <c r="AL290" s="193"/>
      <c r="AM290" s="193"/>
      <c r="AN290" s="193"/>
      <c r="AO290" s="193"/>
      <c r="AP290" s="194"/>
      <c r="AQ290" s="185"/>
      <c r="AR290" s="186"/>
      <c r="AS290" s="190"/>
      <c r="AT290" s="190"/>
      <c r="AU290" s="190"/>
      <c r="AV290" s="190"/>
      <c r="AW290" s="190"/>
      <c r="AX290" s="190"/>
      <c r="AY290" s="190"/>
      <c r="AZ290" s="190"/>
      <c r="BA290" s="190"/>
      <c r="BB290" s="190"/>
      <c r="BC290" s="190"/>
      <c r="BD290" s="190"/>
      <c r="BE290" s="190"/>
      <c r="BF290" s="190"/>
      <c r="BG290" s="190"/>
      <c r="BH290" s="190"/>
      <c r="BI290" s="193"/>
      <c r="BJ290" s="193"/>
      <c r="BK290" s="194"/>
      <c r="BL290" s="185"/>
      <c r="BM290" s="186"/>
      <c r="BN290" s="190"/>
      <c r="BO290" s="190"/>
      <c r="BP290" s="190"/>
      <c r="BQ290" s="190"/>
      <c r="BR290" s="190"/>
      <c r="BS290" s="190"/>
      <c r="BT290" s="190"/>
      <c r="BU290" s="190"/>
      <c r="BV290" s="190"/>
      <c r="BW290" s="190"/>
      <c r="BX290" s="190"/>
      <c r="BY290" s="190"/>
      <c r="BZ290" s="190"/>
      <c r="CA290" s="190"/>
      <c r="CB290" s="190"/>
      <c r="CC290" s="190"/>
      <c r="CD290" s="193"/>
      <c r="CE290" s="193"/>
      <c r="CF290" s="194"/>
    </row>
    <row r="291" spans="22:84" ht="14.4" customHeight="1" x14ac:dyDescent="0.3">
      <c r="V291" s="187"/>
      <c r="W291" s="188"/>
      <c r="X291" s="190"/>
      <c r="Y291" s="190"/>
      <c r="Z291" s="190"/>
      <c r="AA291" s="190"/>
      <c r="AB291" s="190"/>
      <c r="AC291" s="190"/>
      <c r="AD291" s="190"/>
      <c r="AE291" s="190"/>
      <c r="AF291" s="295"/>
      <c r="AG291" s="195"/>
      <c r="AH291" s="195"/>
      <c r="AI291" s="195"/>
      <c r="AJ291" s="195"/>
      <c r="AK291" s="195"/>
      <c r="AL291" s="195"/>
      <c r="AM291" s="195"/>
      <c r="AN291" s="193"/>
      <c r="AO291" s="193"/>
      <c r="AP291" s="194"/>
      <c r="AQ291" s="187"/>
      <c r="AR291" s="188"/>
      <c r="AS291" s="190"/>
      <c r="AT291" s="190"/>
      <c r="AU291" s="190"/>
      <c r="AV291" s="190"/>
      <c r="AW291" s="190"/>
      <c r="AX291" s="190"/>
      <c r="AY291" s="190"/>
      <c r="AZ291" s="190"/>
      <c r="BA291" s="190"/>
      <c r="BB291" s="190"/>
      <c r="BC291" s="190"/>
      <c r="BD291" s="190"/>
      <c r="BE291" s="190"/>
      <c r="BF291" s="190"/>
      <c r="BG291" s="190"/>
      <c r="BH291" s="190"/>
      <c r="BI291" s="195"/>
      <c r="BJ291" s="195"/>
      <c r="BK291" s="196"/>
      <c r="BL291" s="187"/>
      <c r="BM291" s="188"/>
      <c r="BN291" s="190"/>
      <c r="BO291" s="190"/>
      <c r="BP291" s="190"/>
      <c r="BQ291" s="190"/>
      <c r="BR291" s="190"/>
      <c r="BS291" s="190"/>
      <c r="BT291" s="190"/>
      <c r="BU291" s="190"/>
      <c r="BV291" s="190"/>
      <c r="BW291" s="190"/>
      <c r="BX291" s="190"/>
      <c r="BY291" s="190"/>
      <c r="BZ291" s="190"/>
      <c r="CA291" s="190"/>
      <c r="CB291" s="190"/>
      <c r="CC291" s="190"/>
      <c r="CD291" s="195"/>
      <c r="CE291" s="195"/>
      <c r="CF291" s="196"/>
    </row>
    <row r="292" spans="22:84" ht="14.4" customHeight="1" x14ac:dyDescent="0.3">
      <c r="V292" s="107" t="s">
        <v>7</v>
      </c>
      <c r="W292" s="106"/>
      <c r="X292" s="182" t="str">
        <f>IF(ISBLANK($C$4),"",$C$4)</f>
        <v/>
      </c>
      <c r="Y292" s="182"/>
      <c r="Z292" s="182"/>
      <c r="AA292" s="182"/>
      <c r="AB292" s="182"/>
      <c r="AC292" s="105" t="s">
        <v>8</v>
      </c>
      <c r="AD292" s="112"/>
      <c r="AE292" s="106"/>
      <c r="AF292" s="105" t="s">
        <v>9</v>
      </c>
      <c r="AG292" s="112"/>
      <c r="AH292" s="106"/>
      <c r="AI292" s="105" t="s">
        <v>10</v>
      </c>
      <c r="AJ292" s="112"/>
      <c r="AK292" s="106"/>
      <c r="AL292" s="113" t="s">
        <v>11</v>
      </c>
      <c r="AM292" s="117"/>
      <c r="AN292" s="113" t="str">
        <f>IF(ISBLANK($S$4),"",$S$4)</f>
        <v/>
      </c>
      <c r="AO292" s="117"/>
      <c r="AP292" s="114"/>
      <c r="AQ292" s="112" t="s">
        <v>7</v>
      </c>
      <c r="AR292" s="106"/>
      <c r="AS292" s="182" t="str">
        <f>IF(ISBLANK($C$4),"",$C$4)</f>
        <v/>
      </c>
      <c r="AT292" s="182"/>
      <c r="AU292" s="182"/>
      <c r="AV292" s="182"/>
      <c r="AW292" s="182"/>
      <c r="AX292" s="108" t="s">
        <v>8</v>
      </c>
      <c r="AY292" s="109"/>
      <c r="AZ292" s="110"/>
      <c r="BA292" s="108" t="s">
        <v>9</v>
      </c>
      <c r="BB292" s="109"/>
      <c r="BC292" s="110"/>
      <c r="BD292" s="108" t="s">
        <v>10</v>
      </c>
      <c r="BE292" s="109"/>
      <c r="BF292" s="110"/>
      <c r="BG292" s="113" t="s">
        <v>11</v>
      </c>
      <c r="BH292" s="114"/>
      <c r="BI292" s="113" t="str">
        <f>IF(ISBLANK($S$4),"",$S$4)</f>
        <v/>
      </c>
      <c r="BJ292" s="117"/>
      <c r="BK292" s="114"/>
      <c r="BL292" s="112" t="s">
        <v>7</v>
      </c>
      <c r="BM292" s="106"/>
      <c r="BN292" s="182" t="str">
        <f>IF(ISBLANK($C$4),"",$C$4)</f>
        <v/>
      </c>
      <c r="BO292" s="182"/>
      <c r="BP292" s="182"/>
      <c r="BQ292" s="182"/>
      <c r="BR292" s="182"/>
      <c r="BS292" s="108" t="s">
        <v>8</v>
      </c>
      <c r="BT292" s="109"/>
      <c r="BU292" s="110"/>
      <c r="BV292" s="108" t="s">
        <v>9</v>
      </c>
      <c r="BW292" s="109"/>
      <c r="BX292" s="110"/>
      <c r="BY292" s="108" t="s">
        <v>10</v>
      </c>
      <c r="BZ292" s="109"/>
      <c r="CA292" s="110"/>
      <c r="CB292" s="113" t="s">
        <v>11</v>
      </c>
      <c r="CC292" s="114"/>
      <c r="CD292" s="113" t="str">
        <f>IF(ISBLANK($S$4),"",$S$4)</f>
        <v/>
      </c>
      <c r="CE292" s="117"/>
      <c r="CF292" s="114"/>
    </row>
    <row r="293" spans="22:84" ht="14.4" customHeight="1" x14ac:dyDescent="0.3">
      <c r="V293" s="107" t="s">
        <v>12</v>
      </c>
      <c r="W293" s="106"/>
      <c r="X293" s="182" t="str">
        <f>IF(ISBLANK($C$5),"",$C$5)</f>
        <v/>
      </c>
      <c r="Y293" s="182"/>
      <c r="Z293" s="182"/>
      <c r="AA293" s="182"/>
      <c r="AB293" s="182"/>
      <c r="AC293" s="105" t="s">
        <v>13</v>
      </c>
      <c r="AD293" s="112"/>
      <c r="AE293" s="106"/>
      <c r="AF293" s="105" t="s">
        <v>14</v>
      </c>
      <c r="AG293" s="112"/>
      <c r="AH293" s="106"/>
      <c r="AI293" s="105" t="s">
        <v>15</v>
      </c>
      <c r="AJ293" s="112"/>
      <c r="AK293" s="106"/>
      <c r="AL293" s="115"/>
      <c r="AM293" s="118"/>
      <c r="AN293" s="115" t="str">
        <f>IF(ISBLANK($S$5),"",$S$5)</f>
        <v/>
      </c>
      <c r="AO293" s="118"/>
      <c r="AP293" s="116"/>
      <c r="AQ293" s="112" t="s">
        <v>12</v>
      </c>
      <c r="AR293" s="106"/>
      <c r="AS293" s="182" t="str">
        <f>IF(ISBLANK($C$5),"",$C$5)</f>
        <v/>
      </c>
      <c r="AT293" s="182"/>
      <c r="AU293" s="182"/>
      <c r="AV293" s="182"/>
      <c r="AW293" s="182"/>
      <c r="AX293" s="108" t="s">
        <v>13</v>
      </c>
      <c r="AY293" s="109"/>
      <c r="AZ293" s="110"/>
      <c r="BA293" s="108" t="s">
        <v>14</v>
      </c>
      <c r="BB293" s="109"/>
      <c r="BC293" s="110"/>
      <c r="BD293" s="108" t="s">
        <v>15</v>
      </c>
      <c r="BE293" s="109"/>
      <c r="BF293" s="110"/>
      <c r="BG293" s="115"/>
      <c r="BH293" s="116"/>
      <c r="BI293" s="115" t="str">
        <f>IF(ISBLANK($S$5),"",$S$5)</f>
        <v/>
      </c>
      <c r="BJ293" s="118"/>
      <c r="BK293" s="116"/>
      <c r="BL293" s="112" t="s">
        <v>12</v>
      </c>
      <c r="BM293" s="106"/>
      <c r="BN293" s="182" t="str">
        <f>IF(ISBLANK($C$5),"",$C$5)</f>
        <v/>
      </c>
      <c r="BO293" s="182"/>
      <c r="BP293" s="182"/>
      <c r="BQ293" s="182"/>
      <c r="BR293" s="182"/>
      <c r="BS293" s="108" t="s">
        <v>143</v>
      </c>
      <c r="BT293" s="109"/>
      <c r="BU293" s="110"/>
      <c r="BV293" s="108" t="s">
        <v>144</v>
      </c>
      <c r="BW293" s="109"/>
      <c r="BX293" s="110"/>
      <c r="BY293" s="108" t="s">
        <v>15</v>
      </c>
      <c r="BZ293" s="109"/>
      <c r="CA293" s="110"/>
      <c r="CB293" s="115"/>
      <c r="CC293" s="116"/>
      <c r="CD293" s="115" t="str">
        <f>IF(ISBLANK($S$5),"",$S$5)</f>
        <v/>
      </c>
      <c r="CE293" s="118"/>
      <c r="CF293" s="116"/>
    </row>
    <row r="294" spans="22:84" ht="14.4" customHeight="1" x14ac:dyDescent="0.3">
      <c r="V294" s="107" t="s">
        <v>42</v>
      </c>
      <c r="W294" s="106"/>
      <c r="X294" s="182" t="str">
        <f>IF(ISBLANK($C$6),"",$C$6)</f>
        <v/>
      </c>
      <c r="Y294" s="182"/>
      <c r="Z294" s="182"/>
      <c r="AA294" s="182"/>
      <c r="AB294" s="182"/>
      <c r="AC294" s="253"/>
      <c r="AD294" s="254"/>
      <c r="AE294" s="255"/>
      <c r="AF294" s="253"/>
      <c r="AG294" s="254"/>
      <c r="AH294" s="255"/>
      <c r="AI294" s="253"/>
      <c r="AJ294" s="254"/>
      <c r="AK294" s="255"/>
      <c r="AL294" s="105" t="s">
        <v>43</v>
      </c>
      <c r="AM294" s="106"/>
      <c r="AN294" s="115" t="str">
        <f>IF(ISBLANK($S$6),"",$S$6)</f>
        <v/>
      </c>
      <c r="AO294" s="118"/>
      <c r="AP294" s="252"/>
      <c r="AQ294" s="107" t="s">
        <v>42</v>
      </c>
      <c r="AR294" s="106"/>
      <c r="AS294" s="182" t="str">
        <f>IF(ISBLANK($C$6),"",$C$6)</f>
        <v/>
      </c>
      <c r="AT294" s="182"/>
      <c r="AU294" s="182"/>
      <c r="AV294" s="182"/>
      <c r="AW294" s="182"/>
      <c r="AX294" s="253"/>
      <c r="AY294" s="254"/>
      <c r="AZ294" s="255"/>
      <c r="BA294" s="253"/>
      <c r="BB294" s="254"/>
      <c r="BC294" s="255"/>
      <c r="BD294" s="253"/>
      <c r="BE294" s="254"/>
      <c r="BF294" s="255"/>
      <c r="BG294" s="105" t="s">
        <v>43</v>
      </c>
      <c r="BH294" s="106"/>
      <c r="BI294" s="115" t="str">
        <f>IF(ISBLANK($S$6),"",$S$6)</f>
        <v/>
      </c>
      <c r="BJ294" s="118"/>
      <c r="BK294" s="252"/>
      <c r="BL294" s="107" t="s">
        <v>42</v>
      </c>
      <c r="BM294" s="106"/>
      <c r="BN294" s="182" t="str">
        <f>IF(ISBLANK($C$6),"",$C$6)</f>
        <v/>
      </c>
      <c r="BO294" s="182"/>
      <c r="BP294" s="182"/>
      <c r="BQ294" s="182"/>
      <c r="BR294" s="182"/>
      <c r="BS294" s="141"/>
      <c r="BT294" s="142"/>
      <c r="BU294" s="143"/>
      <c r="BV294" s="141"/>
      <c r="BW294" s="142"/>
      <c r="BX294" s="143"/>
      <c r="BY294" s="141"/>
      <c r="BZ294" s="142"/>
      <c r="CA294" s="143"/>
      <c r="CB294" s="105" t="s">
        <v>43</v>
      </c>
      <c r="CC294" s="106"/>
      <c r="CD294" s="115" t="str">
        <f>IF(ISBLANK($S$6),"",$S$6)</f>
        <v/>
      </c>
      <c r="CE294" s="118"/>
      <c r="CF294" s="252"/>
    </row>
    <row r="295" spans="22:84" ht="14.4" customHeight="1" x14ac:dyDescent="0.3">
      <c r="V295" s="107" t="s">
        <v>16</v>
      </c>
      <c r="W295" s="106"/>
      <c r="X295" s="182" t="str">
        <f>IF(ISBLANK($C$7),"",$C$7)</f>
        <v/>
      </c>
      <c r="Y295" s="182"/>
      <c r="Z295" s="182"/>
      <c r="AA295" s="182"/>
      <c r="AB295" s="182"/>
      <c r="AC295" s="256"/>
      <c r="AD295" s="257"/>
      <c r="AE295" s="258"/>
      <c r="AF295" s="256"/>
      <c r="AG295" s="257"/>
      <c r="AH295" s="258"/>
      <c r="AI295" s="256"/>
      <c r="AJ295" s="257"/>
      <c r="AK295" s="258"/>
      <c r="AL295" s="105" t="s">
        <v>44</v>
      </c>
      <c r="AM295" s="106"/>
      <c r="AN295" s="313" t="str">
        <f>IF(AJ297&lt;&gt;"", AJ297+7, "")</f>
        <v/>
      </c>
      <c r="AO295" s="314"/>
      <c r="AP295" s="315"/>
      <c r="AQ295" s="107" t="s">
        <v>16</v>
      </c>
      <c r="AR295" s="106"/>
      <c r="AS295" s="182" t="str">
        <f>IF(ISBLANK($C$7),"",$C$7)</f>
        <v/>
      </c>
      <c r="AT295" s="182"/>
      <c r="AU295" s="182"/>
      <c r="AV295" s="182"/>
      <c r="AW295" s="182"/>
      <c r="AX295" s="256"/>
      <c r="AY295" s="257"/>
      <c r="AZ295" s="258"/>
      <c r="BA295" s="256"/>
      <c r="BB295" s="257"/>
      <c r="BC295" s="258"/>
      <c r="BD295" s="256"/>
      <c r="BE295" s="257"/>
      <c r="BF295" s="258"/>
      <c r="BG295" s="105" t="s">
        <v>44</v>
      </c>
      <c r="BH295" s="106"/>
      <c r="BI295" s="313" t="str">
        <f>IF(BE297&lt;&gt;"", BE297+7, "")</f>
        <v/>
      </c>
      <c r="BJ295" s="314"/>
      <c r="BK295" s="315"/>
      <c r="BL295" s="107" t="s">
        <v>16</v>
      </c>
      <c r="BM295" s="106"/>
      <c r="BN295" s="182" t="str">
        <f>IF(ISBLANK($C$7),"",$C$7)</f>
        <v/>
      </c>
      <c r="BO295" s="182"/>
      <c r="BP295" s="182"/>
      <c r="BQ295" s="182"/>
      <c r="BR295" s="182"/>
      <c r="BS295" s="144"/>
      <c r="BT295" s="145"/>
      <c r="BU295" s="146"/>
      <c r="BV295" s="144"/>
      <c r="BW295" s="145"/>
      <c r="BX295" s="146"/>
      <c r="BY295" s="144"/>
      <c r="BZ295" s="145"/>
      <c r="CA295" s="146"/>
      <c r="CB295" s="105" t="s">
        <v>44</v>
      </c>
      <c r="CC295" s="106"/>
      <c r="CD295" s="105" t="str">
        <f>IF(ISBLANK($S$7),"",$S$7)</f>
        <v/>
      </c>
      <c r="CE295" s="112"/>
      <c r="CF295" s="311"/>
    </row>
    <row r="296" spans="22:84" ht="14.4" customHeight="1" x14ac:dyDescent="0.3">
      <c r="V296" s="107" t="s">
        <v>17</v>
      </c>
      <c r="W296" s="106"/>
      <c r="X296" s="182" t="str">
        <f>IF(ISBLANK($C$8),"",$C$8)</f>
        <v/>
      </c>
      <c r="Y296" s="182"/>
      <c r="Z296" s="182"/>
      <c r="AA296" s="182"/>
      <c r="AB296" s="182"/>
      <c r="AC296" s="259"/>
      <c r="AD296" s="257"/>
      <c r="AE296" s="260"/>
      <c r="AF296" s="259"/>
      <c r="AG296" s="261"/>
      <c r="AH296" s="260"/>
      <c r="AI296" s="259"/>
      <c r="AJ296" s="261"/>
      <c r="AK296" s="260"/>
      <c r="AL296" s="105" t="s">
        <v>46</v>
      </c>
      <c r="AM296" s="106"/>
      <c r="AN296" s="78">
        <v>7</v>
      </c>
      <c r="AO296" s="78" t="s">
        <v>47</v>
      </c>
      <c r="AP296" s="82">
        <f>COUNTA(V15,V63,V111,V159,V207,V255,V303,V351,V399,V447)</f>
        <v>0</v>
      </c>
      <c r="AQ296" s="107" t="s">
        <v>17</v>
      </c>
      <c r="AR296" s="106"/>
      <c r="AS296" s="182" t="str">
        <f>IF(ISBLANK($C$8),"",$C$8)</f>
        <v/>
      </c>
      <c r="AT296" s="182"/>
      <c r="AU296" s="182"/>
      <c r="AV296" s="182"/>
      <c r="AW296" s="182"/>
      <c r="AX296" s="259"/>
      <c r="AY296" s="257"/>
      <c r="AZ296" s="260"/>
      <c r="BA296" s="259"/>
      <c r="BB296" s="261"/>
      <c r="BC296" s="260"/>
      <c r="BD296" s="259"/>
      <c r="BE296" s="261"/>
      <c r="BF296" s="260"/>
      <c r="BG296" s="105" t="s">
        <v>46</v>
      </c>
      <c r="BH296" s="106"/>
      <c r="BI296" s="78">
        <v>7</v>
      </c>
      <c r="BJ296" s="78" t="s">
        <v>47</v>
      </c>
      <c r="BK296" s="82">
        <f>IF(ISBLANK(AP8),"",AP8)</f>
        <v>0</v>
      </c>
      <c r="BL296" s="107" t="s">
        <v>17</v>
      </c>
      <c r="BM296" s="106"/>
      <c r="BN296" s="182" t="str">
        <f>IF(ISBLANK($C$8),"",$C$8)</f>
        <v/>
      </c>
      <c r="BO296" s="182"/>
      <c r="BP296" s="182"/>
      <c r="BQ296" s="182"/>
      <c r="BR296" s="182"/>
      <c r="BS296" s="147"/>
      <c r="BT296" s="148"/>
      <c r="BU296" s="149"/>
      <c r="BV296" s="147"/>
      <c r="BW296" s="148"/>
      <c r="BX296" s="149"/>
      <c r="BY296" s="147"/>
      <c r="BZ296" s="148"/>
      <c r="CA296" s="149"/>
      <c r="CB296" s="18" t="s">
        <v>46</v>
      </c>
      <c r="CC296" s="11"/>
      <c r="CD296" s="14">
        <v>7</v>
      </c>
      <c r="CE296" s="14" t="s">
        <v>47</v>
      </c>
      <c r="CF296" s="19">
        <f>COUNT(BN301,BN349,BN397,BN445,BN493,BN541,BN589,BN637,BN685,BN733)</f>
        <v>0</v>
      </c>
    </row>
    <row r="297" spans="22:84" ht="14.4" customHeight="1" x14ac:dyDescent="0.3">
      <c r="V297" s="107" t="s">
        <v>18</v>
      </c>
      <c r="W297" s="106"/>
      <c r="X297" s="108" t="e">
        <f>IF(ISBLANK($S$10),"",$S$10)</f>
        <v>#N/A</v>
      </c>
      <c r="Y297" s="109"/>
      <c r="Z297" s="110"/>
      <c r="AA297" s="20"/>
      <c r="AB297" s="74"/>
      <c r="AC297" s="103" t="s">
        <v>48</v>
      </c>
      <c r="AD297" s="244"/>
      <c r="AE297" s="236"/>
      <c r="AF297" s="103" t="s">
        <v>48</v>
      </c>
      <c r="AG297" s="236"/>
      <c r="AH297" s="236"/>
      <c r="AI297" s="103" t="s">
        <v>48</v>
      </c>
      <c r="AJ297" s="237"/>
      <c r="AK297" s="238"/>
      <c r="AL297" s="85"/>
      <c r="AM297" s="85"/>
      <c r="AN297" s="85"/>
      <c r="AO297" s="85"/>
      <c r="AP297" s="22"/>
      <c r="AQ297" s="107" t="s">
        <v>18</v>
      </c>
      <c r="AR297" s="106"/>
      <c r="AS297" s="108" t="e">
        <f>IF(ISBLANK($S$10),"",$S$10)</f>
        <v>#N/A</v>
      </c>
      <c r="AT297" s="109"/>
      <c r="AU297" s="110"/>
      <c r="AV297" s="20"/>
      <c r="AW297" s="4"/>
      <c r="AX297" s="104" t="s">
        <v>48</v>
      </c>
      <c r="AY297" s="244"/>
      <c r="AZ297" s="236"/>
      <c r="BA297" s="104" t="s">
        <v>48</v>
      </c>
      <c r="BB297" s="236"/>
      <c r="BC297" s="236"/>
      <c r="BD297" s="104" t="s">
        <v>48</v>
      </c>
      <c r="BE297" s="237"/>
      <c r="BF297" s="238"/>
      <c r="BJ297" s="20"/>
      <c r="BK297" s="23"/>
      <c r="BL297" s="107" t="s">
        <v>18</v>
      </c>
      <c r="BM297" s="106"/>
      <c r="BN297" s="108" t="e">
        <f>IF(ISBLANK($S$10),"",$S$10)</f>
        <v>#N/A</v>
      </c>
      <c r="BO297" s="109"/>
      <c r="BP297" s="110"/>
      <c r="BQ297" s="20"/>
      <c r="BR297" s="4"/>
      <c r="BS297" s="78" t="s">
        <v>48</v>
      </c>
      <c r="BT297" s="197" t="str">
        <f>IF(ISBLANK($I$9),"",$I$9)</f>
        <v/>
      </c>
      <c r="BU297" s="198"/>
      <c r="BV297" s="78" t="s">
        <v>48</v>
      </c>
      <c r="BW297" s="197" t="str">
        <f>IF(ISBLANK($L$9),"",$L$9)</f>
        <v/>
      </c>
      <c r="BX297" s="198"/>
      <c r="BY297" s="78" t="s">
        <v>48</v>
      </c>
      <c r="BZ297" s="197" t="str">
        <f>IF(ISBLANK($O$9),"",$O$9)</f>
        <v/>
      </c>
      <c r="CA297" s="198"/>
      <c r="CB297" s="24"/>
      <c r="CC297" s="24"/>
      <c r="CD297" s="24"/>
      <c r="CE297" s="20"/>
      <c r="CF297" s="23"/>
    </row>
    <row r="298" spans="22:84" ht="14.4" customHeight="1" x14ac:dyDescent="0.3">
      <c r="V298" s="107" t="s">
        <v>19</v>
      </c>
      <c r="W298" s="106"/>
      <c r="X298" s="14" t="str">
        <f>IF(ISBLANK($S$11),"",$S$11)</f>
        <v/>
      </c>
      <c r="Y298" s="14" t="s">
        <v>47</v>
      </c>
      <c r="Z298" s="14">
        <f>IF(ISBLANK($U$11),"",$U$11)</f>
        <v>0</v>
      </c>
      <c r="AB298" s="269" t="s">
        <v>58</v>
      </c>
      <c r="AC298" s="87" t="s">
        <v>59</v>
      </c>
      <c r="AD298" s="270"/>
      <c r="AE298" s="271"/>
      <c r="AF298" s="84" t="s">
        <v>60</v>
      </c>
      <c r="AG298" s="88"/>
      <c r="AH298" s="85"/>
      <c r="AI298" s="335" t="s">
        <v>61</v>
      </c>
      <c r="AJ298" s="78" t="s">
        <v>62</v>
      </c>
      <c r="AK298" s="81"/>
      <c r="AL298" s="85"/>
      <c r="AM298" s="85"/>
      <c r="AN298" s="85"/>
      <c r="AO298" s="85"/>
      <c r="AP298" s="22"/>
      <c r="AQ298" s="107" t="s">
        <v>19</v>
      </c>
      <c r="AR298" s="106"/>
      <c r="AS298" s="14" t="str">
        <f>IF(ISBLANK($S$11),"",$S$11)</f>
        <v/>
      </c>
      <c r="AT298" s="14" t="s">
        <v>47</v>
      </c>
      <c r="AU298" s="14">
        <f>IF(ISBLANK($U$11),"",$U$11)</f>
        <v>0</v>
      </c>
      <c r="AW298" s="20"/>
      <c r="AX298" s="30"/>
      <c r="AY298" s="30"/>
      <c r="BC298" s="30"/>
      <c r="BD298" s="335" t="s">
        <v>61</v>
      </c>
      <c r="BE298" s="29" t="s">
        <v>62</v>
      </c>
      <c r="BF298" s="29" t="str">
        <f>IF(ISBLANK($BF$10),"",$BF$10)</f>
        <v/>
      </c>
      <c r="BG298" s="266" t="s">
        <v>63</v>
      </c>
      <c r="BH298" s="266"/>
      <c r="BI298" s="14" t="str">
        <f>IF(ISBLANK($BI$10),"",BI250)</f>
        <v/>
      </c>
      <c r="BJ298" s="20"/>
      <c r="BK298" s="23"/>
      <c r="BL298" s="111" t="s">
        <v>19</v>
      </c>
      <c r="BM298" s="110"/>
      <c r="BN298" s="14" t="str">
        <f>IF(ISBLANK($S$11),"",$S$11)</f>
        <v/>
      </c>
      <c r="BO298" s="14" t="s">
        <v>47</v>
      </c>
      <c r="BP298" s="14">
        <f>IF(ISBLANK($U$11),"",$U$11)</f>
        <v>0</v>
      </c>
      <c r="BR298" s="20"/>
      <c r="BS298" s="30"/>
      <c r="BT298" s="30"/>
      <c r="BU298" s="30"/>
      <c r="BV298" s="30"/>
      <c r="BW298" s="30"/>
      <c r="BX298" s="30"/>
      <c r="BY298" s="30"/>
      <c r="BZ298" s="30"/>
      <c r="CA298" s="30"/>
      <c r="CB298" s="30"/>
      <c r="CC298" s="30"/>
      <c r="CD298" s="30"/>
      <c r="CE298" s="20"/>
      <c r="CF298" s="23"/>
    </row>
    <row r="299" spans="22:84" ht="14.4" customHeight="1" x14ac:dyDescent="0.3">
      <c r="V299" s="33"/>
      <c r="AB299" s="269"/>
      <c r="AC299" s="87" t="s">
        <v>80</v>
      </c>
      <c r="AD299" s="245"/>
      <c r="AE299" s="246"/>
      <c r="AF299" s="90" t="s">
        <v>81</v>
      </c>
      <c r="AG299" s="88"/>
      <c r="AH299" s="85"/>
      <c r="AI299" s="335"/>
      <c r="AJ299" s="78" t="s">
        <v>82</v>
      </c>
      <c r="AK299" s="88"/>
      <c r="AL299" s="267" t="s">
        <v>83</v>
      </c>
      <c r="AM299" s="268"/>
      <c r="AN299" s="81"/>
      <c r="AO299" s="85"/>
      <c r="AP299" s="22"/>
      <c r="AQ299" s="34"/>
      <c r="AR299" s="20"/>
      <c r="AS299" s="20"/>
      <c r="AT299" s="20"/>
      <c r="AU299" s="20"/>
      <c r="AV299" s="20"/>
      <c r="AW299" s="20"/>
      <c r="AX299" s="20"/>
      <c r="AY299" s="20"/>
      <c r="BC299" s="20"/>
      <c r="BD299" s="335"/>
      <c r="BE299" s="29" t="s">
        <v>82</v>
      </c>
      <c r="BF299" s="29" t="str">
        <f>IF(ISBLANK($BF$11),"",$BF$11)</f>
        <v/>
      </c>
      <c r="BG299" s="20"/>
      <c r="BH299" s="20"/>
      <c r="BI299" s="20"/>
      <c r="BJ299" s="20"/>
      <c r="BK299" s="23"/>
      <c r="BL299" s="33"/>
      <c r="CF299" s="22"/>
    </row>
    <row r="300" spans="22:84" ht="14.4" customHeight="1" x14ac:dyDescent="0.3">
      <c r="V300" s="33"/>
      <c r="AP300" s="22"/>
      <c r="AQ300" s="356" t="s">
        <v>49</v>
      </c>
      <c r="AR300" s="342" t="s">
        <v>85</v>
      </c>
      <c r="AS300" s="342"/>
      <c r="AT300" s="14" t="s">
        <v>51</v>
      </c>
      <c r="AU300" s="14" t="s">
        <v>86</v>
      </c>
      <c r="AV300" s="10"/>
      <c r="AW300" s="14" t="s">
        <v>87</v>
      </c>
      <c r="AX300" s="272" t="s">
        <v>54</v>
      </c>
      <c r="AY300" s="272"/>
      <c r="AZ300" s="20"/>
      <c r="BA300" s="20"/>
      <c r="BB300" s="20"/>
      <c r="BC300" s="20"/>
      <c r="BD300" s="20"/>
      <c r="BE300" s="20"/>
      <c r="BF300" s="20"/>
      <c r="BG300" s="20"/>
      <c r="BH300" s="20"/>
      <c r="BI300" s="20"/>
      <c r="BJ300" s="20"/>
      <c r="BK300" s="23"/>
      <c r="BL300" s="128" t="s">
        <v>88</v>
      </c>
      <c r="BM300" s="129"/>
      <c r="BN300" s="130"/>
      <c r="BO300" s="131" t="s">
        <v>89</v>
      </c>
      <c r="BP300" s="132"/>
      <c r="BQ300" s="133"/>
      <c r="BR300" s="131" t="s">
        <v>90</v>
      </c>
      <c r="BS300" s="132"/>
      <c r="BT300" s="132"/>
      <c r="BU300" s="132"/>
      <c r="BV300" s="132"/>
      <c r="BW300" s="132"/>
      <c r="BX300" s="133"/>
      <c r="BY300" s="131" t="s">
        <v>91</v>
      </c>
      <c r="BZ300" s="132"/>
      <c r="CA300" s="132"/>
      <c r="CB300" s="133"/>
      <c r="CC300" s="131" t="s">
        <v>92</v>
      </c>
      <c r="CD300" s="132"/>
      <c r="CE300" s="132"/>
      <c r="CF300" s="156"/>
    </row>
    <row r="301" spans="22:84" ht="14.4" customHeight="1" x14ac:dyDescent="0.3">
      <c r="V301" s="262" t="s">
        <v>49</v>
      </c>
      <c r="W301" s="264" t="s">
        <v>94</v>
      </c>
      <c r="X301" s="264"/>
      <c r="Y301" s="31" t="s">
        <v>51</v>
      </c>
      <c r="Z301" s="14" t="s">
        <v>52</v>
      </c>
      <c r="AA301" s="14" t="s">
        <v>53</v>
      </c>
      <c r="AB301" s="108" t="s">
        <v>54</v>
      </c>
      <c r="AC301" s="110"/>
      <c r="AD301" s="363" t="s">
        <v>145</v>
      </c>
      <c r="AE301" s="364"/>
      <c r="AF301" s="108" t="s">
        <v>56</v>
      </c>
      <c r="AG301" s="109"/>
      <c r="AH301" s="109"/>
      <c r="AI301" s="109"/>
      <c r="AJ301" s="110"/>
      <c r="AK301" s="108" t="s">
        <v>57</v>
      </c>
      <c r="AL301" s="109"/>
      <c r="AM301" s="109"/>
      <c r="AN301" s="109"/>
      <c r="AO301" s="110"/>
      <c r="AP301" s="22"/>
      <c r="AQ301" s="357"/>
      <c r="AR301" s="342"/>
      <c r="AS301" s="342"/>
      <c r="AT301" s="14" t="s">
        <v>64</v>
      </c>
      <c r="AU301" s="14" t="s">
        <v>65</v>
      </c>
      <c r="AV301" s="14" t="s">
        <v>95</v>
      </c>
      <c r="AW301" s="14" t="s">
        <v>66</v>
      </c>
      <c r="AX301" s="14" t="s">
        <v>67</v>
      </c>
      <c r="AY301" s="14" t="s">
        <v>68</v>
      </c>
      <c r="AZ301" s="239" t="s">
        <v>69</v>
      </c>
      <c r="BA301" s="239"/>
      <c r="BB301" s="239"/>
      <c r="BC301" s="239" t="s">
        <v>70</v>
      </c>
      <c r="BD301" s="239"/>
      <c r="BE301" s="239"/>
      <c r="BF301" s="239" t="s">
        <v>71</v>
      </c>
      <c r="BG301" s="239"/>
      <c r="BH301" s="239"/>
      <c r="BI301" s="239" t="s">
        <v>72</v>
      </c>
      <c r="BJ301" s="239"/>
      <c r="BK301" s="240"/>
      <c r="BL301" s="158" t="s">
        <v>96</v>
      </c>
      <c r="BM301" s="159"/>
      <c r="BN301" s="35"/>
      <c r="BO301" s="134"/>
      <c r="BP301" s="135"/>
      <c r="BQ301" s="136"/>
      <c r="BR301" s="134"/>
      <c r="BS301" s="135"/>
      <c r="BT301" s="135"/>
      <c r="BU301" s="135"/>
      <c r="BV301" s="135"/>
      <c r="BW301" s="135"/>
      <c r="BX301" s="136"/>
      <c r="BY301" s="134"/>
      <c r="BZ301" s="135"/>
      <c r="CA301" s="135"/>
      <c r="CB301" s="136"/>
      <c r="CC301" s="134"/>
      <c r="CD301" s="135"/>
      <c r="CE301" s="135"/>
      <c r="CF301" s="157"/>
    </row>
    <row r="302" spans="22:84" ht="14.4" customHeight="1" x14ac:dyDescent="0.3">
      <c r="V302" s="263"/>
      <c r="W302" s="264"/>
      <c r="X302" s="264"/>
      <c r="Y302" s="31" t="s">
        <v>64</v>
      </c>
      <c r="Z302" s="14" t="s">
        <v>65</v>
      </c>
      <c r="AA302" s="14" t="s">
        <v>66</v>
      </c>
      <c r="AB302" s="14" t="s">
        <v>67</v>
      </c>
      <c r="AC302" s="14" t="s">
        <v>68</v>
      </c>
      <c r="AD302" s="365"/>
      <c r="AE302" s="366"/>
      <c r="AF302" s="14">
        <v>1</v>
      </c>
      <c r="AG302" s="14">
        <v>2</v>
      </c>
      <c r="AH302" s="14">
        <v>3</v>
      </c>
      <c r="AI302" s="14">
        <v>4</v>
      </c>
      <c r="AJ302" s="14">
        <v>5</v>
      </c>
      <c r="AK302" s="14">
        <v>1</v>
      </c>
      <c r="AL302" s="14">
        <v>2</v>
      </c>
      <c r="AM302" s="14">
        <v>3</v>
      </c>
      <c r="AN302" s="14">
        <v>4</v>
      </c>
      <c r="AO302" s="14">
        <v>5</v>
      </c>
      <c r="AP302" s="22"/>
      <c r="AQ302" s="36" t="str">
        <f>IF(ISBLANK(V303),"",V303)</f>
        <v/>
      </c>
      <c r="AR302" s="287" t="str">
        <f>IF(OR(AW302="QC",ISTEXT(Y303)), W303, "")</f>
        <v/>
      </c>
      <c r="AS302" s="288"/>
      <c r="AT302" s="37" t="str">
        <f>IF(OR(AW302="QC",ISTEXT(Y303)), Y303, "")</f>
        <v/>
      </c>
      <c r="AU302" s="37" t="str">
        <f>IF(OR(AW302="QC",ISTEXT(Y303)), Z303, "")</f>
        <v/>
      </c>
      <c r="AV302" s="37" t="str">
        <f>IF(ISBLANK(Z317),"",Z317)</f>
        <v/>
      </c>
      <c r="AW302" s="38" t="str">
        <f>IF(ISBLANK(AA303),"",AA303)</f>
        <v/>
      </c>
      <c r="AX302" s="38" t="str">
        <f>IF(OR(AW302="QC",ISTEXT(Y303)), AB303, "")</f>
        <v/>
      </c>
      <c r="AY302" s="38" t="str">
        <f>IF(OR(AW302="QC",ISTEXT(Y303)), AC303, "")</f>
        <v/>
      </c>
      <c r="AZ302" s="39"/>
      <c r="BA302" s="39"/>
      <c r="BB302" s="39"/>
      <c r="BC302" s="39"/>
      <c r="BD302" s="39"/>
      <c r="BE302" s="39"/>
      <c r="BF302" s="39"/>
      <c r="BG302" s="39"/>
      <c r="BH302" s="39"/>
      <c r="BI302" s="39"/>
      <c r="BJ302" s="39"/>
      <c r="BK302" s="40"/>
      <c r="BL302" s="158" t="s">
        <v>97</v>
      </c>
      <c r="BM302" s="159"/>
      <c r="BN302" s="41" t="s">
        <v>98</v>
      </c>
      <c r="BO302" s="204" t="s">
        <v>99</v>
      </c>
      <c r="BP302" s="205"/>
      <c r="BQ302" s="206"/>
      <c r="BR302" s="207" t="s">
        <v>100</v>
      </c>
      <c r="BS302" s="208"/>
      <c r="BT302" s="208"/>
      <c r="BU302" s="209"/>
      <c r="BV302" s="217"/>
      <c r="BW302" s="218"/>
      <c r="BX302" s="219"/>
      <c r="BY302" s="119"/>
      <c r="BZ302" s="120"/>
      <c r="CA302" s="120"/>
      <c r="CB302" s="121"/>
      <c r="CC302" s="119"/>
      <c r="CD302" s="120"/>
      <c r="CE302" s="120"/>
      <c r="CF302" s="214"/>
    </row>
    <row r="303" spans="22:84" ht="14.4" customHeight="1" x14ac:dyDescent="0.3">
      <c r="V303" s="36"/>
      <c r="W303" s="249"/>
      <c r="X303" s="250"/>
      <c r="Y303" s="37"/>
      <c r="Z303" s="38"/>
      <c r="AA303" s="38"/>
      <c r="AB303" s="38" t="str">
        <f t="shared" ref="AB303:AB314" si="282">IF(ISNUMBER(Y303),(Y303+Z303)/2-3*(Z303 - (Y303+Z303)/2) / (3 * AA317),"")</f>
        <v/>
      </c>
      <c r="AC303" s="38" t="str">
        <f t="shared" ref="AC303:AC314" si="283">IF(ISNUMBER(Z303),(Y303+Z303)/2+3*(Z303 - (Y303+Z303)/2) / (3 * AA317),"")</f>
        <v/>
      </c>
      <c r="AD303" s="247"/>
      <c r="AE303" s="248"/>
      <c r="AF303" s="39"/>
      <c r="AG303" s="39"/>
      <c r="AH303" s="39"/>
      <c r="AI303" s="39"/>
      <c r="AJ303" s="39"/>
      <c r="AK303" s="39"/>
      <c r="AL303" s="39"/>
      <c r="AM303" s="39"/>
      <c r="AN303" s="39"/>
      <c r="AO303" s="39"/>
      <c r="AP303" s="22"/>
      <c r="AQ303" s="36" t="str">
        <f t="shared" ref="AQ303:AQ313" si="284">IF(ISBLANK(V304),"",V304)</f>
        <v/>
      </c>
      <c r="AR303" s="287" t="str">
        <f t="shared" ref="AR303:AR313" si="285">IF(OR(AW303="QC",ISTEXT(Y304)), W304, "")</f>
        <v/>
      </c>
      <c r="AS303" s="288"/>
      <c r="AT303" s="37" t="str">
        <f t="shared" ref="AT303:AT313" si="286">IF(OR(AW303="QC",ISTEXT(Y304)), Y304, "")</f>
        <v/>
      </c>
      <c r="AU303" s="37" t="str">
        <f t="shared" ref="AU303:AU313" si="287">IF(OR(AW303="QC",ISTEXT(Y304)), Z304, "")</f>
        <v/>
      </c>
      <c r="AV303" s="37" t="str">
        <f t="shared" ref="AV303:AV313" si="288">IF(ISBLANK(Z318),"",Z318)</f>
        <v/>
      </c>
      <c r="AW303" s="38" t="str">
        <f t="shared" ref="AW303:AW313" si="289">IF(ISBLANK(AA304),"",AA304)</f>
        <v/>
      </c>
      <c r="AX303" s="38" t="str">
        <f t="shared" ref="AX303:AX313" si="290">IF(OR(AW303="QC",ISTEXT(Y304)), AB304, "")</f>
        <v/>
      </c>
      <c r="AY303" s="38" t="str">
        <f t="shared" ref="AY303:AY313" si="291">IF(OR(AW303="QC",ISTEXT(Y304)), AC304, "")</f>
        <v/>
      </c>
      <c r="AZ303" s="39"/>
      <c r="BA303" s="39"/>
      <c r="BB303" s="39"/>
      <c r="BC303" s="39"/>
      <c r="BD303" s="39"/>
      <c r="BE303" s="39"/>
      <c r="BF303" s="39"/>
      <c r="BG303" s="39"/>
      <c r="BH303" s="39"/>
      <c r="BI303" s="39"/>
      <c r="BJ303" s="39"/>
      <c r="BK303" s="40"/>
      <c r="BL303" s="158" t="s">
        <v>102</v>
      </c>
      <c r="BM303" s="159"/>
      <c r="BN303" s="42" t="s">
        <v>103</v>
      </c>
      <c r="BO303" s="119"/>
      <c r="BP303" s="120"/>
      <c r="BQ303" s="121"/>
      <c r="BR303" s="137" t="s">
        <v>104</v>
      </c>
      <c r="BS303" s="138"/>
      <c r="BT303" s="164"/>
      <c r="BU303" s="165"/>
      <c r="BV303" s="165"/>
      <c r="BW303" s="165"/>
      <c r="BX303" s="166"/>
      <c r="BY303" s="122"/>
      <c r="BZ303" s="123"/>
      <c r="CA303" s="123"/>
      <c r="CB303" s="124"/>
      <c r="CC303" s="122"/>
      <c r="CD303" s="123"/>
      <c r="CE303" s="123"/>
      <c r="CF303" s="215"/>
    </row>
    <row r="304" spans="22:84" ht="14.4" customHeight="1" x14ac:dyDescent="0.3">
      <c r="V304" s="36"/>
      <c r="W304" s="249"/>
      <c r="X304" s="250"/>
      <c r="Y304" s="37"/>
      <c r="Z304" s="38"/>
      <c r="AA304" s="38"/>
      <c r="AB304" s="38" t="str">
        <f t="shared" si="282"/>
        <v/>
      </c>
      <c r="AC304" s="38" t="str">
        <f t="shared" si="283"/>
        <v/>
      </c>
      <c r="AD304" s="247"/>
      <c r="AE304" s="248"/>
      <c r="AF304" s="39"/>
      <c r="AG304" s="39"/>
      <c r="AH304" s="39"/>
      <c r="AI304" s="39"/>
      <c r="AJ304" s="39"/>
      <c r="AK304" s="39"/>
      <c r="AL304" s="39"/>
      <c r="AM304" s="39"/>
      <c r="AN304" s="39"/>
      <c r="AO304" s="39"/>
      <c r="AP304" s="22"/>
      <c r="AQ304" s="36" t="str">
        <f t="shared" si="284"/>
        <v/>
      </c>
      <c r="AR304" s="287" t="str">
        <f t="shared" si="285"/>
        <v/>
      </c>
      <c r="AS304" s="288"/>
      <c r="AT304" s="37" t="str">
        <f t="shared" si="286"/>
        <v/>
      </c>
      <c r="AU304" s="37" t="str">
        <f t="shared" si="287"/>
        <v/>
      </c>
      <c r="AV304" s="37" t="str">
        <f t="shared" si="288"/>
        <v/>
      </c>
      <c r="AW304" s="38" t="str">
        <f t="shared" si="289"/>
        <v/>
      </c>
      <c r="AX304" s="38" t="str">
        <f t="shared" si="290"/>
        <v/>
      </c>
      <c r="AY304" s="38" t="str">
        <f t="shared" si="291"/>
        <v/>
      </c>
      <c r="AZ304" s="39"/>
      <c r="BA304" s="39"/>
      <c r="BB304" s="39"/>
      <c r="BC304" s="39"/>
      <c r="BD304" s="39"/>
      <c r="BE304" s="39"/>
      <c r="BF304" s="39"/>
      <c r="BG304" s="39"/>
      <c r="BH304" s="39"/>
      <c r="BI304" s="39"/>
      <c r="BJ304" s="39"/>
      <c r="BK304" s="40"/>
      <c r="BL304" s="210" t="s">
        <v>105</v>
      </c>
      <c r="BM304" s="211"/>
      <c r="BN304" s="28" t="s">
        <v>101</v>
      </c>
      <c r="BO304" s="125"/>
      <c r="BP304" s="126"/>
      <c r="BQ304" s="127"/>
      <c r="BR304" s="139"/>
      <c r="BS304" s="140"/>
      <c r="BT304" s="167"/>
      <c r="BU304" s="168"/>
      <c r="BV304" s="168"/>
      <c r="BW304" s="168"/>
      <c r="BX304" s="169"/>
      <c r="BY304" s="122"/>
      <c r="BZ304" s="123"/>
      <c r="CA304" s="123"/>
      <c r="CB304" s="124"/>
      <c r="CC304" s="122"/>
      <c r="CD304" s="123"/>
      <c r="CE304" s="123"/>
      <c r="CF304" s="215"/>
    </row>
    <row r="305" spans="22:84" ht="14.4" customHeight="1" x14ac:dyDescent="0.3">
      <c r="V305" s="36"/>
      <c r="W305" s="249"/>
      <c r="X305" s="250"/>
      <c r="Y305" s="37"/>
      <c r="Z305" s="38"/>
      <c r="AA305" s="38"/>
      <c r="AB305" s="38" t="str">
        <f t="shared" si="282"/>
        <v/>
      </c>
      <c r="AC305" s="38" t="str">
        <f t="shared" si="283"/>
        <v/>
      </c>
      <c r="AD305" s="247"/>
      <c r="AE305" s="248"/>
      <c r="AF305" s="39"/>
      <c r="AG305" s="39"/>
      <c r="AH305" s="39"/>
      <c r="AI305" s="39"/>
      <c r="AJ305" s="39"/>
      <c r="AK305" s="39"/>
      <c r="AL305" s="39"/>
      <c r="AM305" s="39"/>
      <c r="AN305" s="39"/>
      <c r="AO305" s="39"/>
      <c r="AP305" s="22"/>
      <c r="AQ305" s="36" t="str">
        <f t="shared" si="284"/>
        <v/>
      </c>
      <c r="AR305" s="287" t="str">
        <f t="shared" si="285"/>
        <v/>
      </c>
      <c r="AS305" s="288"/>
      <c r="AT305" s="37" t="str">
        <f t="shared" si="286"/>
        <v/>
      </c>
      <c r="AU305" s="37" t="str">
        <f t="shared" si="287"/>
        <v/>
      </c>
      <c r="AV305" s="37" t="str">
        <f t="shared" si="288"/>
        <v/>
      </c>
      <c r="AW305" s="38" t="str">
        <f t="shared" si="289"/>
        <v/>
      </c>
      <c r="AX305" s="38" t="str">
        <f t="shared" si="290"/>
        <v/>
      </c>
      <c r="AY305" s="38" t="str">
        <f t="shared" si="291"/>
        <v/>
      </c>
      <c r="AZ305" s="39"/>
      <c r="BA305" s="39"/>
      <c r="BB305" s="39"/>
      <c r="BC305" s="39"/>
      <c r="BD305" s="39"/>
      <c r="BE305" s="39"/>
      <c r="BF305" s="39"/>
      <c r="BG305" s="39"/>
      <c r="BH305" s="39"/>
      <c r="BI305" s="39"/>
      <c r="BJ305" s="39"/>
      <c r="BK305" s="40"/>
      <c r="BL305" s="212" t="s">
        <v>106</v>
      </c>
      <c r="BM305" s="205"/>
      <c r="BN305" s="206"/>
      <c r="BO305" s="213" t="s">
        <v>107</v>
      </c>
      <c r="BP305" s="159"/>
      <c r="BQ305" s="43"/>
      <c r="BR305" s="220" t="s">
        <v>108</v>
      </c>
      <c r="BS305" s="44" t="s">
        <v>109</v>
      </c>
      <c r="BT305" s="45"/>
      <c r="BU305" s="220" t="s">
        <v>110</v>
      </c>
      <c r="BV305" s="119"/>
      <c r="BW305" s="120"/>
      <c r="BX305" s="121"/>
      <c r="BY305" s="122"/>
      <c r="BZ305" s="123"/>
      <c r="CA305" s="123"/>
      <c r="CB305" s="124"/>
      <c r="CC305" s="122"/>
      <c r="CD305" s="123"/>
      <c r="CE305" s="123"/>
      <c r="CF305" s="215"/>
    </row>
    <row r="306" spans="22:84" ht="14.4" customHeight="1" x14ac:dyDescent="0.3">
      <c r="V306" s="36"/>
      <c r="W306" s="249"/>
      <c r="X306" s="250"/>
      <c r="Y306" s="37"/>
      <c r="Z306" s="38"/>
      <c r="AA306" s="38"/>
      <c r="AB306" s="38" t="str">
        <f t="shared" si="282"/>
        <v/>
      </c>
      <c r="AC306" s="38" t="str">
        <f t="shared" si="283"/>
        <v/>
      </c>
      <c r="AD306" s="247"/>
      <c r="AE306" s="248"/>
      <c r="AF306" s="39"/>
      <c r="AG306" s="39"/>
      <c r="AH306" s="39"/>
      <c r="AI306" s="39"/>
      <c r="AJ306" s="39"/>
      <c r="AK306" s="39"/>
      <c r="AL306" s="39"/>
      <c r="AM306" s="39"/>
      <c r="AN306" s="39"/>
      <c r="AO306" s="39"/>
      <c r="AP306" s="22"/>
      <c r="AQ306" s="36" t="str">
        <f t="shared" si="284"/>
        <v/>
      </c>
      <c r="AR306" s="287" t="str">
        <f t="shared" si="285"/>
        <v/>
      </c>
      <c r="AS306" s="288"/>
      <c r="AT306" s="37" t="str">
        <f t="shared" si="286"/>
        <v/>
      </c>
      <c r="AU306" s="37" t="str">
        <f t="shared" si="287"/>
        <v/>
      </c>
      <c r="AV306" s="37" t="str">
        <f t="shared" si="288"/>
        <v/>
      </c>
      <c r="AW306" s="38" t="str">
        <f t="shared" si="289"/>
        <v/>
      </c>
      <c r="AX306" s="38" t="str">
        <f t="shared" si="290"/>
        <v/>
      </c>
      <c r="AY306" s="38" t="str">
        <f t="shared" si="291"/>
        <v/>
      </c>
      <c r="AZ306" s="39"/>
      <c r="BA306" s="39"/>
      <c r="BB306" s="39"/>
      <c r="BC306" s="39"/>
      <c r="BD306" s="39"/>
      <c r="BE306" s="39"/>
      <c r="BF306" s="39"/>
      <c r="BG306" s="39"/>
      <c r="BH306" s="39"/>
      <c r="BI306" s="39"/>
      <c r="BJ306" s="39"/>
      <c r="BK306" s="40"/>
      <c r="BL306" s="199" t="s">
        <v>111</v>
      </c>
      <c r="BM306" s="154"/>
      <c r="BN306" s="200"/>
      <c r="BO306" s="201"/>
      <c r="BP306" s="202"/>
      <c r="BQ306" s="203"/>
      <c r="BR306" s="221"/>
      <c r="BS306" s="44" t="s">
        <v>112</v>
      </c>
      <c r="BT306" s="45"/>
      <c r="BU306" s="221"/>
      <c r="BV306" s="125"/>
      <c r="BW306" s="126"/>
      <c r="BX306" s="127"/>
      <c r="BY306" s="122"/>
      <c r="BZ306" s="123"/>
      <c r="CA306" s="123"/>
      <c r="CB306" s="124"/>
      <c r="CC306" s="122"/>
      <c r="CD306" s="123"/>
      <c r="CE306" s="123"/>
      <c r="CF306" s="215"/>
    </row>
    <row r="307" spans="22:84" ht="14.4" customHeight="1" x14ac:dyDescent="0.3">
      <c r="V307" s="36"/>
      <c r="W307" s="249"/>
      <c r="X307" s="250"/>
      <c r="Y307" s="37"/>
      <c r="Z307" s="38"/>
      <c r="AA307" s="38"/>
      <c r="AB307" s="38" t="str">
        <f t="shared" si="282"/>
        <v/>
      </c>
      <c r="AC307" s="38" t="str">
        <f t="shared" si="283"/>
        <v/>
      </c>
      <c r="AD307" s="247"/>
      <c r="AE307" s="248"/>
      <c r="AF307" s="39"/>
      <c r="AG307" s="39"/>
      <c r="AH307" s="39"/>
      <c r="AI307" s="39"/>
      <c r="AJ307" s="39"/>
      <c r="AK307" s="39"/>
      <c r="AL307" s="39"/>
      <c r="AM307" s="39"/>
      <c r="AN307" s="39"/>
      <c r="AO307" s="39"/>
      <c r="AP307" s="22"/>
      <c r="AQ307" s="36" t="str">
        <f t="shared" si="284"/>
        <v/>
      </c>
      <c r="AR307" s="287" t="str">
        <f t="shared" si="285"/>
        <v/>
      </c>
      <c r="AS307" s="288"/>
      <c r="AT307" s="37" t="str">
        <f t="shared" si="286"/>
        <v/>
      </c>
      <c r="AU307" s="37" t="str">
        <f t="shared" si="287"/>
        <v/>
      </c>
      <c r="AV307" s="37" t="str">
        <f t="shared" si="288"/>
        <v/>
      </c>
      <c r="AW307" s="38" t="str">
        <f t="shared" si="289"/>
        <v/>
      </c>
      <c r="AX307" s="38" t="str">
        <f t="shared" si="290"/>
        <v/>
      </c>
      <c r="AY307" s="38" t="str">
        <f t="shared" si="291"/>
        <v/>
      </c>
      <c r="AZ307" s="39"/>
      <c r="BA307" s="39"/>
      <c r="BB307" s="39"/>
      <c r="BC307" s="39"/>
      <c r="BD307" s="39"/>
      <c r="BE307" s="39"/>
      <c r="BF307" s="39"/>
      <c r="BG307" s="39"/>
      <c r="BH307" s="39"/>
      <c r="BI307" s="39"/>
      <c r="BJ307" s="39"/>
      <c r="BK307" s="40"/>
      <c r="BL307" s="170"/>
      <c r="BM307" s="171"/>
      <c r="BN307" s="172"/>
      <c r="BO307" s="179"/>
      <c r="BP307" s="171"/>
      <c r="BQ307" s="172"/>
      <c r="BR307" s="179"/>
      <c r="BS307" s="171"/>
      <c r="BT307" s="171"/>
      <c r="BU307" s="171"/>
      <c r="BV307" s="171"/>
      <c r="BW307" s="171"/>
      <c r="BX307" s="172"/>
      <c r="BY307" s="122"/>
      <c r="BZ307" s="123"/>
      <c r="CA307" s="123"/>
      <c r="CB307" s="124"/>
      <c r="CC307" s="122"/>
      <c r="CD307" s="123"/>
      <c r="CE307" s="123"/>
      <c r="CF307" s="215"/>
    </row>
    <row r="308" spans="22:84" ht="14.4" customHeight="1" x14ac:dyDescent="0.3">
      <c r="V308" s="36"/>
      <c r="W308" s="249"/>
      <c r="X308" s="250"/>
      <c r="Y308" s="37"/>
      <c r="Z308" s="38"/>
      <c r="AA308" s="38"/>
      <c r="AB308" s="38" t="str">
        <f t="shared" si="282"/>
        <v/>
      </c>
      <c r="AC308" s="38" t="str">
        <f t="shared" si="283"/>
        <v/>
      </c>
      <c r="AD308" s="247"/>
      <c r="AE308" s="248"/>
      <c r="AF308" s="39"/>
      <c r="AG308" s="39"/>
      <c r="AH308" s="39"/>
      <c r="AI308" s="39"/>
      <c r="AJ308" s="39"/>
      <c r="AK308" s="39"/>
      <c r="AL308" s="39"/>
      <c r="AM308" s="39"/>
      <c r="AN308" s="39"/>
      <c r="AO308" s="39"/>
      <c r="AP308" s="22"/>
      <c r="AQ308" s="36" t="str">
        <f t="shared" si="284"/>
        <v/>
      </c>
      <c r="AR308" s="287" t="str">
        <f t="shared" si="285"/>
        <v/>
      </c>
      <c r="AS308" s="288"/>
      <c r="AT308" s="37" t="str">
        <f t="shared" si="286"/>
        <v/>
      </c>
      <c r="AU308" s="37" t="str">
        <f t="shared" si="287"/>
        <v/>
      </c>
      <c r="AV308" s="37" t="str">
        <f t="shared" si="288"/>
        <v/>
      </c>
      <c r="AW308" s="38" t="str">
        <f t="shared" si="289"/>
        <v/>
      </c>
      <c r="AX308" s="38" t="str">
        <f t="shared" si="290"/>
        <v/>
      </c>
      <c r="AY308" s="38" t="str">
        <f t="shared" si="291"/>
        <v/>
      </c>
      <c r="AZ308" s="39"/>
      <c r="BA308" s="39"/>
      <c r="BB308" s="39"/>
      <c r="BC308" s="39"/>
      <c r="BD308" s="39"/>
      <c r="BE308" s="39"/>
      <c r="BF308" s="39"/>
      <c r="BG308" s="39"/>
      <c r="BH308" s="39"/>
      <c r="BI308" s="39"/>
      <c r="BJ308" s="39"/>
      <c r="BK308" s="40"/>
      <c r="BL308" s="173"/>
      <c r="BM308" s="174"/>
      <c r="BN308" s="175"/>
      <c r="BO308" s="180"/>
      <c r="BP308" s="174"/>
      <c r="BQ308" s="175"/>
      <c r="BR308" s="180"/>
      <c r="BS308" s="174"/>
      <c r="BT308" s="174"/>
      <c r="BU308" s="174"/>
      <c r="BV308" s="174"/>
      <c r="BW308" s="174"/>
      <c r="BX308" s="175"/>
      <c r="BY308" s="122"/>
      <c r="BZ308" s="123"/>
      <c r="CA308" s="123"/>
      <c r="CB308" s="124"/>
      <c r="CC308" s="122"/>
      <c r="CD308" s="123"/>
      <c r="CE308" s="123"/>
      <c r="CF308" s="215"/>
    </row>
    <row r="309" spans="22:84" ht="14.4" customHeight="1" x14ac:dyDescent="0.3">
      <c r="V309" s="36"/>
      <c r="W309" s="249"/>
      <c r="X309" s="250"/>
      <c r="Y309" s="37"/>
      <c r="Z309" s="38"/>
      <c r="AA309" s="38"/>
      <c r="AB309" s="38" t="str">
        <f t="shared" si="282"/>
        <v/>
      </c>
      <c r="AC309" s="38" t="str">
        <f t="shared" si="283"/>
        <v/>
      </c>
      <c r="AD309" s="247"/>
      <c r="AE309" s="248"/>
      <c r="AF309" s="39"/>
      <c r="AG309" s="39"/>
      <c r="AH309" s="39"/>
      <c r="AI309" s="39"/>
      <c r="AJ309" s="39"/>
      <c r="AK309" s="39"/>
      <c r="AL309" s="39"/>
      <c r="AM309" s="39"/>
      <c r="AN309" s="39"/>
      <c r="AO309" s="39"/>
      <c r="AP309" s="22"/>
      <c r="AQ309" s="36" t="str">
        <f t="shared" si="284"/>
        <v/>
      </c>
      <c r="AR309" s="287" t="str">
        <f t="shared" si="285"/>
        <v/>
      </c>
      <c r="AS309" s="288"/>
      <c r="AT309" s="37" t="str">
        <f t="shared" si="286"/>
        <v/>
      </c>
      <c r="AU309" s="37" t="str">
        <f t="shared" si="287"/>
        <v/>
      </c>
      <c r="AV309" s="37" t="str">
        <f t="shared" si="288"/>
        <v/>
      </c>
      <c r="AW309" s="38" t="str">
        <f t="shared" si="289"/>
        <v/>
      </c>
      <c r="AX309" s="38" t="str">
        <f t="shared" si="290"/>
        <v/>
      </c>
      <c r="AY309" s="38" t="str">
        <f t="shared" si="291"/>
        <v/>
      </c>
      <c r="AZ309" s="39"/>
      <c r="BA309" s="39"/>
      <c r="BB309" s="39"/>
      <c r="BC309" s="39"/>
      <c r="BD309" s="39"/>
      <c r="BE309" s="39"/>
      <c r="BF309" s="39"/>
      <c r="BG309" s="39"/>
      <c r="BH309" s="39"/>
      <c r="BI309" s="39"/>
      <c r="BJ309" s="39"/>
      <c r="BK309" s="40"/>
      <c r="BL309" s="173"/>
      <c r="BM309" s="174"/>
      <c r="BN309" s="175"/>
      <c r="BO309" s="180"/>
      <c r="BP309" s="174"/>
      <c r="BQ309" s="175"/>
      <c r="BR309" s="180"/>
      <c r="BS309" s="174"/>
      <c r="BT309" s="174"/>
      <c r="BU309" s="174"/>
      <c r="BV309" s="174"/>
      <c r="BW309" s="174"/>
      <c r="BX309" s="175"/>
      <c r="BY309" s="122"/>
      <c r="BZ309" s="123"/>
      <c r="CA309" s="123"/>
      <c r="CB309" s="124"/>
      <c r="CC309" s="122"/>
      <c r="CD309" s="123"/>
      <c r="CE309" s="123"/>
      <c r="CF309" s="215"/>
    </row>
    <row r="310" spans="22:84" ht="14.4" customHeight="1" x14ac:dyDescent="0.3">
      <c r="V310" s="36"/>
      <c r="W310" s="249"/>
      <c r="X310" s="250"/>
      <c r="Y310" s="37"/>
      <c r="Z310" s="38"/>
      <c r="AA310" s="38"/>
      <c r="AB310" s="38" t="str">
        <f t="shared" si="282"/>
        <v/>
      </c>
      <c r="AC310" s="38" t="str">
        <f t="shared" si="283"/>
        <v/>
      </c>
      <c r="AD310" s="247"/>
      <c r="AE310" s="248"/>
      <c r="AF310" s="39"/>
      <c r="AG310" s="39"/>
      <c r="AH310" s="39"/>
      <c r="AI310" s="39"/>
      <c r="AJ310" s="39"/>
      <c r="AK310" s="39"/>
      <c r="AL310" s="39"/>
      <c r="AM310" s="39"/>
      <c r="AN310" s="39"/>
      <c r="AO310" s="39"/>
      <c r="AP310" s="22"/>
      <c r="AQ310" s="36" t="str">
        <f t="shared" si="284"/>
        <v/>
      </c>
      <c r="AR310" s="287" t="str">
        <f t="shared" si="285"/>
        <v/>
      </c>
      <c r="AS310" s="288"/>
      <c r="AT310" s="37" t="str">
        <f t="shared" si="286"/>
        <v/>
      </c>
      <c r="AU310" s="37" t="str">
        <f t="shared" si="287"/>
        <v/>
      </c>
      <c r="AV310" s="37" t="str">
        <f t="shared" si="288"/>
        <v/>
      </c>
      <c r="AW310" s="38" t="str">
        <f t="shared" si="289"/>
        <v/>
      </c>
      <c r="AX310" s="38" t="str">
        <f t="shared" si="290"/>
        <v/>
      </c>
      <c r="AY310" s="38" t="str">
        <f t="shared" si="291"/>
        <v/>
      </c>
      <c r="AZ310" s="39"/>
      <c r="BA310" s="39"/>
      <c r="BB310" s="39"/>
      <c r="BC310" s="39"/>
      <c r="BD310" s="39"/>
      <c r="BE310" s="39"/>
      <c r="BF310" s="39"/>
      <c r="BG310" s="39"/>
      <c r="BH310" s="39"/>
      <c r="BI310" s="39"/>
      <c r="BJ310" s="39"/>
      <c r="BK310" s="40"/>
      <c r="BL310" s="173"/>
      <c r="BM310" s="174"/>
      <c r="BN310" s="175"/>
      <c r="BO310" s="180"/>
      <c r="BP310" s="174"/>
      <c r="BQ310" s="175"/>
      <c r="BR310" s="180"/>
      <c r="BS310" s="174"/>
      <c r="BT310" s="174"/>
      <c r="BU310" s="174"/>
      <c r="BV310" s="174"/>
      <c r="BW310" s="174"/>
      <c r="BX310" s="175"/>
      <c r="BY310" s="122"/>
      <c r="BZ310" s="123"/>
      <c r="CA310" s="123"/>
      <c r="CB310" s="124"/>
      <c r="CC310" s="122"/>
      <c r="CD310" s="123"/>
      <c r="CE310" s="123"/>
      <c r="CF310" s="215"/>
    </row>
    <row r="311" spans="22:84" ht="14.4" customHeight="1" x14ac:dyDescent="0.3">
      <c r="V311" s="36"/>
      <c r="W311" s="249"/>
      <c r="X311" s="250"/>
      <c r="Y311" s="37"/>
      <c r="Z311" s="38"/>
      <c r="AA311" s="38"/>
      <c r="AB311" s="38" t="str">
        <f t="shared" si="282"/>
        <v/>
      </c>
      <c r="AC311" s="38" t="str">
        <f t="shared" si="283"/>
        <v/>
      </c>
      <c r="AD311" s="247"/>
      <c r="AE311" s="248"/>
      <c r="AF311" s="39"/>
      <c r="AG311" s="39"/>
      <c r="AH311" s="39"/>
      <c r="AI311" s="39"/>
      <c r="AJ311" s="39"/>
      <c r="AK311" s="39"/>
      <c r="AL311" s="39"/>
      <c r="AM311" s="39"/>
      <c r="AN311" s="39"/>
      <c r="AO311" s="39"/>
      <c r="AP311" s="22"/>
      <c r="AQ311" s="36" t="str">
        <f t="shared" si="284"/>
        <v/>
      </c>
      <c r="AR311" s="287" t="str">
        <f t="shared" si="285"/>
        <v/>
      </c>
      <c r="AS311" s="288"/>
      <c r="AT311" s="37" t="str">
        <f t="shared" si="286"/>
        <v/>
      </c>
      <c r="AU311" s="37" t="str">
        <f t="shared" si="287"/>
        <v/>
      </c>
      <c r="AV311" s="37" t="str">
        <f t="shared" si="288"/>
        <v/>
      </c>
      <c r="AW311" s="38" t="str">
        <f t="shared" si="289"/>
        <v/>
      </c>
      <c r="AX311" s="38" t="str">
        <f t="shared" si="290"/>
        <v/>
      </c>
      <c r="AY311" s="38" t="str">
        <f t="shared" si="291"/>
        <v/>
      </c>
      <c r="AZ311" s="39"/>
      <c r="BA311" s="39"/>
      <c r="BB311" s="39"/>
      <c r="BC311" s="39"/>
      <c r="BD311" s="39"/>
      <c r="BE311" s="39"/>
      <c r="BF311" s="39"/>
      <c r="BG311" s="39"/>
      <c r="BH311" s="39"/>
      <c r="BI311" s="39"/>
      <c r="BJ311" s="39"/>
      <c r="BK311" s="40"/>
      <c r="BL311" s="173"/>
      <c r="BM311" s="174"/>
      <c r="BN311" s="175"/>
      <c r="BO311" s="180"/>
      <c r="BP311" s="174"/>
      <c r="BQ311" s="175"/>
      <c r="BR311" s="180"/>
      <c r="BS311" s="174"/>
      <c r="BT311" s="174"/>
      <c r="BU311" s="174"/>
      <c r="BV311" s="174"/>
      <c r="BW311" s="174"/>
      <c r="BX311" s="175"/>
      <c r="BY311" s="122"/>
      <c r="BZ311" s="123"/>
      <c r="CA311" s="123"/>
      <c r="CB311" s="124"/>
      <c r="CC311" s="122"/>
      <c r="CD311" s="123"/>
      <c r="CE311" s="123"/>
      <c r="CF311" s="215"/>
    </row>
    <row r="312" spans="22:84" ht="14.4" customHeight="1" x14ac:dyDescent="0.3">
      <c r="V312" s="36"/>
      <c r="W312" s="249"/>
      <c r="X312" s="250"/>
      <c r="Y312" s="37"/>
      <c r="Z312" s="38"/>
      <c r="AA312" s="38"/>
      <c r="AB312" s="38" t="str">
        <f t="shared" si="282"/>
        <v/>
      </c>
      <c r="AC312" s="38" t="str">
        <f t="shared" si="283"/>
        <v/>
      </c>
      <c r="AD312" s="247"/>
      <c r="AE312" s="248"/>
      <c r="AF312" s="39"/>
      <c r="AG312" s="39"/>
      <c r="AH312" s="39"/>
      <c r="AI312" s="39"/>
      <c r="AJ312" s="39"/>
      <c r="AK312" s="39"/>
      <c r="AL312" s="39"/>
      <c r="AM312" s="39"/>
      <c r="AN312" s="39"/>
      <c r="AO312" s="39"/>
      <c r="AP312" s="22"/>
      <c r="AQ312" s="36" t="str">
        <f t="shared" si="284"/>
        <v/>
      </c>
      <c r="AR312" s="287" t="str">
        <f t="shared" si="285"/>
        <v/>
      </c>
      <c r="AS312" s="288"/>
      <c r="AT312" s="37" t="str">
        <f t="shared" si="286"/>
        <v/>
      </c>
      <c r="AU312" s="37" t="str">
        <f t="shared" si="287"/>
        <v/>
      </c>
      <c r="AV312" s="37" t="str">
        <f t="shared" si="288"/>
        <v/>
      </c>
      <c r="AW312" s="38" t="str">
        <f t="shared" si="289"/>
        <v/>
      </c>
      <c r="AX312" s="38" t="str">
        <f t="shared" si="290"/>
        <v/>
      </c>
      <c r="AY312" s="38" t="str">
        <f t="shared" si="291"/>
        <v/>
      </c>
      <c r="AZ312" s="39"/>
      <c r="BA312" s="39"/>
      <c r="BB312" s="39"/>
      <c r="BC312" s="39"/>
      <c r="BD312" s="39"/>
      <c r="BE312" s="39"/>
      <c r="BF312" s="39"/>
      <c r="BG312" s="39"/>
      <c r="BH312" s="39"/>
      <c r="BI312" s="39"/>
      <c r="BJ312" s="39"/>
      <c r="BK312" s="40"/>
      <c r="BL312" s="173"/>
      <c r="BM312" s="174"/>
      <c r="BN312" s="175"/>
      <c r="BO312" s="180"/>
      <c r="BP312" s="174"/>
      <c r="BQ312" s="175"/>
      <c r="BR312" s="180"/>
      <c r="BS312" s="174"/>
      <c r="BT312" s="174"/>
      <c r="BU312" s="174"/>
      <c r="BV312" s="174"/>
      <c r="BW312" s="174"/>
      <c r="BX312" s="175"/>
      <c r="BY312" s="122"/>
      <c r="BZ312" s="123"/>
      <c r="CA312" s="123"/>
      <c r="CB312" s="124"/>
      <c r="CC312" s="122"/>
      <c r="CD312" s="123"/>
      <c r="CE312" s="123"/>
      <c r="CF312" s="215"/>
    </row>
    <row r="313" spans="22:84" ht="14.4" customHeight="1" x14ac:dyDescent="0.3">
      <c r="V313" s="36"/>
      <c r="W313" s="249"/>
      <c r="X313" s="250"/>
      <c r="Y313" s="37"/>
      <c r="Z313" s="38"/>
      <c r="AA313" s="38"/>
      <c r="AB313" s="38" t="str">
        <f t="shared" si="282"/>
        <v/>
      </c>
      <c r="AC313" s="38" t="str">
        <f t="shared" si="283"/>
        <v/>
      </c>
      <c r="AD313" s="247"/>
      <c r="AE313" s="248"/>
      <c r="AF313" s="39"/>
      <c r="AG313" s="39"/>
      <c r="AH313" s="39"/>
      <c r="AI313" s="39"/>
      <c r="AJ313" s="39"/>
      <c r="AK313" s="39"/>
      <c r="AL313" s="39"/>
      <c r="AM313" s="39"/>
      <c r="AN313" s="39"/>
      <c r="AO313" s="39"/>
      <c r="AP313" s="22"/>
      <c r="AQ313" s="36" t="str">
        <f t="shared" si="284"/>
        <v/>
      </c>
      <c r="AR313" s="287" t="str">
        <f t="shared" si="285"/>
        <v/>
      </c>
      <c r="AS313" s="288"/>
      <c r="AT313" s="37" t="str">
        <f t="shared" si="286"/>
        <v/>
      </c>
      <c r="AU313" s="37" t="str">
        <f t="shared" si="287"/>
        <v/>
      </c>
      <c r="AV313" s="37" t="str">
        <f t="shared" si="288"/>
        <v/>
      </c>
      <c r="AW313" s="38" t="str">
        <f t="shared" si="289"/>
        <v/>
      </c>
      <c r="AX313" s="38" t="str">
        <f t="shared" si="290"/>
        <v/>
      </c>
      <c r="AY313" s="38" t="str">
        <f t="shared" si="291"/>
        <v/>
      </c>
      <c r="AZ313" s="39"/>
      <c r="BA313" s="39"/>
      <c r="BB313" s="39"/>
      <c r="BC313" s="39"/>
      <c r="BD313" s="39"/>
      <c r="BE313" s="39"/>
      <c r="BF313" s="39"/>
      <c r="BG313" s="39"/>
      <c r="BH313" s="39"/>
      <c r="BI313" s="39"/>
      <c r="BJ313" s="39"/>
      <c r="BK313" s="40"/>
      <c r="BL313" s="173"/>
      <c r="BM313" s="174"/>
      <c r="BN313" s="175"/>
      <c r="BO313" s="180"/>
      <c r="BP313" s="174"/>
      <c r="BQ313" s="175"/>
      <c r="BR313" s="180"/>
      <c r="BS313" s="174"/>
      <c r="BT313" s="174"/>
      <c r="BU313" s="174"/>
      <c r="BV313" s="174"/>
      <c r="BW313" s="174"/>
      <c r="BX313" s="175"/>
      <c r="BY313" s="122"/>
      <c r="BZ313" s="123"/>
      <c r="CA313" s="123"/>
      <c r="CB313" s="124"/>
      <c r="CC313" s="122"/>
      <c r="CD313" s="123"/>
      <c r="CE313" s="123"/>
      <c r="CF313" s="215"/>
    </row>
    <row r="314" spans="22:84" ht="14.4" customHeight="1" x14ac:dyDescent="0.3">
      <c r="V314" s="36"/>
      <c r="W314" s="249"/>
      <c r="X314" s="250"/>
      <c r="Y314" s="37"/>
      <c r="Z314" s="38"/>
      <c r="AA314" s="38"/>
      <c r="AB314" s="38" t="str">
        <f t="shared" si="282"/>
        <v/>
      </c>
      <c r="AC314" s="38" t="str">
        <f t="shared" si="283"/>
        <v/>
      </c>
      <c r="AD314" s="247"/>
      <c r="AE314" s="248"/>
      <c r="AF314" s="39"/>
      <c r="AG314" s="39"/>
      <c r="AH314" s="39"/>
      <c r="AI314" s="39"/>
      <c r="AJ314" s="39"/>
      <c r="AK314" s="39"/>
      <c r="AL314" s="39"/>
      <c r="AM314" s="39"/>
      <c r="AN314" s="39"/>
      <c r="AO314" s="39"/>
      <c r="AP314" s="22"/>
      <c r="AQ314" s="325" t="s">
        <v>73</v>
      </c>
      <c r="AR314" s="318"/>
      <c r="AS314" s="318"/>
      <c r="AT314" s="317" t="s">
        <v>74</v>
      </c>
      <c r="AU314" s="318"/>
      <c r="AV314" s="318"/>
      <c r="AW314" s="317" t="s">
        <v>75</v>
      </c>
      <c r="AX314" s="318"/>
      <c r="AY314" s="319"/>
      <c r="AZ314" s="241" t="s">
        <v>76</v>
      </c>
      <c r="BA314" s="242"/>
      <c r="BB314" s="242"/>
      <c r="BC314" s="241" t="s">
        <v>77</v>
      </c>
      <c r="BD314" s="242"/>
      <c r="BE314" s="242"/>
      <c r="BF314" s="241" t="s">
        <v>78</v>
      </c>
      <c r="BG314" s="242"/>
      <c r="BH314" s="242"/>
      <c r="BI314" s="241" t="s">
        <v>79</v>
      </c>
      <c r="BJ314" s="242"/>
      <c r="BK314" s="243"/>
      <c r="BL314" s="173"/>
      <c r="BM314" s="174"/>
      <c r="BN314" s="175"/>
      <c r="BO314" s="180"/>
      <c r="BP314" s="174"/>
      <c r="BQ314" s="175"/>
      <c r="BR314" s="180"/>
      <c r="BS314" s="174"/>
      <c r="BT314" s="174"/>
      <c r="BU314" s="174"/>
      <c r="BV314" s="174"/>
      <c r="BW314" s="174"/>
      <c r="BX314" s="175"/>
      <c r="BY314" s="122"/>
      <c r="BZ314" s="123"/>
      <c r="CA314" s="123"/>
      <c r="CB314" s="124"/>
      <c r="CC314" s="122"/>
      <c r="CD314" s="123"/>
      <c r="CE314" s="123"/>
      <c r="CF314" s="215"/>
    </row>
    <row r="315" spans="22:84" ht="14.4" customHeight="1" x14ac:dyDescent="0.3">
      <c r="V315" s="353" t="s">
        <v>113</v>
      </c>
      <c r="W315" s="222"/>
      <c r="X315" s="222"/>
      <c r="Y315" s="222"/>
      <c r="Z315" s="222"/>
      <c r="AA315" s="222"/>
      <c r="AB315" s="222"/>
      <c r="AC315" s="222"/>
      <c r="AD315" s="222"/>
      <c r="AE315" s="250"/>
      <c r="AP315" s="22"/>
      <c r="AQ315" s="46"/>
      <c r="AR315" s="39"/>
      <c r="AS315" s="39"/>
      <c r="AT315" s="39"/>
      <c r="AU315" s="39"/>
      <c r="AV315" s="39"/>
      <c r="AW315" s="39"/>
      <c r="AX315" s="39"/>
      <c r="AY315" s="39"/>
      <c r="AZ315" s="39"/>
      <c r="BA315" s="39"/>
      <c r="BB315" s="39"/>
      <c r="BC315" s="39"/>
      <c r="BD315" s="39"/>
      <c r="BE315" s="39"/>
      <c r="BF315" s="39"/>
      <c r="BG315" s="39"/>
      <c r="BH315" s="39"/>
      <c r="BI315" s="39"/>
      <c r="BJ315" s="39"/>
      <c r="BK315" s="40"/>
      <c r="BL315" s="173"/>
      <c r="BM315" s="174"/>
      <c r="BN315" s="175"/>
      <c r="BO315" s="180"/>
      <c r="BP315" s="174"/>
      <c r="BQ315" s="175"/>
      <c r="BR315" s="180"/>
      <c r="BS315" s="174"/>
      <c r="BT315" s="174"/>
      <c r="BU315" s="174"/>
      <c r="BV315" s="174"/>
      <c r="BW315" s="174"/>
      <c r="BX315" s="175"/>
      <c r="BY315" s="122"/>
      <c r="BZ315" s="123"/>
      <c r="CA315" s="123"/>
      <c r="CB315" s="124"/>
      <c r="CC315" s="125"/>
      <c r="CD315" s="126"/>
      <c r="CE315" s="126"/>
      <c r="CF315" s="216"/>
    </row>
    <row r="316" spans="22:84" ht="14.4" customHeight="1" x14ac:dyDescent="0.3">
      <c r="V316" s="47"/>
      <c r="W316" s="10" t="s">
        <v>114</v>
      </c>
      <c r="X316" s="10" t="s">
        <v>115</v>
      </c>
      <c r="Y316" s="10" t="s">
        <v>116</v>
      </c>
      <c r="Z316" s="48" t="s">
        <v>117</v>
      </c>
      <c r="AA316" s="14" t="s">
        <v>118</v>
      </c>
      <c r="AB316" s="10" t="s">
        <v>119</v>
      </c>
      <c r="AC316" s="10" t="s">
        <v>120</v>
      </c>
      <c r="AD316" s="10" t="s">
        <v>121</v>
      </c>
      <c r="AE316" s="10" t="s">
        <v>122</v>
      </c>
      <c r="AP316" s="22"/>
      <c r="AQ316" s="46"/>
      <c r="AR316" s="28"/>
      <c r="AS316" s="28"/>
      <c r="AT316" s="28"/>
      <c r="AU316" s="28"/>
      <c r="AV316" s="28"/>
      <c r="AW316" s="28"/>
      <c r="AX316" s="28"/>
      <c r="AY316" s="28"/>
      <c r="AZ316" s="28"/>
      <c r="BA316" s="28"/>
      <c r="BB316" s="28"/>
      <c r="BC316" s="28"/>
      <c r="BD316" s="28"/>
      <c r="BE316" s="28"/>
      <c r="BF316" s="28"/>
      <c r="BG316" s="28"/>
      <c r="BH316" s="28"/>
      <c r="BI316" s="28"/>
      <c r="BJ316" s="28"/>
      <c r="BK316" s="51"/>
      <c r="BL316" s="173"/>
      <c r="BM316" s="174"/>
      <c r="BN316" s="175"/>
      <c r="BO316" s="180"/>
      <c r="BP316" s="174"/>
      <c r="BQ316" s="175"/>
      <c r="BR316" s="180"/>
      <c r="BS316" s="174"/>
      <c r="BT316" s="174"/>
      <c r="BU316" s="174"/>
      <c r="BV316" s="174"/>
      <c r="BW316" s="174"/>
      <c r="BX316" s="175"/>
      <c r="BY316" s="122"/>
      <c r="BZ316" s="123"/>
      <c r="CA316" s="123"/>
      <c r="CB316" s="124"/>
      <c r="CC316" s="150" t="s">
        <v>123</v>
      </c>
      <c r="CD316" s="151"/>
      <c r="CE316" s="151"/>
      <c r="CF316" s="152"/>
    </row>
    <row r="317" spans="22:84" ht="14.4" customHeight="1" x14ac:dyDescent="0.3">
      <c r="V317" s="49" t="str">
        <f>IF(ISBLANK(V303),"",V303)</f>
        <v/>
      </c>
      <c r="W317" s="38" t="str" cm="1">
        <f t="array" ref="W317">IF(Y303="", "", IF(AND(Y303&lt;=MIN(AF303:AO303),Z303&gt;=MAX(AF303:AO303)),"ACCEPT",IF(AND(AF303:AO303="OK"),"ACCEPT","REJECT")))</f>
        <v/>
      </c>
      <c r="X317" s="38" t="str">
        <f t="shared" ref="X317:X328" si="292">IF(TRIM(W317)="", "", MAX(AF303:AO303))</f>
        <v/>
      </c>
      <c r="Y317" s="38" t="str">
        <f t="shared" ref="Y317:Y328" si="293">IF(TRIM(W317)="", "", MIN(AF303:AO303))</f>
        <v/>
      </c>
      <c r="Z317" s="38" t="str">
        <f t="shared" ref="Z317:Z328" si="294">IF(ISNUMBER(Y303),"VARIABLE",IF(ISBLANK(Y303),"","ATTRIBUTE"))</f>
        <v/>
      </c>
      <c r="AA317" s="38">
        <f t="shared" ref="AA317:AA328" si="295">IF((AA303="QC"),1.33,1)</f>
        <v>1</v>
      </c>
      <c r="AB317" s="38">
        <f t="shared" ref="AB317:AB328" si="296">IF(COUNT(AF303:AO303)=0,0,AVERAGE(AF303:AO303))</f>
        <v>0</v>
      </c>
      <c r="AC317" s="38">
        <f t="shared" ref="AC317:AC328" si="297">MAX(AF303:AO303)-MIN(AF303:AO303)</f>
        <v>0</v>
      </c>
      <c r="AD317" s="38">
        <f t="shared" ref="AD317:AD328" si="298">IF(COUNT(AF303:AO303)=0,0,_xlfn.STDEV.S(AF303:AO303))</f>
        <v>0</v>
      </c>
      <c r="AE317" s="38" t="str">
        <f t="shared" ref="AE317:AE328" si="299">IF(AB317=0,"-",IF(AB317-Y303&lt;Z303-AB317,AB317-Y303,Z303-AB317)/(AD317*3))</f>
        <v>-</v>
      </c>
      <c r="AP317" s="22"/>
      <c r="AQ317" s="46"/>
      <c r="AR317" s="39"/>
      <c r="AS317" s="39"/>
      <c r="AT317" s="39"/>
      <c r="AU317" s="39"/>
      <c r="AV317" s="39"/>
      <c r="AW317" s="39"/>
      <c r="AX317" s="39"/>
      <c r="AY317" s="39"/>
      <c r="AZ317" s="39"/>
      <c r="BA317" s="39"/>
      <c r="BB317" s="39"/>
      <c r="BC317" s="39"/>
      <c r="BD317" s="39"/>
      <c r="BE317" s="39"/>
      <c r="BF317" s="39"/>
      <c r="BG317" s="39"/>
      <c r="BH317" s="39"/>
      <c r="BI317" s="39"/>
      <c r="BJ317" s="39"/>
      <c r="BK317" s="40"/>
      <c r="BL317" s="176"/>
      <c r="BM317" s="177"/>
      <c r="BN317" s="178"/>
      <c r="BO317" s="181"/>
      <c r="BP317" s="177"/>
      <c r="BQ317" s="178"/>
      <c r="BR317" s="181"/>
      <c r="BS317" s="177"/>
      <c r="BT317" s="177"/>
      <c r="BU317" s="177"/>
      <c r="BV317" s="177"/>
      <c r="BW317" s="177"/>
      <c r="BX317" s="178"/>
      <c r="BY317" s="125"/>
      <c r="BZ317" s="126"/>
      <c r="CA317" s="126"/>
      <c r="CB317" s="127"/>
      <c r="CC317" s="153"/>
      <c r="CD317" s="154"/>
      <c r="CE317" s="154"/>
      <c r="CF317" s="155"/>
    </row>
    <row r="318" spans="22:84" ht="14.4" customHeight="1" x14ac:dyDescent="0.3">
      <c r="V318" s="49" t="str">
        <f t="shared" ref="V318:V327" si="300">IF(ISBLANK(V304),"",V304)</f>
        <v/>
      </c>
      <c r="W318" s="38" t="str" cm="1">
        <f t="array" ref="W318">IF(Y304="", "", IF(AND(Y304&lt;=MIN(AF304:AO304),Z304&gt;=MAX(AF304:AO304)),"ACCEPT",IF(AND(AF304:AO304="OK"),"ACCEPT","REJECT")))</f>
        <v/>
      </c>
      <c r="X318" s="38" t="str">
        <f t="shared" si="292"/>
        <v/>
      </c>
      <c r="Y318" s="38" t="str">
        <f t="shared" si="293"/>
        <v/>
      </c>
      <c r="Z318" s="38" t="str">
        <f t="shared" si="294"/>
        <v/>
      </c>
      <c r="AA318" s="38">
        <f t="shared" si="295"/>
        <v>1</v>
      </c>
      <c r="AB318" s="38">
        <f t="shared" si="296"/>
        <v>0</v>
      </c>
      <c r="AC318" s="38">
        <f t="shared" si="297"/>
        <v>0</v>
      </c>
      <c r="AD318" s="38">
        <f t="shared" si="298"/>
        <v>0</v>
      </c>
      <c r="AE318" s="38" t="str">
        <f t="shared" si="299"/>
        <v>-</v>
      </c>
      <c r="AP318" s="22"/>
      <c r="AQ318" s="50"/>
      <c r="AR318" s="28"/>
      <c r="AS318" s="28"/>
      <c r="AT318" s="28"/>
      <c r="AU318" s="28"/>
      <c r="AV318" s="28"/>
      <c r="AW318" s="28"/>
      <c r="AX318" s="28"/>
      <c r="AY318" s="28"/>
      <c r="AZ318" s="28"/>
      <c r="BA318" s="28"/>
      <c r="BB318" s="28"/>
      <c r="BC318" s="28"/>
      <c r="BD318" s="28"/>
      <c r="BE318" s="28"/>
      <c r="BF318" s="28"/>
      <c r="BG318" s="28"/>
      <c r="BH318" s="28"/>
      <c r="BI318" s="28"/>
      <c r="BJ318" s="28"/>
      <c r="BK318" s="51"/>
      <c r="BL318" s="128" t="s">
        <v>88</v>
      </c>
      <c r="BM318" s="129"/>
      <c r="BN318" s="130"/>
      <c r="BO318" s="131" t="s">
        <v>89</v>
      </c>
      <c r="BP318" s="132"/>
      <c r="BQ318" s="133"/>
      <c r="BR318" s="131" t="s">
        <v>90</v>
      </c>
      <c r="BS318" s="132"/>
      <c r="BT318" s="132"/>
      <c r="BU318" s="132"/>
      <c r="BV318" s="132"/>
      <c r="BW318" s="132"/>
      <c r="BX318" s="133"/>
      <c r="BY318" s="131" t="s">
        <v>91</v>
      </c>
      <c r="BZ318" s="132"/>
      <c r="CA318" s="132"/>
      <c r="CB318" s="133"/>
      <c r="CC318" s="131" t="s">
        <v>92</v>
      </c>
      <c r="CD318" s="132"/>
      <c r="CE318" s="132"/>
      <c r="CF318" s="156"/>
    </row>
    <row r="319" spans="22:84" ht="14.4" customHeight="1" x14ac:dyDescent="0.3">
      <c r="V319" s="49" t="str">
        <f t="shared" si="300"/>
        <v/>
      </c>
      <c r="W319" s="38" t="str" cm="1">
        <f t="array" ref="W319">IF(Y305="", "", IF(AND(Y305&lt;=MIN(AF305:AO305),Z305&gt;=MAX(AF305:AO305)),"ACCEPT",IF(AND(AF305:AO305="OK"),"ACCEPT","REJECT")))</f>
        <v/>
      </c>
      <c r="X319" s="38" t="str">
        <f t="shared" si="292"/>
        <v/>
      </c>
      <c r="Y319" s="38" t="str">
        <f t="shared" si="293"/>
        <v/>
      </c>
      <c r="Z319" s="38" t="str">
        <f t="shared" si="294"/>
        <v/>
      </c>
      <c r="AA319" s="38">
        <f t="shared" si="295"/>
        <v>1</v>
      </c>
      <c r="AB319" s="38">
        <f t="shared" si="296"/>
        <v>0</v>
      </c>
      <c r="AC319" s="38">
        <f t="shared" si="297"/>
        <v>0</v>
      </c>
      <c r="AD319" s="38">
        <f t="shared" si="298"/>
        <v>0</v>
      </c>
      <c r="AE319" s="38" t="str">
        <f t="shared" si="299"/>
        <v>-</v>
      </c>
      <c r="AP319" s="22"/>
      <c r="AQ319" s="50"/>
      <c r="AR319" s="28"/>
      <c r="AS319" s="28"/>
      <c r="AT319" s="28"/>
      <c r="AU319" s="28"/>
      <c r="AV319" s="28"/>
      <c r="AW319" s="28"/>
      <c r="AX319" s="28"/>
      <c r="AY319" s="28"/>
      <c r="AZ319" s="28"/>
      <c r="BA319" s="28"/>
      <c r="BB319" s="28"/>
      <c r="BC319" s="28"/>
      <c r="BD319" s="28"/>
      <c r="BE319" s="28"/>
      <c r="BF319" s="28"/>
      <c r="BG319" s="28"/>
      <c r="BH319" s="28"/>
      <c r="BI319" s="28"/>
      <c r="BJ319" s="28"/>
      <c r="BK319" s="51"/>
      <c r="BL319" s="158" t="s">
        <v>96</v>
      </c>
      <c r="BM319" s="159"/>
      <c r="BN319" s="35"/>
      <c r="BO319" s="134"/>
      <c r="BP319" s="135"/>
      <c r="BQ319" s="136"/>
      <c r="BR319" s="134"/>
      <c r="BS319" s="135"/>
      <c r="BT319" s="135"/>
      <c r="BU319" s="135"/>
      <c r="BV319" s="135"/>
      <c r="BW319" s="135"/>
      <c r="BX319" s="136"/>
      <c r="BY319" s="134"/>
      <c r="BZ319" s="135"/>
      <c r="CA319" s="135"/>
      <c r="CB319" s="136"/>
      <c r="CC319" s="134"/>
      <c r="CD319" s="135"/>
      <c r="CE319" s="135"/>
      <c r="CF319" s="157"/>
    </row>
    <row r="320" spans="22:84" ht="14.4" customHeight="1" x14ac:dyDescent="0.3">
      <c r="V320" s="49" t="str">
        <f t="shared" si="300"/>
        <v/>
      </c>
      <c r="W320" s="38" t="str" cm="1">
        <f t="array" ref="W320">IF(Y306="", "", IF(AND(Y306&lt;=MIN(AF306:AO306),Z306&gt;=MAX(AF306:AO306)),"ACCEPT",IF(AND(AF306:AO306="OK"),"ACCEPT","REJECT")))</f>
        <v/>
      </c>
      <c r="X320" s="38" t="str">
        <f t="shared" si="292"/>
        <v/>
      </c>
      <c r="Y320" s="38" t="str">
        <f t="shared" si="293"/>
        <v/>
      </c>
      <c r="Z320" s="38" t="str">
        <f t="shared" si="294"/>
        <v/>
      </c>
      <c r="AA320" s="38">
        <f t="shared" si="295"/>
        <v>1</v>
      </c>
      <c r="AB320" s="38">
        <f t="shared" si="296"/>
        <v>0</v>
      </c>
      <c r="AC320" s="38">
        <f t="shared" si="297"/>
        <v>0</v>
      </c>
      <c r="AD320" s="38">
        <f t="shared" si="298"/>
        <v>0</v>
      </c>
      <c r="AE320" s="38" t="str">
        <f t="shared" si="299"/>
        <v>-</v>
      </c>
      <c r="AP320" s="22"/>
      <c r="AQ320" s="46"/>
      <c r="AR320" s="28"/>
      <c r="AS320" s="28"/>
      <c r="AT320" s="28"/>
      <c r="AU320" s="28"/>
      <c r="AV320" s="28"/>
      <c r="AW320" s="28"/>
      <c r="AX320" s="28"/>
      <c r="AY320" s="28"/>
      <c r="AZ320" s="28"/>
      <c r="BA320" s="28"/>
      <c r="BB320" s="28"/>
      <c r="BC320" s="28"/>
      <c r="BD320" s="28"/>
      <c r="BE320" s="28"/>
      <c r="BF320" s="28"/>
      <c r="BG320" s="28"/>
      <c r="BH320" s="28"/>
      <c r="BI320" s="28"/>
      <c r="BJ320" s="28"/>
      <c r="BK320" s="51"/>
      <c r="BL320" s="158" t="s">
        <v>97</v>
      </c>
      <c r="BM320" s="159"/>
      <c r="BN320" s="41" t="s">
        <v>98</v>
      </c>
      <c r="BO320" s="204" t="s">
        <v>99</v>
      </c>
      <c r="BP320" s="205"/>
      <c r="BQ320" s="206"/>
      <c r="BR320" s="207" t="s">
        <v>100</v>
      </c>
      <c r="BS320" s="208"/>
      <c r="BT320" s="208"/>
      <c r="BU320" s="209"/>
      <c r="BV320" s="217"/>
      <c r="BW320" s="218"/>
      <c r="BX320" s="219"/>
      <c r="BY320" s="119"/>
      <c r="BZ320" s="120"/>
      <c r="CA320" s="120"/>
      <c r="CB320" s="121"/>
      <c r="CC320" s="119"/>
      <c r="CD320" s="120"/>
      <c r="CE320" s="120"/>
      <c r="CF320" s="214"/>
    </row>
    <row r="321" spans="22:84" ht="14.4" customHeight="1" x14ac:dyDescent="0.3">
      <c r="V321" s="49" t="str">
        <f t="shared" si="300"/>
        <v/>
      </c>
      <c r="W321" s="38" t="str" cm="1">
        <f t="array" ref="W321">IF(Y307="", "", IF(AND(Y307&lt;=MIN(AF307:AO307),Z307&gt;=MAX(AF307:AO307)),"ACCEPT",IF(AND(AF307:AO307="OK"),"ACCEPT","REJECT")))</f>
        <v/>
      </c>
      <c r="X321" s="38" t="str">
        <f t="shared" si="292"/>
        <v/>
      </c>
      <c r="Y321" s="38" t="str">
        <f t="shared" si="293"/>
        <v/>
      </c>
      <c r="Z321" s="38" t="str">
        <f t="shared" si="294"/>
        <v/>
      </c>
      <c r="AA321" s="38">
        <f t="shared" si="295"/>
        <v>1</v>
      </c>
      <c r="AB321" s="38">
        <f t="shared" si="296"/>
        <v>0</v>
      </c>
      <c r="AC321" s="38">
        <f t="shared" si="297"/>
        <v>0</v>
      </c>
      <c r="AD321" s="38">
        <f t="shared" si="298"/>
        <v>0</v>
      </c>
      <c r="AE321" s="38" t="str">
        <f t="shared" si="299"/>
        <v>-</v>
      </c>
      <c r="AP321" s="22"/>
      <c r="AQ321" s="46"/>
      <c r="AR321" s="28"/>
      <c r="AS321" s="28"/>
      <c r="AT321" s="28"/>
      <c r="AU321" s="28"/>
      <c r="AV321" s="28"/>
      <c r="AW321" s="28"/>
      <c r="AX321" s="28"/>
      <c r="AY321" s="28"/>
      <c r="AZ321" s="28"/>
      <c r="BA321" s="28"/>
      <c r="BB321" s="28"/>
      <c r="BC321" s="28"/>
      <c r="BD321" s="28"/>
      <c r="BE321" s="28"/>
      <c r="BF321" s="28"/>
      <c r="BG321" s="28"/>
      <c r="BH321" s="28"/>
      <c r="BI321" s="28"/>
      <c r="BJ321" s="28"/>
      <c r="BK321" s="51"/>
      <c r="BL321" s="158" t="s">
        <v>102</v>
      </c>
      <c r="BM321" s="159"/>
      <c r="BN321" s="42" t="s">
        <v>103</v>
      </c>
      <c r="BO321" s="119"/>
      <c r="BP321" s="120"/>
      <c r="BQ321" s="121"/>
      <c r="BR321" s="160" t="s">
        <v>124</v>
      </c>
      <c r="BS321" s="161"/>
      <c r="BT321" s="164"/>
      <c r="BU321" s="165"/>
      <c r="BV321" s="165"/>
      <c r="BW321" s="165"/>
      <c r="BX321" s="166"/>
      <c r="BY321" s="122"/>
      <c r="BZ321" s="123"/>
      <c r="CA321" s="123"/>
      <c r="CB321" s="124"/>
      <c r="CC321" s="122"/>
      <c r="CD321" s="123"/>
      <c r="CE321" s="123"/>
      <c r="CF321" s="215"/>
    </row>
    <row r="322" spans="22:84" ht="14.4" customHeight="1" x14ac:dyDescent="0.3">
      <c r="V322" s="49" t="str">
        <f t="shared" si="300"/>
        <v/>
      </c>
      <c r="W322" s="38" t="str" cm="1">
        <f t="array" ref="W322">IF(Y308="", "", IF(AND(Y308&lt;=MIN(AF308:AO308),Z308&gt;=MAX(AF308:AO308)),"ACCEPT",IF(AND(AF308:AO308="OK"),"ACCEPT","REJECT")))</f>
        <v/>
      </c>
      <c r="X322" s="38" t="str">
        <f t="shared" si="292"/>
        <v/>
      </c>
      <c r="Y322" s="38" t="str">
        <f t="shared" si="293"/>
        <v/>
      </c>
      <c r="Z322" s="38" t="str">
        <f t="shared" si="294"/>
        <v/>
      </c>
      <c r="AA322" s="38">
        <f t="shared" si="295"/>
        <v>1</v>
      </c>
      <c r="AB322" s="38">
        <f t="shared" si="296"/>
        <v>0</v>
      </c>
      <c r="AC322" s="38">
        <f t="shared" si="297"/>
        <v>0</v>
      </c>
      <c r="AD322" s="38">
        <f t="shared" si="298"/>
        <v>0</v>
      </c>
      <c r="AE322" s="38" t="str">
        <f t="shared" si="299"/>
        <v>-</v>
      </c>
      <c r="AP322" s="22"/>
      <c r="AQ322" s="46"/>
      <c r="AR322" s="28"/>
      <c r="AS322" s="28"/>
      <c r="AT322" s="28"/>
      <c r="AU322" s="28"/>
      <c r="AV322" s="28"/>
      <c r="AW322" s="28"/>
      <c r="AX322" s="28"/>
      <c r="AY322" s="28"/>
      <c r="AZ322" s="28"/>
      <c r="BA322" s="28"/>
      <c r="BB322" s="28"/>
      <c r="BC322" s="28"/>
      <c r="BD322" s="28"/>
      <c r="BE322" s="28"/>
      <c r="BF322" s="28"/>
      <c r="BG322" s="28"/>
      <c r="BH322" s="28"/>
      <c r="BI322" s="28"/>
      <c r="BJ322" s="28"/>
      <c r="BK322" s="51"/>
      <c r="BL322" s="210" t="s">
        <v>105</v>
      </c>
      <c r="BM322" s="211"/>
      <c r="BN322" s="28" t="s">
        <v>101</v>
      </c>
      <c r="BO322" s="125"/>
      <c r="BP322" s="126"/>
      <c r="BQ322" s="127"/>
      <c r="BR322" s="162"/>
      <c r="BS322" s="163"/>
      <c r="BT322" s="167"/>
      <c r="BU322" s="168"/>
      <c r="BV322" s="168"/>
      <c r="BW322" s="168"/>
      <c r="BX322" s="169"/>
      <c r="BY322" s="122"/>
      <c r="BZ322" s="123"/>
      <c r="CA322" s="123"/>
      <c r="CB322" s="124"/>
      <c r="CC322" s="122"/>
      <c r="CD322" s="123"/>
      <c r="CE322" s="123"/>
      <c r="CF322" s="215"/>
    </row>
    <row r="323" spans="22:84" ht="14.4" customHeight="1" x14ac:dyDescent="0.3">
      <c r="V323" s="49" t="str">
        <f t="shared" si="300"/>
        <v/>
      </c>
      <c r="W323" s="38" t="str" cm="1">
        <f t="array" ref="W323">IF(Y309="", "", IF(AND(Y309&lt;=MIN(AF309:AO309),Z309&gt;=MAX(AF309:AO309)),"ACCEPT",IF(AND(AF309:AO309="OK"),"ACCEPT","REJECT")))</f>
        <v/>
      </c>
      <c r="X323" s="38" t="str">
        <f t="shared" si="292"/>
        <v/>
      </c>
      <c r="Y323" s="38" t="str">
        <f t="shared" si="293"/>
        <v/>
      </c>
      <c r="Z323" s="38" t="str">
        <f t="shared" si="294"/>
        <v/>
      </c>
      <c r="AA323" s="38">
        <f t="shared" si="295"/>
        <v>1</v>
      </c>
      <c r="AB323" s="38">
        <f t="shared" si="296"/>
        <v>0</v>
      </c>
      <c r="AC323" s="38">
        <f t="shared" si="297"/>
        <v>0</v>
      </c>
      <c r="AD323" s="38">
        <f t="shared" si="298"/>
        <v>0</v>
      </c>
      <c r="AE323" s="38" t="str">
        <f t="shared" si="299"/>
        <v>-</v>
      </c>
      <c r="AP323" s="22"/>
      <c r="AQ323" s="46"/>
      <c r="AR323" s="28"/>
      <c r="AS323" s="28"/>
      <c r="AT323" s="28"/>
      <c r="AU323" s="28"/>
      <c r="AV323" s="28"/>
      <c r="AW323" s="28"/>
      <c r="AX323" s="28"/>
      <c r="AY323" s="28"/>
      <c r="AZ323" s="28"/>
      <c r="BA323" s="28"/>
      <c r="BB323" s="28"/>
      <c r="BC323" s="28"/>
      <c r="BD323" s="28"/>
      <c r="BE323" s="28"/>
      <c r="BF323" s="28"/>
      <c r="BG323" s="28"/>
      <c r="BH323" s="28"/>
      <c r="BI323" s="28"/>
      <c r="BJ323" s="28"/>
      <c r="BK323" s="51"/>
      <c r="BL323" s="212" t="s">
        <v>106</v>
      </c>
      <c r="BM323" s="205"/>
      <c r="BN323" s="206"/>
      <c r="BO323" s="213" t="s">
        <v>107</v>
      </c>
      <c r="BP323" s="159"/>
      <c r="BQ323" s="43"/>
      <c r="BR323" s="220" t="s">
        <v>108</v>
      </c>
      <c r="BS323" s="44" t="s">
        <v>109</v>
      </c>
      <c r="BT323" s="45"/>
      <c r="BU323" s="220" t="s">
        <v>110</v>
      </c>
      <c r="BV323" s="119"/>
      <c r="BW323" s="120"/>
      <c r="BX323" s="121"/>
      <c r="BY323" s="122"/>
      <c r="BZ323" s="123"/>
      <c r="CA323" s="123"/>
      <c r="CB323" s="124"/>
      <c r="CC323" s="122"/>
      <c r="CD323" s="123"/>
      <c r="CE323" s="123"/>
      <c r="CF323" s="215"/>
    </row>
    <row r="324" spans="22:84" ht="14.4" customHeight="1" x14ac:dyDescent="0.3">
      <c r="V324" s="49" t="str">
        <f t="shared" si="300"/>
        <v/>
      </c>
      <c r="W324" s="38" t="str" cm="1">
        <f t="array" ref="W324">IF(Y310="", "", IF(AND(Y310&lt;=MIN(AF310:AO310),Z310&gt;=MAX(AF310:AO310)),"ACCEPT",IF(AND(AF310:AO310="OK"),"ACCEPT","REJECT")))</f>
        <v/>
      </c>
      <c r="X324" s="38" t="str">
        <f t="shared" si="292"/>
        <v/>
      </c>
      <c r="Y324" s="38" t="str">
        <f t="shared" si="293"/>
        <v/>
      </c>
      <c r="Z324" s="38" t="str">
        <f t="shared" si="294"/>
        <v/>
      </c>
      <c r="AA324" s="38">
        <f t="shared" si="295"/>
        <v>1</v>
      </c>
      <c r="AB324" s="38">
        <f t="shared" si="296"/>
        <v>0</v>
      </c>
      <c r="AC324" s="38">
        <f t="shared" si="297"/>
        <v>0</v>
      </c>
      <c r="AD324" s="38">
        <f t="shared" si="298"/>
        <v>0</v>
      </c>
      <c r="AE324" s="38" t="str">
        <f t="shared" si="299"/>
        <v>-</v>
      </c>
      <c r="AP324" s="22"/>
      <c r="AQ324" s="46"/>
      <c r="AR324" s="28"/>
      <c r="AS324" s="28"/>
      <c r="AT324" s="28"/>
      <c r="AU324" s="28"/>
      <c r="AV324" s="28"/>
      <c r="AW324" s="28"/>
      <c r="AX324" s="28"/>
      <c r="AY324" s="28"/>
      <c r="AZ324" s="28"/>
      <c r="BA324" s="28"/>
      <c r="BB324" s="28"/>
      <c r="BC324" s="28"/>
      <c r="BD324" s="28"/>
      <c r="BE324" s="28"/>
      <c r="BF324" s="28"/>
      <c r="BG324" s="28"/>
      <c r="BH324" s="28"/>
      <c r="BI324" s="28"/>
      <c r="BJ324" s="28"/>
      <c r="BK324" s="51"/>
      <c r="BL324" s="199"/>
      <c r="BM324" s="154"/>
      <c r="BN324" s="200"/>
      <c r="BO324" s="201"/>
      <c r="BP324" s="202"/>
      <c r="BQ324" s="203"/>
      <c r="BR324" s="221"/>
      <c r="BS324" s="44" t="s">
        <v>112</v>
      </c>
      <c r="BT324" s="45"/>
      <c r="BU324" s="221"/>
      <c r="BV324" s="125"/>
      <c r="BW324" s="126"/>
      <c r="BX324" s="127"/>
      <c r="BY324" s="122"/>
      <c r="BZ324" s="123"/>
      <c r="CA324" s="123"/>
      <c r="CB324" s="124"/>
      <c r="CC324" s="122"/>
      <c r="CD324" s="123"/>
      <c r="CE324" s="123"/>
      <c r="CF324" s="215"/>
    </row>
    <row r="325" spans="22:84" ht="14.4" customHeight="1" x14ac:dyDescent="0.3">
      <c r="V325" s="49" t="str">
        <f t="shared" si="300"/>
        <v/>
      </c>
      <c r="W325" s="38" t="str" cm="1">
        <f t="array" ref="W325">IF(Y311="", "", IF(AND(Y311&lt;=MIN(AF311:AO311),Z311&gt;=MAX(AF311:AO311)),"ACCEPT",IF(AND(AF311:AO311="OK"),"ACCEPT","REJECT")))</f>
        <v/>
      </c>
      <c r="X325" s="38" t="str">
        <f t="shared" si="292"/>
        <v/>
      </c>
      <c r="Y325" s="38" t="str">
        <f t="shared" si="293"/>
        <v/>
      </c>
      <c r="Z325" s="38" t="str">
        <f t="shared" si="294"/>
        <v/>
      </c>
      <c r="AA325" s="38">
        <f t="shared" si="295"/>
        <v>1</v>
      </c>
      <c r="AB325" s="38">
        <f t="shared" si="296"/>
        <v>0</v>
      </c>
      <c r="AC325" s="38">
        <f t="shared" si="297"/>
        <v>0</v>
      </c>
      <c r="AD325" s="38">
        <f t="shared" si="298"/>
        <v>0</v>
      </c>
      <c r="AE325" s="38" t="str">
        <f t="shared" si="299"/>
        <v>-</v>
      </c>
      <c r="AP325" s="22"/>
      <c r="AQ325" s="46"/>
      <c r="AR325" s="28"/>
      <c r="AS325" s="28"/>
      <c r="AT325" s="28"/>
      <c r="AU325" s="28"/>
      <c r="AV325" s="28"/>
      <c r="AW325" s="28"/>
      <c r="AX325" s="28"/>
      <c r="AY325" s="28"/>
      <c r="AZ325" s="28"/>
      <c r="BA325" s="28"/>
      <c r="BB325" s="28"/>
      <c r="BC325" s="28"/>
      <c r="BD325" s="28"/>
      <c r="BE325" s="28"/>
      <c r="BF325" s="28"/>
      <c r="BG325" s="28"/>
      <c r="BH325" s="28"/>
      <c r="BI325" s="28"/>
      <c r="BJ325" s="28"/>
      <c r="BK325" s="51"/>
      <c r="BL325" s="170"/>
      <c r="BM325" s="171"/>
      <c r="BN325" s="172"/>
      <c r="BO325" s="179"/>
      <c r="BP325" s="171"/>
      <c r="BQ325" s="172"/>
      <c r="BR325" s="179"/>
      <c r="BS325" s="171"/>
      <c r="BT325" s="171"/>
      <c r="BU325" s="171"/>
      <c r="BV325" s="171"/>
      <c r="BW325" s="171"/>
      <c r="BX325" s="172"/>
      <c r="BY325" s="122"/>
      <c r="BZ325" s="123"/>
      <c r="CA325" s="123"/>
      <c r="CB325" s="124"/>
      <c r="CC325" s="122"/>
      <c r="CD325" s="123"/>
      <c r="CE325" s="123"/>
      <c r="CF325" s="215"/>
    </row>
    <row r="326" spans="22:84" ht="14.4" customHeight="1" x14ac:dyDescent="0.3">
      <c r="V326" s="49" t="str">
        <f t="shared" si="300"/>
        <v/>
      </c>
      <c r="W326" s="38" t="str" cm="1">
        <f t="array" ref="W326">IF(Y312="", "", IF(AND(Y312&lt;=MIN(AF312:AO312),Z312&gt;=MAX(AF312:AO312)),"ACCEPT",IF(AND(AF312:AO312="OK"),"ACCEPT","REJECT")))</f>
        <v/>
      </c>
      <c r="X326" s="38" t="str">
        <f t="shared" si="292"/>
        <v/>
      </c>
      <c r="Y326" s="38" t="str">
        <f t="shared" si="293"/>
        <v/>
      </c>
      <c r="Z326" s="38" t="str">
        <f t="shared" si="294"/>
        <v/>
      </c>
      <c r="AA326" s="38">
        <f t="shared" si="295"/>
        <v>1</v>
      </c>
      <c r="AB326" s="38">
        <f t="shared" si="296"/>
        <v>0</v>
      </c>
      <c r="AC326" s="38">
        <f t="shared" si="297"/>
        <v>0</v>
      </c>
      <c r="AD326" s="38">
        <f t="shared" si="298"/>
        <v>0</v>
      </c>
      <c r="AE326" s="38" t="str">
        <f t="shared" si="299"/>
        <v>-</v>
      </c>
      <c r="AP326" s="22"/>
      <c r="AQ326" s="46"/>
      <c r="AR326" s="28"/>
      <c r="AS326" s="28"/>
      <c r="AT326" s="28"/>
      <c r="AU326" s="28"/>
      <c r="AV326" s="28"/>
      <c r="AW326" s="28"/>
      <c r="AX326" s="28"/>
      <c r="AY326" s="28"/>
      <c r="AZ326" s="28"/>
      <c r="BA326" s="28"/>
      <c r="BB326" s="28"/>
      <c r="BC326" s="28"/>
      <c r="BD326" s="28"/>
      <c r="BE326" s="28"/>
      <c r="BF326" s="28"/>
      <c r="BG326" s="28"/>
      <c r="BH326" s="28"/>
      <c r="BI326" s="28"/>
      <c r="BJ326" s="28"/>
      <c r="BK326" s="51"/>
      <c r="BL326" s="173"/>
      <c r="BM326" s="174"/>
      <c r="BN326" s="175"/>
      <c r="BO326" s="180"/>
      <c r="BP326" s="174"/>
      <c r="BQ326" s="175"/>
      <c r="BR326" s="180"/>
      <c r="BS326" s="174"/>
      <c r="BT326" s="174"/>
      <c r="BU326" s="174"/>
      <c r="BV326" s="174"/>
      <c r="BW326" s="174"/>
      <c r="BX326" s="175"/>
      <c r="BY326" s="122"/>
      <c r="BZ326" s="123"/>
      <c r="CA326" s="123"/>
      <c r="CB326" s="124"/>
      <c r="CC326" s="122"/>
      <c r="CD326" s="123"/>
      <c r="CE326" s="123"/>
      <c r="CF326" s="215"/>
    </row>
    <row r="327" spans="22:84" ht="14.4" customHeight="1" thickBot="1" x14ac:dyDescent="0.35">
      <c r="V327" s="49" t="str">
        <f t="shared" si="300"/>
        <v/>
      </c>
      <c r="W327" s="38" t="str" cm="1">
        <f t="array" ref="W327">IF(Y313="", "", IF(AND(Y313&lt;=MIN(AF313:AO313),Z313&gt;=MAX(AF313:AO313)),"ACCEPT",IF(AND(AF313:AO313="OK"),"ACCEPT","REJECT")))</f>
        <v/>
      </c>
      <c r="X327" s="38" t="str">
        <f t="shared" si="292"/>
        <v/>
      </c>
      <c r="Y327" s="38" t="str">
        <f t="shared" si="293"/>
        <v/>
      </c>
      <c r="Z327" s="38" t="str">
        <f t="shared" si="294"/>
        <v/>
      </c>
      <c r="AA327" s="38">
        <f t="shared" si="295"/>
        <v>1</v>
      </c>
      <c r="AB327" s="38">
        <f t="shared" si="296"/>
        <v>0</v>
      </c>
      <c r="AC327" s="38">
        <f t="shared" si="297"/>
        <v>0</v>
      </c>
      <c r="AD327" s="38">
        <f t="shared" si="298"/>
        <v>0</v>
      </c>
      <c r="AE327" s="38" t="str">
        <f t="shared" si="299"/>
        <v>-</v>
      </c>
      <c r="AP327" s="22"/>
      <c r="AQ327" s="358" t="s">
        <v>113</v>
      </c>
      <c r="AR327" s="145"/>
      <c r="AS327" s="145"/>
      <c r="AT327" s="145"/>
      <c r="AU327" s="145"/>
      <c r="AV327" s="145"/>
      <c r="AW327" s="145"/>
      <c r="AX327" s="145"/>
      <c r="AY327" s="285"/>
      <c r="AZ327" s="285"/>
      <c r="BA327" s="285"/>
      <c r="BB327" s="285"/>
      <c r="BC327" s="285"/>
      <c r="BD327" s="285"/>
      <c r="BE327" s="285"/>
      <c r="BF327" s="286"/>
      <c r="BK327" s="22"/>
      <c r="BL327" s="173"/>
      <c r="BM327" s="174"/>
      <c r="BN327" s="175"/>
      <c r="BO327" s="180"/>
      <c r="BP327" s="174"/>
      <c r="BQ327" s="175"/>
      <c r="BR327" s="180"/>
      <c r="BS327" s="174"/>
      <c r="BT327" s="174"/>
      <c r="BU327" s="174"/>
      <c r="BV327" s="174"/>
      <c r="BW327" s="174"/>
      <c r="BX327" s="175"/>
      <c r="BY327" s="122"/>
      <c r="BZ327" s="123"/>
      <c r="CA327" s="123"/>
      <c r="CB327" s="124"/>
      <c r="CC327" s="122"/>
      <c r="CD327" s="123"/>
      <c r="CE327" s="123"/>
      <c r="CF327" s="215"/>
    </row>
    <row r="328" spans="22:84" ht="14.4" customHeight="1" x14ac:dyDescent="0.3">
      <c r="V328" s="49" t="str">
        <f>IF(ISBLANK(V314),"",V314)</f>
        <v/>
      </c>
      <c r="W328" s="38" t="str" cm="1">
        <f t="array" ref="W328">IF(Y314="", "", IF(AND(Y314&lt;=MIN(AF314:AO314),Z314&gt;=MAX(AF314:AO314)),"ACCEPT",IF(AND(AF314:AO314="OK"),"ACCEPT","REJECT")))</f>
        <v/>
      </c>
      <c r="X328" s="38" t="str">
        <f t="shared" si="292"/>
        <v/>
      </c>
      <c r="Y328" s="38" t="str">
        <f t="shared" si="293"/>
        <v/>
      </c>
      <c r="Z328" s="38" t="str">
        <f t="shared" si="294"/>
        <v/>
      </c>
      <c r="AA328" s="38">
        <f t="shared" si="295"/>
        <v>1</v>
      </c>
      <c r="AB328" s="38">
        <f t="shared" si="296"/>
        <v>0</v>
      </c>
      <c r="AC328" s="38">
        <f t="shared" si="297"/>
        <v>0</v>
      </c>
      <c r="AD328" s="38">
        <f t="shared" si="298"/>
        <v>0</v>
      </c>
      <c r="AE328" s="38" t="str">
        <f t="shared" si="299"/>
        <v>-</v>
      </c>
      <c r="AP328" s="22"/>
      <c r="AQ328" s="52"/>
      <c r="AR328" s="53" t="s">
        <v>114</v>
      </c>
      <c r="AS328" s="53" t="s">
        <v>115</v>
      </c>
      <c r="AT328" s="53" t="s">
        <v>116</v>
      </c>
      <c r="AU328" s="53" t="s">
        <v>119</v>
      </c>
      <c r="AV328" s="53" t="s">
        <v>120</v>
      </c>
      <c r="AW328" s="53" t="s">
        <v>121</v>
      </c>
      <c r="AX328" s="54" t="s">
        <v>122</v>
      </c>
      <c r="AY328" s="52"/>
      <c r="AZ328" s="53" t="s">
        <v>114</v>
      </c>
      <c r="BA328" s="53" t="s">
        <v>115</v>
      </c>
      <c r="BB328" s="53" t="s">
        <v>116</v>
      </c>
      <c r="BC328" s="53" t="s">
        <v>119</v>
      </c>
      <c r="BD328" s="53" t="s">
        <v>120</v>
      </c>
      <c r="BE328" s="53" t="s">
        <v>121</v>
      </c>
      <c r="BF328" s="54" t="s">
        <v>122</v>
      </c>
      <c r="BK328" s="22"/>
      <c r="BL328" s="173"/>
      <c r="BM328" s="174"/>
      <c r="BN328" s="175"/>
      <c r="BO328" s="180"/>
      <c r="BP328" s="174"/>
      <c r="BQ328" s="175"/>
      <c r="BR328" s="180"/>
      <c r="BS328" s="174"/>
      <c r="BT328" s="174"/>
      <c r="BU328" s="174"/>
      <c r="BV328" s="174"/>
      <c r="BW328" s="174"/>
      <c r="BX328" s="175"/>
      <c r="BY328" s="122"/>
      <c r="BZ328" s="123"/>
      <c r="CA328" s="123"/>
      <c r="CB328" s="124"/>
      <c r="CC328" s="122"/>
      <c r="CD328" s="123"/>
      <c r="CE328" s="123"/>
      <c r="CF328" s="215"/>
    </row>
    <row r="329" spans="22:84" ht="14.4" customHeight="1" x14ac:dyDescent="0.3">
      <c r="V329" s="55"/>
      <c r="W329" s="56"/>
      <c r="X329" s="56"/>
      <c r="Y329" s="56"/>
      <c r="Z329" s="56"/>
      <c r="AP329" s="22"/>
      <c r="AQ329" s="49" t="str">
        <f>IF(ISBLANK(V303),"",V303)</f>
        <v/>
      </c>
      <c r="AR329" s="38" t="str" cm="1">
        <f t="array" ref="AR329">IF(AT302="", "", IF(AND(AT302&lt;=MIN(AZ302:BK302,AQ315:BK315),AU302&gt;=MAX(AZ302:BK302,AQ315:BK315)),"ACCEPT",IF(AND(AZ302:BK302,AQ315:BK315="OK"),"ACCEPT","REJECT")))</f>
        <v/>
      </c>
      <c r="AS329" s="38" t="str">
        <f t="shared" ref="AS329:AS334" si="301">IF(TRIM(AR329)="", "", MAX(AZ302:BK302,AQ315:BK315))</f>
        <v/>
      </c>
      <c r="AT329" s="38" t="str">
        <f t="shared" ref="AT329:AT334" si="302">IF(TRIM(AR329)="", "", MIN(AZ302:BK302,AQ315:BK315))</f>
        <v/>
      </c>
      <c r="AU329" s="38">
        <f t="shared" ref="AU329:AU334" si="303">IF(COUNT(AZ302:BK302,AQ315:BK315)=0,0,AVERAGE(AZ302:BK302,AQ315:BK315))</f>
        <v>0</v>
      </c>
      <c r="AV329" s="38">
        <f t="shared" ref="AV329:AV334" si="304">MAX(AZ302:BK302,AQ315:BK315)-MIN(AZ302:BK302,AQ315:BK315)</f>
        <v>0</v>
      </c>
      <c r="AW329" s="38">
        <f t="shared" ref="AW329:AW334" si="305">IF(COUNT(AZ302:BK302,AQ315:BK315)=0,0,_xlfn.STDEV.S(AZ302:BK302,AQ315:BK315))</f>
        <v>0</v>
      </c>
      <c r="AX329" s="57" t="str">
        <f t="shared" ref="AX329:AX334" si="306">IF(AU329=0,"-",IF(AU329-AT302&lt;AU302-AU329,AU329-AT302,AU302-AU329)/(AW329*3))</f>
        <v>-</v>
      </c>
      <c r="AY329" s="49" t="str">
        <f>IF(ISBLANK(V309),"",V309)</f>
        <v/>
      </c>
      <c r="AZ329" s="38" t="str" cm="1">
        <f t="array" ref="AZ329">IF(AT308="", "", IF(AND(Y309&lt;=MIN(AZ308:BK308,AQ321:BK321),AU308&gt;=MAX(AZ308:BK308,AQ321:BK321)),"ACCEPT",IF(AND(AZ308:BK308,AQ321:BK321="OK"),"ACCEPT","REJECT")))</f>
        <v/>
      </c>
      <c r="BA329" s="38" t="str">
        <f t="shared" ref="BA329:BA334" si="307">IF(TRIM(AZ329)="", "", MAX(AZ308:BK308,AQ321:BK321))</f>
        <v/>
      </c>
      <c r="BB329" s="38" t="str">
        <f t="shared" ref="BB329:BB334" si="308">IF(TRIM(AZ329)="", "", MIN(AZ308:BK308,AQ321:BK321))</f>
        <v/>
      </c>
      <c r="BC329" s="38">
        <f t="shared" ref="BC329:BC334" si="309">IF(COUNT(AZ308:BK308,AQ321:BK321)=0,0,AVERAGE(AZ308:BK308,AQ321:BK321))</f>
        <v>0</v>
      </c>
      <c r="BD329" s="38">
        <f t="shared" ref="BD329:BD334" si="310">MAX(AZ308:BK308,AQ321:BK321)-MIN(AZ308:BK308,AQ321:BK321)</f>
        <v>0</v>
      </c>
      <c r="BE329" s="38">
        <f t="shared" ref="BE329:BE334" si="311">IF(COUNT(AZ308:BK308,AQ321:BK321)=0,0,_xlfn.STDEV.S(AZ308:BK308,AQ321:BK321))</f>
        <v>0</v>
      </c>
      <c r="BF329" s="57" t="str">
        <f t="shared" ref="BF329:BF334" si="312">IF(BC329=0,"-",IF(BC329-AT308&lt;AU308-BC329,BC329-AT308,AU308-BC329)/(BE329*3))</f>
        <v>-</v>
      </c>
      <c r="BK329" s="22"/>
      <c r="BL329" s="173"/>
      <c r="BM329" s="174"/>
      <c r="BN329" s="175"/>
      <c r="BO329" s="180"/>
      <c r="BP329" s="174"/>
      <c r="BQ329" s="175"/>
      <c r="BR329" s="180"/>
      <c r="BS329" s="174"/>
      <c r="BT329" s="174"/>
      <c r="BU329" s="174"/>
      <c r="BV329" s="174"/>
      <c r="BW329" s="174"/>
      <c r="BX329" s="175"/>
      <c r="BY329" s="122"/>
      <c r="BZ329" s="123"/>
      <c r="CA329" s="123"/>
      <c r="CB329" s="124"/>
      <c r="CC329" s="122"/>
      <c r="CD329" s="123"/>
      <c r="CE329" s="123"/>
      <c r="CF329" s="215"/>
    </row>
    <row r="330" spans="22:84" ht="14.4" customHeight="1" x14ac:dyDescent="0.3">
      <c r="V330" s="58" t="s">
        <v>35</v>
      </c>
      <c r="W330" s="247"/>
      <c r="X330" s="248"/>
      <c r="Y330" s="277" t="s">
        <v>37</v>
      </c>
      <c r="Z330" s="278"/>
      <c r="AB330" s="253" t="s">
        <v>125</v>
      </c>
      <c r="AC330" s="171"/>
      <c r="AD330" s="171"/>
      <c r="AE330" s="172"/>
      <c r="AG330" s="249" t="s">
        <v>126</v>
      </c>
      <c r="AH330" s="250"/>
      <c r="AI330" s="249" t="s">
        <v>9</v>
      </c>
      <c r="AJ330" s="250"/>
      <c r="AL330" s="249" t="s">
        <v>126</v>
      </c>
      <c r="AM330" s="250"/>
      <c r="AN330" s="249" t="s">
        <v>9</v>
      </c>
      <c r="AO330" s="250"/>
      <c r="AP330" s="22"/>
      <c r="AQ330" s="49" t="str">
        <f t="shared" ref="AQ330:AQ334" si="313">IF(ISBLANK(V304),"",V304)</f>
        <v/>
      </c>
      <c r="AR330" s="38" t="str" cm="1">
        <f t="array" ref="AR330">IF(AT303="", "", IF(AND(AT303&lt;=MIN(AZ303:BK303,AQ316:BK316),AU303&gt;=MAX(AZ303:BK303,AQ316:BK316)),"ACCEPT",IF(AND(AZ303:BK303,AQ316:BK316="OK"),"ACCEPT","REJECT")))</f>
        <v/>
      </c>
      <c r="AS330" s="38" t="str">
        <f t="shared" si="301"/>
        <v/>
      </c>
      <c r="AT330" s="38" t="str">
        <f t="shared" si="302"/>
        <v/>
      </c>
      <c r="AU330" s="38">
        <f t="shared" si="303"/>
        <v>0</v>
      </c>
      <c r="AV330" s="38">
        <f t="shared" si="304"/>
        <v>0</v>
      </c>
      <c r="AW330" s="38">
        <f t="shared" si="305"/>
        <v>0</v>
      </c>
      <c r="AX330" s="57" t="str">
        <f t="shared" si="306"/>
        <v>-</v>
      </c>
      <c r="AY330" s="49" t="str">
        <f t="shared" ref="AY330:AY334" si="314">IF(ISBLANK(V310),"",V310)</f>
        <v/>
      </c>
      <c r="AZ330" s="38" t="str" cm="1">
        <f t="array" ref="AZ330">IF(AT309="", "", IF(AND(Y310&lt;=MIN(AZ309:BK309,AQ322:BK322),AU309&gt;=MAX(AZ309:BK309,AQ322:BK322)),"ACCEPT",IF(AND(AZ309:BK309,AQ322:BK322="OK"),"ACCEPT","REJECT")))</f>
        <v/>
      </c>
      <c r="BA330" s="38" t="str">
        <f t="shared" si="307"/>
        <v/>
      </c>
      <c r="BB330" s="38" t="str">
        <f t="shared" si="308"/>
        <v/>
      </c>
      <c r="BC330" s="38">
        <f t="shared" si="309"/>
        <v>0</v>
      </c>
      <c r="BD330" s="38">
        <f t="shared" si="310"/>
        <v>0</v>
      </c>
      <c r="BE330" s="38">
        <f t="shared" si="311"/>
        <v>0</v>
      </c>
      <c r="BF330" s="57" t="str">
        <f t="shared" si="312"/>
        <v>-</v>
      </c>
      <c r="BG330" s="61" t="s">
        <v>126</v>
      </c>
      <c r="BH330" s="60"/>
      <c r="BI330" s="59" t="s">
        <v>9</v>
      </c>
      <c r="BJ330" s="60"/>
      <c r="BK330" s="22"/>
      <c r="BL330" s="173"/>
      <c r="BM330" s="174"/>
      <c r="BN330" s="175"/>
      <c r="BO330" s="180"/>
      <c r="BP330" s="174"/>
      <c r="BQ330" s="175"/>
      <c r="BR330" s="180"/>
      <c r="BS330" s="174"/>
      <c r="BT330" s="174"/>
      <c r="BU330" s="174"/>
      <c r="BV330" s="174"/>
      <c r="BW330" s="174"/>
      <c r="BX330" s="175"/>
      <c r="BY330" s="122"/>
      <c r="BZ330" s="123"/>
      <c r="CA330" s="123"/>
      <c r="CB330" s="124"/>
      <c r="CC330" s="122"/>
      <c r="CD330" s="123"/>
      <c r="CE330" s="123"/>
      <c r="CF330" s="215"/>
    </row>
    <row r="331" spans="22:84" ht="14.4" customHeight="1" x14ac:dyDescent="0.3">
      <c r="V331" s="33"/>
      <c r="Y331" s="279"/>
      <c r="Z331" s="280"/>
      <c r="AB331" s="259"/>
      <c r="AC331" s="177"/>
      <c r="AD331" s="177"/>
      <c r="AE331" s="178"/>
      <c r="AG331" s="179"/>
      <c r="AH331" s="172"/>
      <c r="AI331" s="179"/>
      <c r="AJ331" s="172"/>
      <c r="AL331" s="179"/>
      <c r="AM331" s="172"/>
      <c r="AN331" s="179"/>
      <c r="AO331" s="172"/>
      <c r="AP331" s="22"/>
      <c r="AQ331" s="49" t="str">
        <f t="shared" si="313"/>
        <v/>
      </c>
      <c r="AR331" s="38" t="str" cm="1">
        <f t="array" ref="AR331">IF(AT304="", "", IF(AND(AT304&lt;=MIN(AZ304:BK304,AQ317:BK317),AU304&gt;=MAX(AZ304:BK304,AQ317:BK317)),"ACCEPT",IF(AND(AZ304:BK304,AQ317:BK317="OK"),"ACCEPT","REJECT")))</f>
        <v/>
      </c>
      <c r="AS331" s="38" t="str">
        <f t="shared" si="301"/>
        <v/>
      </c>
      <c r="AT331" s="38" t="str">
        <f t="shared" si="302"/>
        <v/>
      </c>
      <c r="AU331" s="38">
        <f t="shared" si="303"/>
        <v>0</v>
      </c>
      <c r="AV331" s="38">
        <f t="shared" si="304"/>
        <v>0</v>
      </c>
      <c r="AW331" s="38">
        <f t="shared" si="305"/>
        <v>0</v>
      </c>
      <c r="AX331" s="57" t="str">
        <f t="shared" si="306"/>
        <v>-</v>
      </c>
      <c r="AY331" s="49" t="str">
        <f t="shared" si="314"/>
        <v/>
      </c>
      <c r="AZ331" s="38" t="str" cm="1">
        <f t="array" ref="AZ331">IF(AT310="", "", IF(AND(Y311&lt;=MIN(AZ310:BK310,AQ323:BK323),AU310&gt;=MAX(AZ310:BK310,AQ323:BK323)),"ACCEPT",IF(AND(AZ310:BK310,AQ323:BK323="OK"),"ACCEPT","REJECT")))</f>
        <v/>
      </c>
      <c r="BA331" s="38" t="str">
        <f t="shared" si="307"/>
        <v/>
      </c>
      <c r="BB331" s="38" t="str">
        <f t="shared" si="308"/>
        <v/>
      </c>
      <c r="BC331" s="38">
        <f t="shared" si="309"/>
        <v>0</v>
      </c>
      <c r="BD331" s="38">
        <f t="shared" si="310"/>
        <v>0</v>
      </c>
      <c r="BE331" s="38">
        <f t="shared" si="311"/>
        <v>0</v>
      </c>
      <c r="BF331" s="57" t="str">
        <f t="shared" si="312"/>
        <v>-</v>
      </c>
      <c r="BG331" s="170"/>
      <c r="BH331" s="172"/>
      <c r="BI331" s="179"/>
      <c r="BJ331" s="172"/>
      <c r="BK331" s="22"/>
      <c r="BL331" s="173"/>
      <c r="BM331" s="174"/>
      <c r="BN331" s="175"/>
      <c r="BO331" s="180"/>
      <c r="BP331" s="174"/>
      <c r="BQ331" s="175"/>
      <c r="BR331" s="180"/>
      <c r="BS331" s="174"/>
      <c r="BT331" s="174"/>
      <c r="BU331" s="174"/>
      <c r="BV331" s="174"/>
      <c r="BW331" s="174"/>
      <c r="BX331" s="175"/>
      <c r="BY331" s="122"/>
      <c r="BZ331" s="123"/>
      <c r="CA331" s="123"/>
      <c r="CB331" s="124"/>
      <c r="CC331" s="122"/>
      <c r="CD331" s="123"/>
      <c r="CE331" s="123"/>
      <c r="CF331" s="215"/>
    </row>
    <row r="332" spans="22:84" ht="14.4" customHeight="1" x14ac:dyDescent="0.3">
      <c r="V332" s="33" t="s">
        <v>36</v>
      </c>
      <c r="W332" s="247"/>
      <c r="X332" s="248"/>
      <c r="Y332" s="281"/>
      <c r="Z332" s="282"/>
      <c r="AB332" s="273" t="s">
        <v>141</v>
      </c>
      <c r="AC332" s="48" t="s">
        <v>127</v>
      </c>
      <c r="AD332" s="276" t="s">
        <v>128</v>
      </c>
      <c r="AE332" s="276"/>
      <c r="AG332" s="180"/>
      <c r="AH332" s="175"/>
      <c r="AI332" s="180"/>
      <c r="AJ332" s="175"/>
      <c r="AL332" s="180"/>
      <c r="AM332" s="175"/>
      <c r="AN332" s="180"/>
      <c r="AO332" s="175"/>
      <c r="AP332" s="22"/>
      <c r="AQ332" s="49" t="str">
        <f t="shared" si="313"/>
        <v/>
      </c>
      <c r="AR332" s="38" t="str" cm="1">
        <f t="array" ref="AR332">IF(AT305="", "", IF(AND(AT305&lt;=MIN(AZ305:BK305,AQ318:BK318),AU305&gt;=MAX(AZ305:BK305,AQ318:BK318)),"ACCEPT",IF(AND(AZ305:BK305,AQ318:BK318="OK"),"ACCEPT","REJECT")))</f>
        <v/>
      </c>
      <c r="AS332" s="38" t="str">
        <f t="shared" si="301"/>
        <v/>
      </c>
      <c r="AT332" s="38" t="str">
        <f t="shared" si="302"/>
        <v/>
      </c>
      <c r="AU332" s="38">
        <f t="shared" si="303"/>
        <v>0</v>
      </c>
      <c r="AV332" s="38">
        <f t="shared" si="304"/>
        <v>0</v>
      </c>
      <c r="AW332" s="38">
        <f t="shared" si="305"/>
        <v>0</v>
      </c>
      <c r="AX332" s="57" t="str">
        <f t="shared" si="306"/>
        <v>-</v>
      </c>
      <c r="AY332" s="49" t="str">
        <f t="shared" si="314"/>
        <v/>
      </c>
      <c r="AZ332" s="38" t="str" cm="1">
        <f t="array" ref="AZ332">IF(AT311="", "", IF(AND(Y312&lt;=MIN(AZ311:BK311,AQ324:BK324),AU311&gt;=MAX(AZ311:BK311,AQ324:BK324)),"ACCEPT",IF(AND(AZ311:BK311,AQ324:BK324="OK"),"ACCEPT","REJECT")))</f>
        <v/>
      </c>
      <c r="BA332" s="38" t="str">
        <f t="shared" si="307"/>
        <v/>
      </c>
      <c r="BB332" s="38" t="str">
        <f t="shared" si="308"/>
        <v/>
      </c>
      <c r="BC332" s="38">
        <f t="shared" si="309"/>
        <v>0</v>
      </c>
      <c r="BD332" s="38">
        <f t="shared" si="310"/>
        <v>0</v>
      </c>
      <c r="BE332" s="38">
        <f t="shared" si="311"/>
        <v>0</v>
      </c>
      <c r="BF332" s="57" t="str">
        <f t="shared" si="312"/>
        <v>-</v>
      </c>
      <c r="BG332" s="173"/>
      <c r="BH332" s="175"/>
      <c r="BI332" s="180"/>
      <c r="BJ332" s="175"/>
      <c r="BK332" s="22"/>
      <c r="BL332" s="173"/>
      <c r="BM332" s="174"/>
      <c r="BN332" s="175"/>
      <c r="BO332" s="180"/>
      <c r="BP332" s="174"/>
      <c r="BQ332" s="175"/>
      <c r="BR332" s="180"/>
      <c r="BS332" s="174"/>
      <c r="BT332" s="174"/>
      <c r="BU332" s="174"/>
      <c r="BV332" s="174"/>
      <c r="BW332" s="174"/>
      <c r="BX332" s="175"/>
      <c r="BY332" s="122"/>
      <c r="BZ332" s="123"/>
      <c r="CA332" s="123"/>
      <c r="CB332" s="124"/>
      <c r="CC332" s="122"/>
      <c r="CD332" s="123"/>
      <c r="CE332" s="123"/>
      <c r="CF332" s="215"/>
    </row>
    <row r="333" spans="22:84" ht="14.4" customHeight="1" x14ac:dyDescent="0.3">
      <c r="V333" s="33"/>
      <c r="Y333" s="283"/>
      <c r="Z333" s="284"/>
      <c r="AB333" s="274"/>
      <c r="AC333" s="48" t="s">
        <v>129</v>
      </c>
      <c r="AD333" s="276" t="s">
        <v>130</v>
      </c>
      <c r="AE333" s="276"/>
      <c r="AG333" s="181"/>
      <c r="AH333" s="178"/>
      <c r="AI333" s="181"/>
      <c r="AJ333" s="178"/>
      <c r="AL333" s="181"/>
      <c r="AM333" s="178"/>
      <c r="AN333" s="181"/>
      <c r="AO333" s="178"/>
      <c r="AP333" s="22"/>
      <c r="AQ333" s="49" t="str">
        <f t="shared" si="313"/>
        <v/>
      </c>
      <c r="AR333" s="38" t="str" cm="1">
        <f t="array" ref="AR333">IF(AT306="", "", IF(AND(AT306&lt;=MIN(AZ306:BK306,AQ319:BK319),AU306&gt;=MAX(AZ306:BK306,AQ319:BK319)),"ACCEPT",IF(AND(AZ306:BK306,AQ319:BK319="OK"),"ACCEPT","REJECT")))</f>
        <v/>
      </c>
      <c r="AS333" s="38" t="str">
        <f t="shared" si="301"/>
        <v/>
      </c>
      <c r="AT333" s="38" t="str">
        <f t="shared" si="302"/>
        <v/>
      </c>
      <c r="AU333" s="38">
        <f t="shared" si="303"/>
        <v>0</v>
      </c>
      <c r="AV333" s="38">
        <f t="shared" si="304"/>
        <v>0</v>
      </c>
      <c r="AW333" s="38">
        <f t="shared" si="305"/>
        <v>0</v>
      </c>
      <c r="AX333" s="57" t="str">
        <f t="shared" si="306"/>
        <v>-</v>
      </c>
      <c r="AY333" s="49" t="str">
        <f t="shared" si="314"/>
        <v/>
      </c>
      <c r="AZ333" s="38" t="str" cm="1">
        <f t="array" ref="AZ333">IF(AT312="", "", IF(AND(Y313&lt;=MIN(AZ312:BK312,AQ325:BK325),AU312&gt;=MAX(AZ312:BK312,AQ325:BK325)),"ACCEPT",IF(AND(AZ312:BK312,AQ325:BK325="OK"),"ACCEPT","REJECT")))</f>
        <v/>
      </c>
      <c r="BA333" s="38" t="str">
        <f t="shared" si="307"/>
        <v/>
      </c>
      <c r="BB333" s="38" t="str">
        <f t="shared" si="308"/>
        <v/>
      </c>
      <c r="BC333" s="38">
        <f t="shared" si="309"/>
        <v>0</v>
      </c>
      <c r="BD333" s="38">
        <f t="shared" si="310"/>
        <v>0</v>
      </c>
      <c r="BE333" s="38">
        <f t="shared" si="311"/>
        <v>0</v>
      </c>
      <c r="BF333" s="57" t="str">
        <f t="shared" si="312"/>
        <v>-</v>
      </c>
      <c r="BG333" s="176"/>
      <c r="BH333" s="178"/>
      <c r="BI333" s="181"/>
      <c r="BJ333" s="178"/>
      <c r="BK333" s="22"/>
      <c r="BL333" s="173"/>
      <c r="BM333" s="174"/>
      <c r="BN333" s="175"/>
      <c r="BO333" s="180"/>
      <c r="BP333" s="174"/>
      <c r="BQ333" s="175"/>
      <c r="BR333" s="180"/>
      <c r="BS333" s="174"/>
      <c r="BT333" s="174"/>
      <c r="BU333" s="174"/>
      <c r="BV333" s="174"/>
      <c r="BW333" s="174"/>
      <c r="BX333" s="175"/>
      <c r="BY333" s="122"/>
      <c r="BZ333" s="123"/>
      <c r="CA333" s="123"/>
      <c r="CB333" s="124"/>
      <c r="CC333" s="125"/>
      <c r="CD333" s="126"/>
      <c r="CE333" s="126"/>
      <c r="CF333" s="216"/>
    </row>
    <row r="334" spans="22:84" ht="14.4" customHeight="1" x14ac:dyDescent="0.3">
      <c r="V334" s="55"/>
      <c r="W334" s="56"/>
      <c r="X334" s="56"/>
      <c r="Y334" s="75" t="s">
        <v>48</v>
      </c>
      <c r="Z334" s="62"/>
      <c r="AB334" s="275"/>
      <c r="AC334" s="48" t="s">
        <v>131</v>
      </c>
      <c r="AD334" s="276" t="s">
        <v>132</v>
      </c>
      <c r="AE334" s="276"/>
      <c r="AG334" s="83" t="s">
        <v>48</v>
      </c>
      <c r="AH334" s="35"/>
      <c r="AI334" s="83" t="s">
        <v>48</v>
      </c>
      <c r="AJ334" s="35"/>
      <c r="AL334" s="83" t="s">
        <v>48</v>
      </c>
      <c r="AM334" s="35"/>
      <c r="AN334" s="83" t="s">
        <v>48</v>
      </c>
      <c r="AO334" s="35"/>
      <c r="AP334" s="22"/>
      <c r="AQ334" s="49" t="str">
        <f t="shared" si="313"/>
        <v/>
      </c>
      <c r="AR334" s="38" t="str" cm="1">
        <f t="array" ref="AR334">IF(AT307="", "", IF(AND(AT307&lt;=MIN(AZ307:BK307,AQ320:BK320),AU307&gt;=MAX(AZ307:BK307,AQ320:BK320)),"ACCEPT",IF(AND(AZ307:BK307,AQ320:BK320="OK"),"ACCEPT","REJECT")))</f>
        <v/>
      </c>
      <c r="AS334" s="38" t="str">
        <f t="shared" si="301"/>
        <v/>
      </c>
      <c r="AT334" s="38" t="str">
        <f t="shared" si="302"/>
        <v/>
      </c>
      <c r="AU334" s="38">
        <f t="shared" si="303"/>
        <v>0</v>
      </c>
      <c r="AV334" s="38">
        <f t="shared" si="304"/>
        <v>0</v>
      </c>
      <c r="AW334" s="38">
        <f t="shared" si="305"/>
        <v>0</v>
      </c>
      <c r="AX334" s="57" t="str">
        <f t="shared" si="306"/>
        <v>-</v>
      </c>
      <c r="AY334" s="49" t="str">
        <f t="shared" si="314"/>
        <v/>
      </c>
      <c r="AZ334" s="38" t="str" cm="1">
        <f t="array" ref="AZ334">IF(AT313="", "", IF(AND(Y314&lt;=MIN(AZ313:BK313,AQ326:BK326),AU313&gt;=MAX(AZ313:BK313,AQ326:BK326)),"ACCEPT",IF(AND(AZ313:BK313,AQ326:BK326="OK"),"ACCEPT","REJECT")))</f>
        <v/>
      </c>
      <c r="BA334" s="38" t="str">
        <f t="shared" si="307"/>
        <v/>
      </c>
      <c r="BB334" s="38" t="str">
        <f t="shared" si="308"/>
        <v/>
      </c>
      <c r="BC334" s="38">
        <f t="shared" si="309"/>
        <v>0</v>
      </c>
      <c r="BD334" s="38">
        <f t="shared" si="310"/>
        <v>0</v>
      </c>
      <c r="BE334" s="38">
        <f t="shared" si="311"/>
        <v>0</v>
      </c>
      <c r="BF334" s="57" t="str">
        <f t="shared" si="312"/>
        <v>-</v>
      </c>
      <c r="BG334" s="61" t="s">
        <v>48</v>
      </c>
      <c r="BH334" s="35"/>
      <c r="BI334" s="59" t="s">
        <v>48</v>
      </c>
      <c r="BJ334" s="35"/>
      <c r="BK334" s="22"/>
      <c r="BL334" s="173"/>
      <c r="BM334" s="174"/>
      <c r="BN334" s="175"/>
      <c r="BO334" s="180"/>
      <c r="BP334" s="174"/>
      <c r="BQ334" s="175"/>
      <c r="BR334" s="180"/>
      <c r="BS334" s="174"/>
      <c r="BT334" s="174"/>
      <c r="BU334" s="174"/>
      <c r="BV334" s="174"/>
      <c r="BW334" s="174"/>
      <c r="BX334" s="175"/>
      <c r="BY334" s="122"/>
      <c r="BZ334" s="123"/>
      <c r="CA334" s="123"/>
      <c r="CB334" s="124"/>
      <c r="CC334" s="150" t="s">
        <v>123</v>
      </c>
      <c r="CD334" s="151"/>
      <c r="CE334" s="151"/>
      <c r="CF334" s="152"/>
    </row>
    <row r="335" spans="22:84" ht="14.4" customHeight="1" thickBot="1" x14ac:dyDescent="0.35">
      <c r="V335" s="55"/>
      <c r="W335" s="56"/>
      <c r="X335" s="56"/>
      <c r="Y335" s="56"/>
      <c r="Z335" s="56"/>
      <c r="AA335" s="56"/>
      <c r="AB335" s="56"/>
      <c r="AC335" s="56"/>
      <c r="AD335" s="56"/>
      <c r="AE335" s="56"/>
      <c r="AF335" s="56"/>
      <c r="AG335" s="56"/>
      <c r="AH335" s="56"/>
      <c r="AI335" s="56"/>
      <c r="AJ335" s="56"/>
      <c r="AK335" s="56"/>
      <c r="AL335" s="56"/>
      <c r="AM335" s="56"/>
      <c r="AN335" s="56"/>
      <c r="AO335" s="56"/>
      <c r="AP335" s="65"/>
      <c r="AQ335" s="55"/>
      <c r="AR335" s="66"/>
      <c r="AS335" s="56"/>
      <c r="AT335" s="56"/>
      <c r="AU335" s="56"/>
      <c r="AV335" s="56"/>
      <c r="AW335" s="56"/>
      <c r="AX335" s="56"/>
      <c r="AY335" s="56"/>
      <c r="AZ335" s="56"/>
      <c r="BA335" s="56"/>
      <c r="BB335" s="56"/>
      <c r="BC335" s="56"/>
      <c r="BD335" s="56"/>
      <c r="BE335" s="56"/>
      <c r="BF335" s="56"/>
      <c r="BG335" s="56"/>
      <c r="BH335" s="56"/>
      <c r="BI335" s="56"/>
      <c r="BJ335" s="56"/>
      <c r="BK335" s="65"/>
      <c r="BL335" s="176"/>
      <c r="BM335" s="177"/>
      <c r="BN335" s="178"/>
      <c r="BO335" s="181"/>
      <c r="BP335" s="177"/>
      <c r="BQ335" s="178"/>
      <c r="BR335" s="181"/>
      <c r="BS335" s="177"/>
      <c r="BT335" s="177"/>
      <c r="BU335" s="177"/>
      <c r="BV335" s="177"/>
      <c r="BW335" s="177"/>
      <c r="BX335" s="178"/>
      <c r="BY335" s="125"/>
      <c r="BZ335" s="126"/>
      <c r="CA335" s="126"/>
      <c r="CB335" s="127"/>
      <c r="CC335" s="153"/>
      <c r="CD335" s="154"/>
      <c r="CE335" s="154"/>
      <c r="CF335" s="155"/>
    </row>
    <row r="336" spans="22:84" ht="14.4" customHeight="1" thickBot="1" x14ac:dyDescent="0.35">
      <c r="V336" s="67"/>
      <c r="W336" s="68"/>
      <c r="X336" s="68"/>
      <c r="Y336" s="68"/>
      <c r="Z336" s="68"/>
      <c r="AA336" s="68"/>
      <c r="AB336" s="68"/>
      <c r="AC336" s="68"/>
      <c r="AD336" s="68"/>
      <c r="AE336" s="68"/>
      <c r="AF336" s="68"/>
      <c r="AG336" s="233" t="s">
        <v>140</v>
      </c>
      <c r="AH336" s="233"/>
      <c r="AI336" s="233"/>
      <c r="AJ336" s="234" t="s">
        <v>139</v>
      </c>
      <c r="AK336" s="234"/>
      <c r="AL336" s="234"/>
      <c r="AM336" s="234"/>
      <c r="AN336" s="234" t="s">
        <v>138</v>
      </c>
      <c r="AO336" s="234"/>
      <c r="AP336" s="235"/>
      <c r="AQ336" s="67"/>
      <c r="AR336" s="68"/>
      <c r="AS336" s="68"/>
      <c r="AT336" s="68"/>
      <c r="AU336" s="68"/>
      <c r="AV336" s="68"/>
      <c r="AW336" s="68"/>
      <c r="AX336" s="68"/>
      <c r="AY336" s="68"/>
      <c r="AZ336" s="68"/>
      <c r="BA336" s="68"/>
      <c r="BB336" s="233" t="s">
        <v>140</v>
      </c>
      <c r="BC336" s="233"/>
      <c r="BD336" s="233"/>
      <c r="BE336" s="234" t="s">
        <v>139</v>
      </c>
      <c r="BF336" s="234"/>
      <c r="BG336" s="234"/>
      <c r="BH336" s="234"/>
      <c r="BI336" s="234" t="s">
        <v>142</v>
      </c>
      <c r="BJ336" s="234"/>
      <c r="BK336" s="235"/>
      <c r="BL336" s="67"/>
      <c r="BM336" s="68"/>
      <c r="BN336" s="68"/>
      <c r="BO336" s="68"/>
      <c r="BP336" s="68"/>
      <c r="BQ336" s="68"/>
      <c r="BR336" s="68"/>
      <c r="BS336" s="68"/>
      <c r="BT336" s="68"/>
      <c r="BU336" s="68"/>
      <c r="BV336" s="68"/>
      <c r="BW336" s="68"/>
      <c r="BX336" s="68"/>
      <c r="BY336" s="68"/>
      <c r="BZ336" s="71" t="s">
        <v>133</v>
      </c>
      <c r="CA336" s="68"/>
      <c r="CB336" s="68"/>
      <c r="CC336" s="68"/>
      <c r="CD336" s="68"/>
      <c r="CE336" s="68"/>
      <c r="CF336" s="69"/>
    </row>
    <row r="337" spans="22:84" ht="14.4" customHeight="1" x14ac:dyDescent="0.3">
      <c r="V337" s="183" t="e" vm="1">
        <v>#VALUE!</v>
      </c>
      <c r="W337" s="184"/>
      <c r="X337" s="189" t="s">
        <v>1</v>
      </c>
      <c r="Y337" s="189"/>
      <c r="Z337" s="189"/>
      <c r="AA337" s="189"/>
      <c r="AB337" s="189"/>
      <c r="AC337" s="189"/>
      <c r="AD337" s="189"/>
      <c r="AE337" s="189"/>
      <c r="AF337" s="291" t="s">
        <v>2</v>
      </c>
      <c r="AG337" s="191"/>
      <c r="AH337" s="191"/>
      <c r="AI337" s="191"/>
      <c r="AJ337" s="191"/>
      <c r="AK337" s="191"/>
      <c r="AL337" s="191"/>
      <c r="AM337" s="191"/>
      <c r="AN337" s="191" t="e" vm="4">
        <v>#VALUE!</v>
      </c>
      <c r="AO337" s="191"/>
      <c r="AP337" s="192"/>
      <c r="AQ337" s="183" t="e" vm="1">
        <v>#VALUE!</v>
      </c>
      <c r="AR337" s="184"/>
      <c r="AS337" s="190" t="s">
        <v>1</v>
      </c>
      <c r="AT337" s="190"/>
      <c r="AU337" s="190"/>
      <c r="AV337" s="190"/>
      <c r="AW337" s="190"/>
      <c r="AX337" s="190"/>
      <c r="AY337" s="190"/>
      <c r="AZ337" s="190"/>
      <c r="BA337" s="190" t="s">
        <v>3</v>
      </c>
      <c r="BB337" s="190"/>
      <c r="BC337" s="190"/>
      <c r="BD337" s="190"/>
      <c r="BE337" s="190"/>
      <c r="BF337" s="190"/>
      <c r="BG337" s="190"/>
      <c r="BH337" s="190"/>
      <c r="BI337" s="191" t="e" vm="2">
        <v>#VALUE!</v>
      </c>
      <c r="BJ337" s="191"/>
      <c r="BK337" s="192"/>
      <c r="BL337" s="183" t="e" vm="1">
        <v>#VALUE!</v>
      </c>
      <c r="BM337" s="184"/>
      <c r="BN337" s="189" t="s">
        <v>1</v>
      </c>
      <c r="BO337" s="189"/>
      <c r="BP337" s="189"/>
      <c r="BQ337" s="189"/>
      <c r="BR337" s="189"/>
      <c r="BS337" s="189"/>
      <c r="BT337" s="189"/>
      <c r="BU337" s="189"/>
      <c r="BV337" s="189" t="s">
        <v>4</v>
      </c>
      <c r="BW337" s="189"/>
      <c r="BX337" s="189"/>
      <c r="BY337" s="189"/>
      <c r="BZ337" s="189"/>
      <c r="CA337" s="189"/>
      <c r="CB337" s="189"/>
      <c r="CC337" s="189"/>
      <c r="CD337" s="191" t="e" vm="3">
        <v>#VALUE!</v>
      </c>
      <c r="CE337" s="191"/>
      <c r="CF337" s="192"/>
    </row>
    <row r="338" spans="22:84" ht="14.4" customHeight="1" x14ac:dyDescent="0.3">
      <c r="V338" s="185"/>
      <c r="W338" s="186"/>
      <c r="X338" s="190"/>
      <c r="Y338" s="190"/>
      <c r="Z338" s="190"/>
      <c r="AA338" s="190"/>
      <c r="AB338" s="190"/>
      <c r="AC338" s="190"/>
      <c r="AD338" s="190"/>
      <c r="AE338" s="190"/>
      <c r="AF338" s="293"/>
      <c r="AG338" s="193"/>
      <c r="AH338" s="193"/>
      <c r="AI338" s="193"/>
      <c r="AJ338" s="193"/>
      <c r="AK338" s="193"/>
      <c r="AL338" s="193"/>
      <c r="AM338" s="193"/>
      <c r="AN338" s="193"/>
      <c r="AO338" s="193"/>
      <c r="AP338" s="194"/>
      <c r="AQ338" s="185"/>
      <c r="AR338" s="186"/>
      <c r="AS338" s="190"/>
      <c r="AT338" s="190"/>
      <c r="AU338" s="190"/>
      <c r="AV338" s="190"/>
      <c r="AW338" s="190"/>
      <c r="AX338" s="190"/>
      <c r="AY338" s="190"/>
      <c r="AZ338" s="190"/>
      <c r="BA338" s="190"/>
      <c r="BB338" s="190"/>
      <c r="BC338" s="190"/>
      <c r="BD338" s="190"/>
      <c r="BE338" s="190"/>
      <c r="BF338" s="190"/>
      <c r="BG338" s="190"/>
      <c r="BH338" s="190"/>
      <c r="BI338" s="193"/>
      <c r="BJ338" s="193"/>
      <c r="BK338" s="194"/>
      <c r="BL338" s="185"/>
      <c r="BM338" s="186"/>
      <c r="BN338" s="190"/>
      <c r="BO338" s="190"/>
      <c r="BP338" s="190"/>
      <c r="BQ338" s="190"/>
      <c r="BR338" s="190"/>
      <c r="BS338" s="190"/>
      <c r="BT338" s="190"/>
      <c r="BU338" s="190"/>
      <c r="BV338" s="190"/>
      <c r="BW338" s="190"/>
      <c r="BX338" s="190"/>
      <c r="BY338" s="190"/>
      <c r="BZ338" s="190"/>
      <c r="CA338" s="190"/>
      <c r="CB338" s="190"/>
      <c r="CC338" s="190"/>
      <c r="CD338" s="193"/>
      <c r="CE338" s="193"/>
      <c r="CF338" s="194"/>
    </row>
    <row r="339" spans="22:84" ht="14.4" customHeight="1" x14ac:dyDescent="0.3">
      <c r="V339" s="187"/>
      <c r="W339" s="188"/>
      <c r="X339" s="190"/>
      <c r="Y339" s="190"/>
      <c r="Z339" s="190"/>
      <c r="AA339" s="190"/>
      <c r="AB339" s="190"/>
      <c r="AC339" s="190"/>
      <c r="AD339" s="190"/>
      <c r="AE339" s="190"/>
      <c r="AF339" s="295"/>
      <c r="AG339" s="195"/>
      <c r="AH339" s="195"/>
      <c r="AI339" s="195"/>
      <c r="AJ339" s="195"/>
      <c r="AK339" s="195"/>
      <c r="AL339" s="195"/>
      <c r="AM339" s="195"/>
      <c r="AN339" s="193"/>
      <c r="AO339" s="193"/>
      <c r="AP339" s="194"/>
      <c r="AQ339" s="187"/>
      <c r="AR339" s="188"/>
      <c r="AS339" s="190"/>
      <c r="AT339" s="190"/>
      <c r="AU339" s="190"/>
      <c r="AV339" s="190"/>
      <c r="AW339" s="190"/>
      <c r="AX339" s="190"/>
      <c r="AY339" s="190"/>
      <c r="AZ339" s="190"/>
      <c r="BA339" s="190"/>
      <c r="BB339" s="190"/>
      <c r="BC339" s="190"/>
      <c r="BD339" s="190"/>
      <c r="BE339" s="190"/>
      <c r="BF339" s="190"/>
      <c r="BG339" s="190"/>
      <c r="BH339" s="190"/>
      <c r="BI339" s="195"/>
      <c r="BJ339" s="195"/>
      <c r="BK339" s="196"/>
      <c r="BL339" s="187"/>
      <c r="BM339" s="188"/>
      <c r="BN339" s="190"/>
      <c r="BO339" s="190"/>
      <c r="BP339" s="190"/>
      <c r="BQ339" s="190"/>
      <c r="BR339" s="190"/>
      <c r="BS339" s="190"/>
      <c r="BT339" s="190"/>
      <c r="BU339" s="190"/>
      <c r="BV339" s="190"/>
      <c r="BW339" s="190"/>
      <c r="BX339" s="190"/>
      <c r="BY339" s="190"/>
      <c r="BZ339" s="190"/>
      <c r="CA339" s="190"/>
      <c r="CB339" s="190"/>
      <c r="CC339" s="190"/>
      <c r="CD339" s="195"/>
      <c r="CE339" s="195"/>
      <c r="CF339" s="196"/>
    </row>
    <row r="340" spans="22:84" ht="14.4" customHeight="1" x14ac:dyDescent="0.3">
      <c r="V340" s="107" t="s">
        <v>7</v>
      </c>
      <c r="W340" s="106"/>
      <c r="X340" s="182" t="str">
        <f>IF(ISBLANK($C$4),"",$C$4)</f>
        <v/>
      </c>
      <c r="Y340" s="182"/>
      <c r="Z340" s="182"/>
      <c r="AA340" s="182"/>
      <c r="AB340" s="182"/>
      <c r="AC340" s="108" t="s">
        <v>8</v>
      </c>
      <c r="AD340" s="109"/>
      <c r="AE340" s="110"/>
      <c r="AF340" s="108" t="s">
        <v>9</v>
      </c>
      <c r="AG340" s="109"/>
      <c r="AH340" s="110"/>
      <c r="AI340" s="108" t="s">
        <v>10</v>
      </c>
      <c r="AJ340" s="109"/>
      <c r="AK340" s="110"/>
      <c r="AL340" s="113" t="s">
        <v>11</v>
      </c>
      <c r="AM340" s="117"/>
      <c r="AN340" s="113" t="str">
        <f>IF(ISBLANK($S$4),"",$S$4)</f>
        <v/>
      </c>
      <c r="AO340" s="117"/>
      <c r="AP340" s="114"/>
      <c r="AQ340" s="112" t="s">
        <v>7</v>
      </c>
      <c r="AR340" s="106"/>
      <c r="AS340" s="182" t="str">
        <f>IF(ISBLANK($C$4),"",$C$4)</f>
        <v/>
      </c>
      <c r="AT340" s="182"/>
      <c r="AU340" s="182"/>
      <c r="AV340" s="182"/>
      <c r="AW340" s="182"/>
      <c r="AX340" s="108" t="s">
        <v>8</v>
      </c>
      <c r="AY340" s="109"/>
      <c r="AZ340" s="110"/>
      <c r="BA340" s="108" t="s">
        <v>9</v>
      </c>
      <c r="BB340" s="109"/>
      <c r="BC340" s="110"/>
      <c r="BD340" s="108" t="s">
        <v>10</v>
      </c>
      <c r="BE340" s="109"/>
      <c r="BF340" s="110"/>
      <c r="BG340" s="113" t="s">
        <v>11</v>
      </c>
      <c r="BH340" s="114"/>
      <c r="BI340" s="113" t="str">
        <f>IF(ISBLANK($S$4),"",$S$4)</f>
        <v/>
      </c>
      <c r="BJ340" s="117"/>
      <c r="BK340" s="114"/>
      <c r="BL340" s="112" t="s">
        <v>7</v>
      </c>
      <c r="BM340" s="106"/>
      <c r="BN340" s="182" t="str">
        <f>IF(ISBLANK($C$4),"",$C$4)</f>
        <v/>
      </c>
      <c r="BO340" s="182"/>
      <c r="BP340" s="182"/>
      <c r="BQ340" s="182"/>
      <c r="BR340" s="182"/>
      <c r="BS340" s="108" t="s">
        <v>8</v>
      </c>
      <c r="BT340" s="109"/>
      <c r="BU340" s="110"/>
      <c r="BV340" s="108" t="s">
        <v>9</v>
      </c>
      <c r="BW340" s="109"/>
      <c r="BX340" s="110"/>
      <c r="BY340" s="108" t="s">
        <v>10</v>
      </c>
      <c r="BZ340" s="109"/>
      <c r="CA340" s="110"/>
      <c r="CB340" s="113" t="s">
        <v>11</v>
      </c>
      <c r="CC340" s="114"/>
      <c r="CD340" s="113" t="str">
        <f>IF(ISBLANK($S$4),"",$S$4)</f>
        <v/>
      </c>
      <c r="CE340" s="117"/>
      <c r="CF340" s="114"/>
    </row>
    <row r="341" spans="22:84" ht="14.4" customHeight="1" x14ac:dyDescent="0.3">
      <c r="V341" s="107" t="s">
        <v>12</v>
      </c>
      <c r="W341" s="106"/>
      <c r="X341" s="182" t="str">
        <f>IF(ISBLANK($C$5),"",$C$5)</f>
        <v/>
      </c>
      <c r="Y341" s="182"/>
      <c r="Z341" s="182"/>
      <c r="AA341" s="182"/>
      <c r="AB341" s="182"/>
      <c r="AC341" s="108" t="s">
        <v>13</v>
      </c>
      <c r="AD341" s="109"/>
      <c r="AE341" s="110"/>
      <c r="AF341" s="108" t="s">
        <v>14</v>
      </c>
      <c r="AG341" s="109"/>
      <c r="AH341" s="110"/>
      <c r="AI341" s="108" t="s">
        <v>15</v>
      </c>
      <c r="AJ341" s="109"/>
      <c r="AK341" s="110"/>
      <c r="AL341" s="115"/>
      <c r="AM341" s="118"/>
      <c r="AN341" s="115" t="str">
        <f>IF(ISBLANK($S$5),"",$S$5)</f>
        <v/>
      </c>
      <c r="AO341" s="118"/>
      <c r="AP341" s="116"/>
      <c r="AQ341" s="112" t="s">
        <v>12</v>
      </c>
      <c r="AR341" s="106"/>
      <c r="AS341" s="182" t="str">
        <f>IF(ISBLANK($C$5),"",$C$5)</f>
        <v/>
      </c>
      <c r="AT341" s="182"/>
      <c r="AU341" s="182"/>
      <c r="AV341" s="182"/>
      <c r="AW341" s="182"/>
      <c r="AX341" s="108" t="s">
        <v>13</v>
      </c>
      <c r="AY341" s="109"/>
      <c r="AZ341" s="110"/>
      <c r="BA341" s="108" t="s">
        <v>14</v>
      </c>
      <c r="BB341" s="109"/>
      <c r="BC341" s="110"/>
      <c r="BD341" s="108" t="s">
        <v>15</v>
      </c>
      <c r="BE341" s="109"/>
      <c r="BF341" s="110"/>
      <c r="BG341" s="115"/>
      <c r="BH341" s="116"/>
      <c r="BI341" s="115" t="str">
        <f>IF(ISBLANK($S$5),"",$S$5)</f>
        <v/>
      </c>
      <c r="BJ341" s="118"/>
      <c r="BK341" s="116"/>
      <c r="BL341" s="112" t="s">
        <v>12</v>
      </c>
      <c r="BM341" s="106"/>
      <c r="BN341" s="182" t="str">
        <f>IF(ISBLANK($C$5),"",$C$5)</f>
        <v/>
      </c>
      <c r="BO341" s="182"/>
      <c r="BP341" s="182"/>
      <c r="BQ341" s="182"/>
      <c r="BR341" s="182"/>
      <c r="BS341" s="108" t="s">
        <v>143</v>
      </c>
      <c r="BT341" s="109"/>
      <c r="BU341" s="110"/>
      <c r="BV341" s="108" t="s">
        <v>144</v>
      </c>
      <c r="BW341" s="109"/>
      <c r="BX341" s="110"/>
      <c r="BY341" s="108" t="s">
        <v>15</v>
      </c>
      <c r="BZ341" s="109"/>
      <c r="CA341" s="110"/>
      <c r="CB341" s="115"/>
      <c r="CC341" s="116"/>
      <c r="CD341" s="115" t="str">
        <f>IF(ISBLANK($S$5),"",$S$5)</f>
        <v/>
      </c>
      <c r="CE341" s="118"/>
      <c r="CF341" s="116"/>
    </row>
    <row r="342" spans="22:84" ht="14.4" customHeight="1" x14ac:dyDescent="0.3">
      <c r="V342" s="107" t="s">
        <v>42</v>
      </c>
      <c r="W342" s="106"/>
      <c r="X342" s="182" t="str">
        <f>IF(ISBLANK($C$6),"",$C$6)</f>
        <v/>
      </c>
      <c r="Y342" s="182"/>
      <c r="Z342" s="182"/>
      <c r="AA342" s="182"/>
      <c r="AB342" s="182"/>
      <c r="AC342" s="253"/>
      <c r="AD342" s="254"/>
      <c r="AE342" s="255"/>
      <c r="AF342" s="253"/>
      <c r="AG342" s="254"/>
      <c r="AH342" s="255"/>
      <c r="AI342" s="253"/>
      <c r="AJ342" s="254"/>
      <c r="AK342" s="255"/>
      <c r="AL342" s="105" t="s">
        <v>43</v>
      </c>
      <c r="AM342" s="106"/>
      <c r="AN342" s="115" t="str">
        <f>IF(ISBLANK($S$6),"",$S$6)</f>
        <v/>
      </c>
      <c r="AO342" s="118"/>
      <c r="AP342" s="252"/>
      <c r="AQ342" s="107" t="s">
        <v>42</v>
      </c>
      <c r="AR342" s="106"/>
      <c r="AS342" s="182" t="str">
        <f>IF(ISBLANK($C$6),"",$C$6)</f>
        <v/>
      </c>
      <c r="AT342" s="182"/>
      <c r="AU342" s="182"/>
      <c r="AV342" s="182"/>
      <c r="AW342" s="182"/>
      <c r="AX342" s="253"/>
      <c r="AY342" s="254"/>
      <c r="AZ342" s="255"/>
      <c r="BA342" s="253"/>
      <c r="BB342" s="254"/>
      <c r="BC342" s="255"/>
      <c r="BD342" s="253"/>
      <c r="BE342" s="254"/>
      <c r="BF342" s="255"/>
      <c r="BG342" s="105" t="s">
        <v>43</v>
      </c>
      <c r="BH342" s="106"/>
      <c r="BI342" s="115" t="str">
        <f>IF(ISBLANK($S$6),"",$S$6)</f>
        <v/>
      </c>
      <c r="BJ342" s="118"/>
      <c r="BK342" s="252"/>
      <c r="BL342" s="107" t="s">
        <v>42</v>
      </c>
      <c r="BM342" s="106"/>
      <c r="BN342" s="182" t="str">
        <f>IF(ISBLANK($C$6),"",$C$6)</f>
        <v/>
      </c>
      <c r="BO342" s="182"/>
      <c r="BP342" s="182"/>
      <c r="BQ342" s="182"/>
      <c r="BR342" s="182"/>
      <c r="BS342" s="141"/>
      <c r="BT342" s="142"/>
      <c r="BU342" s="143"/>
      <c r="BV342" s="141"/>
      <c r="BW342" s="142"/>
      <c r="BX342" s="143"/>
      <c r="BY342" s="141"/>
      <c r="BZ342" s="142"/>
      <c r="CA342" s="143"/>
      <c r="CB342" s="105" t="s">
        <v>43</v>
      </c>
      <c r="CC342" s="106"/>
      <c r="CD342" s="115" t="str">
        <f>IF(ISBLANK($S$6),"",$S$6)</f>
        <v/>
      </c>
      <c r="CE342" s="118"/>
      <c r="CF342" s="252"/>
    </row>
    <row r="343" spans="22:84" ht="14.4" customHeight="1" x14ac:dyDescent="0.3">
      <c r="V343" s="107" t="s">
        <v>16</v>
      </c>
      <c r="W343" s="106"/>
      <c r="X343" s="182" t="str">
        <f>IF(ISBLANK($C$7),"",$C$7)</f>
        <v/>
      </c>
      <c r="Y343" s="182"/>
      <c r="Z343" s="182"/>
      <c r="AA343" s="182"/>
      <c r="AB343" s="182"/>
      <c r="AC343" s="256"/>
      <c r="AD343" s="257"/>
      <c r="AE343" s="258"/>
      <c r="AF343" s="256"/>
      <c r="AG343" s="257"/>
      <c r="AH343" s="258"/>
      <c r="AI343" s="256"/>
      <c r="AJ343" s="257"/>
      <c r="AK343" s="258"/>
      <c r="AL343" s="105" t="s">
        <v>44</v>
      </c>
      <c r="AM343" s="106"/>
      <c r="AN343" s="313" t="str">
        <f>IF(AJ345&lt;&gt;"", AJ345+7, "")</f>
        <v/>
      </c>
      <c r="AO343" s="314"/>
      <c r="AP343" s="315"/>
      <c r="AQ343" s="107" t="s">
        <v>16</v>
      </c>
      <c r="AR343" s="106"/>
      <c r="AS343" s="182" t="str">
        <f>IF(ISBLANK($C$7),"",$C$7)</f>
        <v/>
      </c>
      <c r="AT343" s="182"/>
      <c r="AU343" s="182"/>
      <c r="AV343" s="182"/>
      <c r="AW343" s="182"/>
      <c r="AX343" s="256"/>
      <c r="AY343" s="257"/>
      <c r="AZ343" s="258"/>
      <c r="BA343" s="256"/>
      <c r="BB343" s="257"/>
      <c r="BC343" s="258"/>
      <c r="BD343" s="256"/>
      <c r="BE343" s="257"/>
      <c r="BF343" s="258"/>
      <c r="BG343" s="105" t="s">
        <v>44</v>
      </c>
      <c r="BH343" s="106"/>
      <c r="BI343" s="313" t="str">
        <f>IF(BE345&lt;&gt;"", BE345+7, "")</f>
        <v/>
      </c>
      <c r="BJ343" s="314"/>
      <c r="BK343" s="315"/>
      <c r="BL343" s="107" t="s">
        <v>16</v>
      </c>
      <c r="BM343" s="106"/>
      <c r="BN343" s="182" t="str">
        <f>IF(ISBLANK($C$7),"",$C$7)</f>
        <v/>
      </c>
      <c r="BO343" s="182"/>
      <c r="BP343" s="182"/>
      <c r="BQ343" s="182"/>
      <c r="BR343" s="182"/>
      <c r="BS343" s="144"/>
      <c r="BT343" s="145"/>
      <c r="BU343" s="146"/>
      <c r="BV343" s="144"/>
      <c r="BW343" s="145"/>
      <c r="BX343" s="146"/>
      <c r="BY343" s="144"/>
      <c r="BZ343" s="145"/>
      <c r="CA343" s="146"/>
      <c r="CB343" s="105" t="s">
        <v>44</v>
      </c>
      <c r="CC343" s="106"/>
      <c r="CD343" s="105" t="str">
        <f>IF(ISBLANK($S$7),"",$S$7)</f>
        <v/>
      </c>
      <c r="CE343" s="112"/>
      <c r="CF343" s="311"/>
    </row>
    <row r="344" spans="22:84" ht="14.4" customHeight="1" x14ac:dyDescent="0.3">
      <c r="V344" s="107" t="s">
        <v>17</v>
      </c>
      <c r="W344" s="106"/>
      <c r="X344" s="182" t="str">
        <f>IF(ISBLANK($C$8),"",$C$8)</f>
        <v/>
      </c>
      <c r="Y344" s="182"/>
      <c r="Z344" s="182"/>
      <c r="AA344" s="182"/>
      <c r="AB344" s="182"/>
      <c r="AC344" s="259"/>
      <c r="AD344" s="257"/>
      <c r="AE344" s="260"/>
      <c r="AF344" s="259"/>
      <c r="AG344" s="261"/>
      <c r="AH344" s="260"/>
      <c r="AI344" s="259"/>
      <c r="AJ344" s="261"/>
      <c r="AK344" s="260"/>
      <c r="AL344" s="105" t="s">
        <v>46</v>
      </c>
      <c r="AM344" s="106"/>
      <c r="AN344" s="78">
        <v>8</v>
      </c>
      <c r="AO344" s="78" t="s">
        <v>47</v>
      </c>
      <c r="AP344" s="82">
        <f>COUNTA(V15,V63,V111,V159,V207,V255,V303,V351,V399,V447)</f>
        <v>0</v>
      </c>
      <c r="AQ344" s="107" t="s">
        <v>17</v>
      </c>
      <c r="AR344" s="106"/>
      <c r="AS344" s="182" t="str">
        <f>IF(ISBLANK($C$8),"",$C$8)</f>
        <v/>
      </c>
      <c r="AT344" s="182"/>
      <c r="AU344" s="182"/>
      <c r="AV344" s="182"/>
      <c r="AW344" s="182"/>
      <c r="AX344" s="259"/>
      <c r="AY344" s="257"/>
      <c r="AZ344" s="260"/>
      <c r="BA344" s="259"/>
      <c r="BB344" s="261"/>
      <c r="BC344" s="260"/>
      <c r="BD344" s="259"/>
      <c r="BE344" s="261"/>
      <c r="BF344" s="260"/>
      <c r="BG344" s="105" t="s">
        <v>46</v>
      </c>
      <c r="BH344" s="106"/>
      <c r="BI344" s="78">
        <v>8</v>
      </c>
      <c r="BJ344" s="78" t="s">
        <v>47</v>
      </c>
      <c r="BK344" s="82">
        <f>IF(ISBLANK(AP8),"",AP8)</f>
        <v>0</v>
      </c>
      <c r="BL344" s="107" t="s">
        <v>17</v>
      </c>
      <c r="BM344" s="106"/>
      <c r="BN344" s="182" t="str">
        <f>IF(ISBLANK($C$8),"",$C$8)</f>
        <v/>
      </c>
      <c r="BO344" s="182"/>
      <c r="BP344" s="182"/>
      <c r="BQ344" s="182"/>
      <c r="BR344" s="182"/>
      <c r="BS344" s="147"/>
      <c r="BT344" s="148"/>
      <c r="BU344" s="149"/>
      <c r="BV344" s="147"/>
      <c r="BW344" s="148"/>
      <c r="BX344" s="149"/>
      <c r="BY344" s="147"/>
      <c r="BZ344" s="148"/>
      <c r="CA344" s="149"/>
      <c r="CB344" s="18" t="s">
        <v>46</v>
      </c>
      <c r="CC344" s="11"/>
      <c r="CD344" s="14">
        <v>8</v>
      </c>
      <c r="CE344" s="14" t="s">
        <v>47</v>
      </c>
      <c r="CF344" s="19">
        <f>COUNT(BN349,BN397,BN445,BN493,BN541,BN589,BN637,BN685,BN733,BN781)</f>
        <v>0</v>
      </c>
    </row>
    <row r="345" spans="22:84" ht="14.4" customHeight="1" x14ac:dyDescent="0.3">
      <c r="V345" s="107" t="s">
        <v>18</v>
      </c>
      <c r="W345" s="106"/>
      <c r="X345" s="108" t="e">
        <f>IF(ISBLANK($S$10),"",$S$10)</f>
        <v>#N/A</v>
      </c>
      <c r="Y345" s="109"/>
      <c r="Z345" s="110"/>
      <c r="AA345" s="20"/>
      <c r="AB345" s="74"/>
      <c r="AC345" s="103" t="s">
        <v>48</v>
      </c>
      <c r="AD345" s="244"/>
      <c r="AE345" s="236"/>
      <c r="AF345" s="103" t="s">
        <v>48</v>
      </c>
      <c r="AG345" s="236"/>
      <c r="AH345" s="236"/>
      <c r="AI345" s="103" t="s">
        <v>48</v>
      </c>
      <c r="AJ345" s="237"/>
      <c r="AK345" s="238"/>
      <c r="AL345" s="85"/>
      <c r="AM345" s="85"/>
      <c r="AN345" s="85"/>
      <c r="AO345" s="85"/>
      <c r="AP345" s="22"/>
      <c r="AQ345" s="107" t="s">
        <v>18</v>
      </c>
      <c r="AR345" s="106"/>
      <c r="AS345" s="108" t="e">
        <f>IF(ISBLANK($S$10),"",$S$10)</f>
        <v>#N/A</v>
      </c>
      <c r="AT345" s="109"/>
      <c r="AU345" s="110"/>
      <c r="AV345" s="20"/>
      <c r="AW345" s="4"/>
      <c r="AX345" s="104" t="s">
        <v>48</v>
      </c>
      <c r="AY345" s="244"/>
      <c r="AZ345" s="236"/>
      <c r="BA345" s="104" t="s">
        <v>48</v>
      </c>
      <c r="BB345" s="236"/>
      <c r="BC345" s="236"/>
      <c r="BD345" s="104" t="s">
        <v>48</v>
      </c>
      <c r="BE345" s="237"/>
      <c r="BF345" s="238"/>
      <c r="BJ345" s="20"/>
      <c r="BK345" s="23"/>
      <c r="BL345" s="107" t="s">
        <v>18</v>
      </c>
      <c r="BM345" s="106"/>
      <c r="BN345" s="108" t="e">
        <f>IF(ISBLANK($S$10),"",$S$10)</f>
        <v>#N/A</v>
      </c>
      <c r="BO345" s="109"/>
      <c r="BP345" s="110"/>
      <c r="BQ345" s="20"/>
      <c r="BR345" s="4"/>
      <c r="BS345" s="78" t="s">
        <v>48</v>
      </c>
      <c r="BT345" s="197" t="str">
        <f>IF(ISBLANK($I$9),"",$I$9)</f>
        <v/>
      </c>
      <c r="BU345" s="198"/>
      <c r="BV345" s="78" t="s">
        <v>48</v>
      </c>
      <c r="BW345" s="197" t="str">
        <f>IF(ISBLANK($L$9),"",$L$9)</f>
        <v/>
      </c>
      <c r="BX345" s="198"/>
      <c r="BY345" s="78" t="s">
        <v>48</v>
      </c>
      <c r="BZ345" s="197" t="str">
        <f>IF(ISBLANK($O$9),"",$O$9)</f>
        <v/>
      </c>
      <c r="CA345" s="198"/>
      <c r="CB345" s="24"/>
      <c r="CC345" s="24"/>
      <c r="CD345" s="24"/>
      <c r="CE345" s="20"/>
      <c r="CF345" s="23"/>
    </row>
    <row r="346" spans="22:84" ht="14.4" customHeight="1" x14ac:dyDescent="0.3">
      <c r="V346" s="107" t="s">
        <v>19</v>
      </c>
      <c r="W346" s="106"/>
      <c r="X346" s="14" t="str">
        <f>IF(ISBLANK($S$11),"",$S$11)</f>
        <v/>
      </c>
      <c r="Y346" s="14" t="s">
        <v>47</v>
      </c>
      <c r="Z346" s="14">
        <f>IF(ISBLANK($U$11),"",$U$11)</f>
        <v>0</v>
      </c>
      <c r="AB346" s="269" t="s">
        <v>58</v>
      </c>
      <c r="AC346" s="87" t="s">
        <v>59</v>
      </c>
      <c r="AD346" s="270"/>
      <c r="AE346" s="271"/>
      <c r="AF346" s="84" t="s">
        <v>60</v>
      </c>
      <c r="AG346" s="88"/>
      <c r="AH346" s="85"/>
      <c r="AI346" s="335" t="s">
        <v>61</v>
      </c>
      <c r="AJ346" s="78" t="s">
        <v>62</v>
      </c>
      <c r="AK346" s="81"/>
      <c r="AL346" s="85"/>
      <c r="AM346" s="85"/>
      <c r="AN346" s="85"/>
      <c r="AO346" s="85"/>
      <c r="AP346" s="22"/>
      <c r="AQ346" s="107" t="s">
        <v>19</v>
      </c>
      <c r="AR346" s="106"/>
      <c r="AS346" s="14" t="str">
        <f>IF(ISBLANK($S$11),"",$S$11)</f>
        <v/>
      </c>
      <c r="AT346" s="14" t="s">
        <v>47</v>
      </c>
      <c r="AU346" s="14">
        <f>IF(ISBLANK($U$11),"",$U$11)</f>
        <v>0</v>
      </c>
      <c r="AW346" s="20"/>
      <c r="AX346" s="30"/>
      <c r="AY346" s="30"/>
      <c r="BC346" s="30"/>
      <c r="BD346" s="335" t="s">
        <v>61</v>
      </c>
      <c r="BE346" s="29" t="s">
        <v>62</v>
      </c>
      <c r="BF346" s="29" t="str">
        <f>IF(ISBLANK($BF$10),"",$BF$10)</f>
        <v/>
      </c>
      <c r="BG346" s="266" t="s">
        <v>63</v>
      </c>
      <c r="BH346" s="266"/>
      <c r="BI346" s="14" t="str">
        <f>IF(ISBLANK($BI$10),"",BI298)</f>
        <v/>
      </c>
      <c r="BJ346" s="20"/>
      <c r="BK346" s="23"/>
      <c r="BL346" s="111" t="s">
        <v>19</v>
      </c>
      <c r="BM346" s="110"/>
      <c r="BN346" s="14" t="str">
        <f>IF(ISBLANK($S$11),"",$S$11)</f>
        <v/>
      </c>
      <c r="BO346" s="14" t="s">
        <v>47</v>
      </c>
      <c r="BP346" s="14">
        <f>IF(ISBLANK($U$11),"",$U$11)</f>
        <v>0</v>
      </c>
      <c r="BR346" s="20"/>
      <c r="BS346" s="30"/>
      <c r="BT346" s="30"/>
      <c r="BU346" s="30"/>
      <c r="BV346" s="30"/>
      <c r="BW346" s="30"/>
      <c r="BX346" s="30"/>
      <c r="BY346" s="30"/>
      <c r="BZ346" s="30"/>
      <c r="CA346" s="30"/>
      <c r="CB346" s="30"/>
      <c r="CC346" s="30"/>
      <c r="CD346" s="30"/>
      <c r="CE346" s="20"/>
      <c r="CF346" s="23"/>
    </row>
    <row r="347" spans="22:84" ht="14.4" customHeight="1" x14ac:dyDescent="0.3">
      <c r="V347" s="33"/>
      <c r="AB347" s="269"/>
      <c r="AC347" s="87" t="s">
        <v>80</v>
      </c>
      <c r="AD347" s="245"/>
      <c r="AE347" s="246"/>
      <c r="AF347" s="90" t="s">
        <v>81</v>
      </c>
      <c r="AG347" s="88"/>
      <c r="AH347" s="85"/>
      <c r="AI347" s="335"/>
      <c r="AJ347" s="78" t="s">
        <v>82</v>
      </c>
      <c r="AK347" s="88"/>
      <c r="AL347" s="267" t="s">
        <v>83</v>
      </c>
      <c r="AM347" s="268"/>
      <c r="AN347" s="81"/>
      <c r="AO347" s="85"/>
      <c r="AP347" s="22"/>
      <c r="AQ347" s="34"/>
      <c r="AR347" s="20"/>
      <c r="AS347" s="20"/>
      <c r="AT347" s="20"/>
      <c r="AU347" s="20"/>
      <c r="AV347" s="20"/>
      <c r="AW347" s="20"/>
      <c r="AX347" s="20"/>
      <c r="AY347" s="20"/>
      <c r="BC347" s="20"/>
      <c r="BD347" s="335"/>
      <c r="BE347" s="29" t="s">
        <v>82</v>
      </c>
      <c r="BF347" s="29" t="str">
        <f>IF(ISBLANK($BF$11),"",$BF$11)</f>
        <v/>
      </c>
      <c r="BG347" s="20"/>
      <c r="BH347" s="20"/>
      <c r="BI347" s="20"/>
      <c r="BJ347" s="20"/>
      <c r="BK347" s="23"/>
      <c r="BL347" s="33"/>
      <c r="CF347" s="22"/>
    </row>
    <row r="348" spans="22:84" ht="14.4" customHeight="1" x14ac:dyDescent="0.3">
      <c r="V348" s="33"/>
      <c r="AP348" s="22"/>
      <c r="AQ348" s="356" t="s">
        <v>49</v>
      </c>
      <c r="AR348" s="342" t="s">
        <v>85</v>
      </c>
      <c r="AS348" s="342"/>
      <c r="AT348" s="14" t="s">
        <v>51</v>
      </c>
      <c r="AU348" s="14" t="s">
        <v>86</v>
      </c>
      <c r="AV348" s="10"/>
      <c r="AW348" s="14" t="s">
        <v>87</v>
      </c>
      <c r="AX348" s="272" t="s">
        <v>54</v>
      </c>
      <c r="AY348" s="272"/>
      <c r="AZ348" s="20"/>
      <c r="BA348" s="20"/>
      <c r="BB348" s="20"/>
      <c r="BC348" s="20"/>
      <c r="BD348" s="20"/>
      <c r="BE348" s="20"/>
      <c r="BF348" s="20"/>
      <c r="BG348" s="20"/>
      <c r="BH348" s="20"/>
      <c r="BI348" s="20"/>
      <c r="BJ348" s="20"/>
      <c r="BK348" s="23"/>
      <c r="BL348" s="128" t="s">
        <v>88</v>
      </c>
      <c r="BM348" s="129"/>
      <c r="BN348" s="130"/>
      <c r="BO348" s="131" t="s">
        <v>89</v>
      </c>
      <c r="BP348" s="132"/>
      <c r="BQ348" s="133"/>
      <c r="BR348" s="131" t="s">
        <v>90</v>
      </c>
      <c r="BS348" s="132"/>
      <c r="BT348" s="132"/>
      <c r="BU348" s="132"/>
      <c r="BV348" s="132"/>
      <c r="BW348" s="132"/>
      <c r="BX348" s="133"/>
      <c r="BY348" s="131" t="s">
        <v>91</v>
      </c>
      <c r="BZ348" s="132"/>
      <c r="CA348" s="132"/>
      <c r="CB348" s="133"/>
      <c r="CC348" s="131" t="s">
        <v>92</v>
      </c>
      <c r="CD348" s="132"/>
      <c r="CE348" s="132"/>
      <c r="CF348" s="156"/>
    </row>
    <row r="349" spans="22:84" ht="14.4" customHeight="1" x14ac:dyDescent="0.3">
      <c r="V349" s="262" t="s">
        <v>49</v>
      </c>
      <c r="W349" s="264" t="s">
        <v>94</v>
      </c>
      <c r="X349" s="264"/>
      <c r="Y349" s="31" t="s">
        <v>51</v>
      </c>
      <c r="Z349" s="14" t="s">
        <v>52</v>
      </c>
      <c r="AA349" s="14" t="s">
        <v>53</v>
      </c>
      <c r="AB349" s="108" t="s">
        <v>54</v>
      </c>
      <c r="AC349" s="110"/>
      <c r="AD349" s="363" t="s">
        <v>145</v>
      </c>
      <c r="AE349" s="364"/>
      <c r="AF349" s="108" t="s">
        <v>56</v>
      </c>
      <c r="AG349" s="109"/>
      <c r="AH349" s="109"/>
      <c r="AI349" s="109"/>
      <c r="AJ349" s="110"/>
      <c r="AK349" s="108" t="s">
        <v>57</v>
      </c>
      <c r="AL349" s="109"/>
      <c r="AM349" s="109"/>
      <c r="AN349" s="109"/>
      <c r="AO349" s="110"/>
      <c r="AP349" s="22"/>
      <c r="AQ349" s="357"/>
      <c r="AR349" s="342"/>
      <c r="AS349" s="342"/>
      <c r="AT349" s="14" t="s">
        <v>64</v>
      </c>
      <c r="AU349" s="14" t="s">
        <v>65</v>
      </c>
      <c r="AV349" s="14" t="s">
        <v>95</v>
      </c>
      <c r="AW349" s="14" t="s">
        <v>66</v>
      </c>
      <c r="AX349" s="14" t="s">
        <v>67</v>
      </c>
      <c r="AY349" s="14" t="s">
        <v>68</v>
      </c>
      <c r="AZ349" s="239" t="s">
        <v>69</v>
      </c>
      <c r="BA349" s="239"/>
      <c r="BB349" s="239"/>
      <c r="BC349" s="239" t="s">
        <v>70</v>
      </c>
      <c r="BD349" s="239"/>
      <c r="BE349" s="239"/>
      <c r="BF349" s="239" t="s">
        <v>71</v>
      </c>
      <c r="BG349" s="239"/>
      <c r="BH349" s="239"/>
      <c r="BI349" s="239" t="s">
        <v>72</v>
      </c>
      <c r="BJ349" s="239"/>
      <c r="BK349" s="240"/>
      <c r="BL349" s="158" t="s">
        <v>96</v>
      </c>
      <c r="BM349" s="159"/>
      <c r="BN349" s="35"/>
      <c r="BO349" s="134"/>
      <c r="BP349" s="135"/>
      <c r="BQ349" s="136"/>
      <c r="BR349" s="134"/>
      <c r="BS349" s="135"/>
      <c r="BT349" s="135"/>
      <c r="BU349" s="135"/>
      <c r="BV349" s="135"/>
      <c r="BW349" s="135"/>
      <c r="BX349" s="136"/>
      <c r="BY349" s="134"/>
      <c r="BZ349" s="135"/>
      <c r="CA349" s="135"/>
      <c r="CB349" s="136"/>
      <c r="CC349" s="134"/>
      <c r="CD349" s="135"/>
      <c r="CE349" s="135"/>
      <c r="CF349" s="157"/>
    </row>
    <row r="350" spans="22:84" ht="14.4" customHeight="1" x14ac:dyDescent="0.3">
      <c r="V350" s="263"/>
      <c r="W350" s="264"/>
      <c r="X350" s="264"/>
      <c r="Y350" s="31" t="s">
        <v>64</v>
      </c>
      <c r="Z350" s="14" t="s">
        <v>65</v>
      </c>
      <c r="AA350" s="14" t="s">
        <v>66</v>
      </c>
      <c r="AB350" s="14" t="s">
        <v>67</v>
      </c>
      <c r="AC350" s="14" t="s">
        <v>68</v>
      </c>
      <c r="AD350" s="365"/>
      <c r="AE350" s="366"/>
      <c r="AF350" s="14">
        <v>1</v>
      </c>
      <c r="AG350" s="14">
        <v>2</v>
      </c>
      <c r="AH350" s="14">
        <v>3</v>
      </c>
      <c r="AI350" s="14">
        <v>4</v>
      </c>
      <c r="AJ350" s="14">
        <v>5</v>
      </c>
      <c r="AK350" s="14">
        <v>1</v>
      </c>
      <c r="AL350" s="14">
        <v>2</v>
      </c>
      <c r="AM350" s="14">
        <v>3</v>
      </c>
      <c r="AN350" s="14">
        <v>4</v>
      </c>
      <c r="AO350" s="14">
        <v>5</v>
      </c>
      <c r="AP350" s="22"/>
      <c r="AQ350" s="36" t="str">
        <f>IF(ISBLANK(V351),"",V351)</f>
        <v/>
      </c>
      <c r="AR350" s="287" t="str">
        <f>IF(OR(AW350="QC",ISTEXT(Y351)), W351, "")</f>
        <v/>
      </c>
      <c r="AS350" s="288"/>
      <c r="AT350" s="37" t="str">
        <f>IF(OR(AW350="QC",ISTEXT(Y351)), Y351, "")</f>
        <v/>
      </c>
      <c r="AU350" s="37" t="str">
        <f>IF(OR(AW350="QC",ISTEXT(Y351)), Z351, "")</f>
        <v/>
      </c>
      <c r="AV350" s="37" t="str">
        <f>IF(ISBLANK(Z365),"",Z365)</f>
        <v/>
      </c>
      <c r="AW350" s="38" t="str">
        <f>IF(ISBLANK(AA351),"",AA351)</f>
        <v/>
      </c>
      <c r="AX350" s="38" t="str">
        <f>IF(OR(AW350="QC",ISTEXT(Y351)), AB351, "")</f>
        <v/>
      </c>
      <c r="AY350" s="38" t="str">
        <f>IF(OR(AW350="QC",ISTEXT(Y351)), AC351, "")</f>
        <v/>
      </c>
      <c r="AZ350" s="39"/>
      <c r="BA350" s="39"/>
      <c r="BB350" s="39"/>
      <c r="BC350" s="39"/>
      <c r="BD350" s="39"/>
      <c r="BE350" s="39"/>
      <c r="BF350" s="39"/>
      <c r="BG350" s="39"/>
      <c r="BH350" s="39"/>
      <c r="BI350" s="39"/>
      <c r="BJ350" s="39"/>
      <c r="BK350" s="40"/>
      <c r="BL350" s="158" t="s">
        <v>97</v>
      </c>
      <c r="BM350" s="159"/>
      <c r="BN350" s="41" t="s">
        <v>98</v>
      </c>
      <c r="BO350" s="204" t="s">
        <v>99</v>
      </c>
      <c r="BP350" s="205"/>
      <c r="BQ350" s="206"/>
      <c r="BR350" s="207" t="s">
        <v>100</v>
      </c>
      <c r="BS350" s="208"/>
      <c r="BT350" s="208"/>
      <c r="BU350" s="209"/>
      <c r="BV350" s="217"/>
      <c r="BW350" s="218"/>
      <c r="BX350" s="219"/>
      <c r="BY350" s="119"/>
      <c r="BZ350" s="120"/>
      <c r="CA350" s="120"/>
      <c r="CB350" s="121"/>
      <c r="CC350" s="119"/>
      <c r="CD350" s="120"/>
      <c r="CE350" s="120"/>
      <c r="CF350" s="214"/>
    </row>
    <row r="351" spans="22:84" ht="14.4" customHeight="1" x14ac:dyDescent="0.3">
      <c r="V351" s="36"/>
      <c r="W351" s="249"/>
      <c r="X351" s="250"/>
      <c r="Y351" s="37"/>
      <c r="Z351" s="38"/>
      <c r="AA351" s="38"/>
      <c r="AB351" s="38" t="str">
        <f t="shared" ref="AB351:AB362" si="315">IF(ISNUMBER(Y351),(Y351+Z351)/2-3*(Z351 - (Y351+Z351)/2) / (3 * AA365),"")</f>
        <v/>
      </c>
      <c r="AC351" s="38" t="str">
        <f t="shared" ref="AC351:AC362" si="316">IF(ISNUMBER(Z351),(Y351+Z351)/2+3*(Z351 - (Y351+Z351)/2) / (3 * AA365),"")</f>
        <v/>
      </c>
      <c r="AD351" s="247"/>
      <c r="AE351" s="248"/>
      <c r="AF351" s="39"/>
      <c r="AG351" s="39"/>
      <c r="AH351" s="39"/>
      <c r="AI351" s="39"/>
      <c r="AJ351" s="39"/>
      <c r="AK351" s="39"/>
      <c r="AL351" s="39"/>
      <c r="AM351" s="39"/>
      <c r="AN351" s="39"/>
      <c r="AO351" s="39"/>
      <c r="AP351" s="22"/>
      <c r="AQ351" s="36" t="str">
        <f t="shared" ref="AQ351:AQ361" si="317">IF(ISBLANK(V352),"",V352)</f>
        <v/>
      </c>
      <c r="AR351" s="287" t="str">
        <f t="shared" ref="AR351:AR361" si="318">IF(OR(AW351="QC",ISTEXT(Y352)), W352, "")</f>
        <v/>
      </c>
      <c r="AS351" s="288"/>
      <c r="AT351" s="37" t="str">
        <f t="shared" ref="AT351:AT361" si="319">IF(OR(AW351="QC",ISTEXT(Y352)), Y352, "")</f>
        <v/>
      </c>
      <c r="AU351" s="37" t="str">
        <f t="shared" ref="AU351:AU361" si="320">IF(OR(AW351="QC",ISTEXT(Y352)), Z352, "")</f>
        <v/>
      </c>
      <c r="AV351" s="37" t="str">
        <f t="shared" ref="AV351:AV361" si="321">IF(ISBLANK(Z366),"",Z366)</f>
        <v/>
      </c>
      <c r="AW351" s="38" t="str">
        <f t="shared" ref="AW351:AW361" si="322">IF(ISBLANK(AA352),"",AA352)</f>
        <v/>
      </c>
      <c r="AX351" s="38" t="str">
        <f t="shared" ref="AX351:AX361" si="323">IF(OR(AW351="QC",ISTEXT(Y352)), AB352, "")</f>
        <v/>
      </c>
      <c r="AY351" s="38" t="str">
        <f t="shared" ref="AY351:AY361" si="324">IF(OR(AW351="QC",ISTEXT(Y352)), AC352, "")</f>
        <v/>
      </c>
      <c r="AZ351" s="39"/>
      <c r="BA351" s="39"/>
      <c r="BB351" s="39"/>
      <c r="BC351" s="39"/>
      <c r="BD351" s="39"/>
      <c r="BE351" s="39"/>
      <c r="BF351" s="39"/>
      <c r="BG351" s="39"/>
      <c r="BH351" s="39"/>
      <c r="BI351" s="39"/>
      <c r="BJ351" s="39"/>
      <c r="BK351" s="40"/>
      <c r="BL351" s="158" t="s">
        <v>102</v>
      </c>
      <c r="BM351" s="159"/>
      <c r="BN351" s="42" t="s">
        <v>103</v>
      </c>
      <c r="BO351" s="119"/>
      <c r="BP351" s="120"/>
      <c r="BQ351" s="121"/>
      <c r="BR351" s="137" t="s">
        <v>104</v>
      </c>
      <c r="BS351" s="138"/>
      <c r="BT351" s="164"/>
      <c r="BU351" s="165"/>
      <c r="BV351" s="165"/>
      <c r="BW351" s="165"/>
      <c r="BX351" s="166"/>
      <c r="BY351" s="122"/>
      <c r="BZ351" s="123"/>
      <c r="CA351" s="123"/>
      <c r="CB351" s="124"/>
      <c r="CC351" s="122"/>
      <c r="CD351" s="123"/>
      <c r="CE351" s="123"/>
      <c r="CF351" s="215"/>
    </row>
    <row r="352" spans="22:84" ht="14.4" customHeight="1" x14ac:dyDescent="0.3">
      <c r="V352" s="36"/>
      <c r="W352" s="249"/>
      <c r="X352" s="250"/>
      <c r="Y352" s="37"/>
      <c r="Z352" s="38"/>
      <c r="AA352" s="38"/>
      <c r="AB352" s="38" t="str">
        <f t="shared" si="315"/>
        <v/>
      </c>
      <c r="AC352" s="38" t="str">
        <f t="shared" si="316"/>
        <v/>
      </c>
      <c r="AD352" s="247"/>
      <c r="AE352" s="248"/>
      <c r="AF352" s="39"/>
      <c r="AG352" s="39"/>
      <c r="AH352" s="39"/>
      <c r="AI352" s="39"/>
      <c r="AJ352" s="39"/>
      <c r="AK352" s="39"/>
      <c r="AL352" s="39"/>
      <c r="AM352" s="39"/>
      <c r="AN352" s="39"/>
      <c r="AO352" s="39"/>
      <c r="AP352" s="22"/>
      <c r="AQ352" s="36" t="str">
        <f t="shared" si="317"/>
        <v/>
      </c>
      <c r="AR352" s="287" t="str">
        <f t="shared" si="318"/>
        <v/>
      </c>
      <c r="AS352" s="288"/>
      <c r="AT352" s="37" t="str">
        <f t="shared" si="319"/>
        <v/>
      </c>
      <c r="AU352" s="37" t="str">
        <f t="shared" si="320"/>
        <v/>
      </c>
      <c r="AV352" s="37" t="str">
        <f t="shared" si="321"/>
        <v/>
      </c>
      <c r="AW352" s="38" t="str">
        <f t="shared" si="322"/>
        <v/>
      </c>
      <c r="AX352" s="38" t="str">
        <f t="shared" si="323"/>
        <v/>
      </c>
      <c r="AY352" s="38" t="str">
        <f t="shared" si="324"/>
        <v/>
      </c>
      <c r="AZ352" s="39"/>
      <c r="BA352" s="39"/>
      <c r="BB352" s="39"/>
      <c r="BC352" s="39"/>
      <c r="BD352" s="39"/>
      <c r="BE352" s="39"/>
      <c r="BF352" s="39"/>
      <c r="BG352" s="39"/>
      <c r="BH352" s="39"/>
      <c r="BI352" s="39"/>
      <c r="BJ352" s="39"/>
      <c r="BK352" s="40"/>
      <c r="BL352" s="210" t="s">
        <v>105</v>
      </c>
      <c r="BM352" s="211"/>
      <c r="BN352" s="28" t="s">
        <v>101</v>
      </c>
      <c r="BO352" s="125"/>
      <c r="BP352" s="126"/>
      <c r="BQ352" s="127"/>
      <c r="BR352" s="139"/>
      <c r="BS352" s="140"/>
      <c r="BT352" s="167"/>
      <c r="BU352" s="168"/>
      <c r="BV352" s="168"/>
      <c r="BW352" s="168"/>
      <c r="BX352" s="169"/>
      <c r="BY352" s="122"/>
      <c r="BZ352" s="123"/>
      <c r="CA352" s="123"/>
      <c r="CB352" s="124"/>
      <c r="CC352" s="122"/>
      <c r="CD352" s="123"/>
      <c r="CE352" s="123"/>
      <c r="CF352" s="215"/>
    </row>
    <row r="353" spans="22:84" ht="14.4" customHeight="1" x14ac:dyDescent="0.3">
      <c r="V353" s="36"/>
      <c r="W353" s="249"/>
      <c r="X353" s="250"/>
      <c r="Y353" s="37"/>
      <c r="Z353" s="38"/>
      <c r="AA353" s="38"/>
      <c r="AB353" s="38" t="str">
        <f t="shared" si="315"/>
        <v/>
      </c>
      <c r="AC353" s="38" t="str">
        <f t="shared" si="316"/>
        <v/>
      </c>
      <c r="AD353" s="247"/>
      <c r="AE353" s="248"/>
      <c r="AF353" s="39"/>
      <c r="AG353" s="39"/>
      <c r="AH353" s="39"/>
      <c r="AI353" s="39"/>
      <c r="AJ353" s="39"/>
      <c r="AK353" s="39"/>
      <c r="AL353" s="39"/>
      <c r="AM353" s="39"/>
      <c r="AN353" s="39"/>
      <c r="AO353" s="39"/>
      <c r="AP353" s="22"/>
      <c r="AQ353" s="36" t="str">
        <f t="shared" si="317"/>
        <v/>
      </c>
      <c r="AR353" s="287" t="str">
        <f t="shared" si="318"/>
        <v/>
      </c>
      <c r="AS353" s="288"/>
      <c r="AT353" s="37" t="str">
        <f t="shared" si="319"/>
        <v/>
      </c>
      <c r="AU353" s="37" t="str">
        <f t="shared" si="320"/>
        <v/>
      </c>
      <c r="AV353" s="37" t="str">
        <f t="shared" si="321"/>
        <v/>
      </c>
      <c r="AW353" s="38" t="str">
        <f t="shared" si="322"/>
        <v/>
      </c>
      <c r="AX353" s="38" t="str">
        <f t="shared" si="323"/>
        <v/>
      </c>
      <c r="AY353" s="38" t="str">
        <f t="shared" si="324"/>
        <v/>
      </c>
      <c r="AZ353" s="39"/>
      <c r="BA353" s="39"/>
      <c r="BB353" s="39"/>
      <c r="BC353" s="39"/>
      <c r="BD353" s="39"/>
      <c r="BE353" s="39"/>
      <c r="BF353" s="39"/>
      <c r="BG353" s="39"/>
      <c r="BH353" s="39"/>
      <c r="BI353" s="39"/>
      <c r="BJ353" s="39"/>
      <c r="BK353" s="40"/>
      <c r="BL353" s="212" t="s">
        <v>106</v>
      </c>
      <c r="BM353" s="205"/>
      <c r="BN353" s="206"/>
      <c r="BO353" s="213" t="s">
        <v>107</v>
      </c>
      <c r="BP353" s="159"/>
      <c r="BQ353" s="43"/>
      <c r="BR353" s="220" t="s">
        <v>108</v>
      </c>
      <c r="BS353" s="44" t="s">
        <v>109</v>
      </c>
      <c r="BT353" s="45"/>
      <c r="BU353" s="220" t="s">
        <v>110</v>
      </c>
      <c r="BV353" s="119"/>
      <c r="BW353" s="120"/>
      <c r="BX353" s="121"/>
      <c r="BY353" s="122"/>
      <c r="BZ353" s="123"/>
      <c r="CA353" s="123"/>
      <c r="CB353" s="124"/>
      <c r="CC353" s="122"/>
      <c r="CD353" s="123"/>
      <c r="CE353" s="123"/>
      <c r="CF353" s="215"/>
    </row>
    <row r="354" spans="22:84" ht="14.4" customHeight="1" x14ac:dyDescent="0.3">
      <c r="V354" s="36"/>
      <c r="W354" s="249"/>
      <c r="X354" s="250"/>
      <c r="Y354" s="37"/>
      <c r="Z354" s="38"/>
      <c r="AA354" s="38"/>
      <c r="AB354" s="38" t="str">
        <f t="shared" si="315"/>
        <v/>
      </c>
      <c r="AC354" s="38" t="str">
        <f t="shared" si="316"/>
        <v/>
      </c>
      <c r="AD354" s="247"/>
      <c r="AE354" s="248"/>
      <c r="AF354" s="39"/>
      <c r="AG354" s="39"/>
      <c r="AH354" s="39"/>
      <c r="AI354" s="39"/>
      <c r="AJ354" s="39"/>
      <c r="AK354" s="39"/>
      <c r="AL354" s="39"/>
      <c r="AM354" s="39"/>
      <c r="AN354" s="39"/>
      <c r="AO354" s="39"/>
      <c r="AP354" s="22"/>
      <c r="AQ354" s="36" t="str">
        <f t="shared" si="317"/>
        <v/>
      </c>
      <c r="AR354" s="287" t="str">
        <f t="shared" si="318"/>
        <v/>
      </c>
      <c r="AS354" s="288"/>
      <c r="AT354" s="37" t="str">
        <f t="shared" si="319"/>
        <v/>
      </c>
      <c r="AU354" s="37" t="str">
        <f t="shared" si="320"/>
        <v/>
      </c>
      <c r="AV354" s="37" t="str">
        <f t="shared" si="321"/>
        <v/>
      </c>
      <c r="AW354" s="38" t="str">
        <f t="shared" si="322"/>
        <v/>
      </c>
      <c r="AX354" s="38" t="str">
        <f t="shared" si="323"/>
        <v/>
      </c>
      <c r="AY354" s="38" t="str">
        <f t="shared" si="324"/>
        <v/>
      </c>
      <c r="AZ354" s="39"/>
      <c r="BA354" s="39"/>
      <c r="BB354" s="39"/>
      <c r="BC354" s="39"/>
      <c r="BD354" s="39"/>
      <c r="BE354" s="39"/>
      <c r="BF354" s="39"/>
      <c r="BG354" s="39"/>
      <c r="BH354" s="39"/>
      <c r="BI354" s="39"/>
      <c r="BJ354" s="39"/>
      <c r="BK354" s="40"/>
      <c r="BL354" s="199" t="s">
        <v>111</v>
      </c>
      <c r="BM354" s="154"/>
      <c r="BN354" s="200"/>
      <c r="BO354" s="201"/>
      <c r="BP354" s="202"/>
      <c r="BQ354" s="203"/>
      <c r="BR354" s="221"/>
      <c r="BS354" s="44" t="s">
        <v>112</v>
      </c>
      <c r="BT354" s="45"/>
      <c r="BU354" s="221"/>
      <c r="BV354" s="125"/>
      <c r="BW354" s="126"/>
      <c r="BX354" s="127"/>
      <c r="BY354" s="122"/>
      <c r="BZ354" s="123"/>
      <c r="CA354" s="123"/>
      <c r="CB354" s="124"/>
      <c r="CC354" s="122"/>
      <c r="CD354" s="123"/>
      <c r="CE354" s="123"/>
      <c r="CF354" s="215"/>
    </row>
    <row r="355" spans="22:84" ht="14.4" customHeight="1" x14ac:dyDescent="0.3">
      <c r="V355" s="36"/>
      <c r="W355" s="249"/>
      <c r="X355" s="250"/>
      <c r="Y355" s="37"/>
      <c r="Z355" s="38"/>
      <c r="AA355" s="38"/>
      <c r="AB355" s="38" t="str">
        <f t="shared" si="315"/>
        <v/>
      </c>
      <c r="AC355" s="38" t="str">
        <f t="shared" si="316"/>
        <v/>
      </c>
      <c r="AD355" s="247"/>
      <c r="AE355" s="248"/>
      <c r="AF355" s="39"/>
      <c r="AG355" s="39"/>
      <c r="AH355" s="39"/>
      <c r="AI355" s="39"/>
      <c r="AJ355" s="39"/>
      <c r="AK355" s="39"/>
      <c r="AL355" s="39"/>
      <c r="AM355" s="39"/>
      <c r="AN355" s="39"/>
      <c r="AO355" s="39"/>
      <c r="AP355" s="22"/>
      <c r="AQ355" s="36" t="str">
        <f t="shared" si="317"/>
        <v/>
      </c>
      <c r="AR355" s="287" t="str">
        <f t="shared" si="318"/>
        <v/>
      </c>
      <c r="AS355" s="288"/>
      <c r="AT355" s="37" t="str">
        <f t="shared" si="319"/>
        <v/>
      </c>
      <c r="AU355" s="37" t="str">
        <f t="shared" si="320"/>
        <v/>
      </c>
      <c r="AV355" s="37" t="str">
        <f t="shared" si="321"/>
        <v/>
      </c>
      <c r="AW355" s="38" t="str">
        <f t="shared" si="322"/>
        <v/>
      </c>
      <c r="AX355" s="38" t="str">
        <f t="shared" si="323"/>
        <v/>
      </c>
      <c r="AY355" s="38" t="str">
        <f t="shared" si="324"/>
        <v/>
      </c>
      <c r="AZ355" s="39"/>
      <c r="BA355" s="39"/>
      <c r="BB355" s="39"/>
      <c r="BC355" s="39"/>
      <c r="BD355" s="39"/>
      <c r="BE355" s="39"/>
      <c r="BF355" s="39"/>
      <c r="BG355" s="39"/>
      <c r="BH355" s="39"/>
      <c r="BI355" s="39"/>
      <c r="BJ355" s="39"/>
      <c r="BK355" s="40"/>
      <c r="BL355" s="170"/>
      <c r="BM355" s="171"/>
      <c r="BN355" s="172"/>
      <c r="BO355" s="179"/>
      <c r="BP355" s="171"/>
      <c r="BQ355" s="172"/>
      <c r="BR355" s="179"/>
      <c r="BS355" s="171"/>
      <c r="BT355" s="171"/>
      <c r="BU355" s="171"/>
      <c r="BV355" s="171"/>
      <c r="BW355" s="171"/>
      <c r="BX355" s="172"/>
      <c r="BY355" s="122"/>
      <c r="BZ355" s="123"/>
      <c r="CA355" s="123"/>
      <c r="CB355" s="124"/>
      <c r="CC355" s="122"/>
      <c r="CD355" s="123"/>
      <c r="CE355" s="123"/>
      <c r="CF355" s="215"/>
    </row>
    <row r="356" spans="22:84" ht="14.4" customHeight="1" x14ac:dyDescent="0.3">
      <c r="V356" s="36"/>
      <c r="W356" s="249"/>
      <c r="X356" s="250"/>
      <c r="Y356" s="37"/>
      <c r="Z356" s="38"/>
      <c r="AA356" s="38"/>
      <c r="AB356" s="38" t="str">
        <f t="shared" si="315"/>
        <v/>
      </c>
      <c r="AC356" s="38" t="str">
        <f t="shared" si="316"/>
        <v/>
      </c>
      <c r="AD356" s="247"/>
      <c r="AE356" s="248"/>
      <c r="AF356" s="39"/>
      <c r="AG356" s="39"/>
      <c r="AH356" s="39"/>
      <c r="AI356" s="39"/>
      <c r="AJ356" s="39"/>
      <c r="AK356" s="39"/>
      <c r="AL356" s="39"/>
      <c r="AM356" s="39"/>
      <c r="AN356" s="39"/>
      <c r="AO356" s="39"/>
      <c r="AP356" s="22"/>
      <c r="AQ356" s="36" t="str">
        <f t="shared" si="317"/>
        <v/>
      </c>
      <c r="AR356" s="287" t="str">
        <f t="shared" si="318"/>
        <v/>
      </c>
      <c r="AS356" s="288"/>
      <c r="AT356" s="37" t="str">
        <f t="shared" si="319"/>
        <v/>
      </c>
      <c r="AU356" s="37" t="str">
        <f t="shared" si="320"/>
        <v/>
      </c>
      <c r="AV356" s="37" t="str">
        <f t="shared" si="321"/>
        <v/>
      </c>
      <c r="AW356" s="38" t="str">
        <f t="shared" si="322"/>
        <v/>
      </c>
      <c r="AX356" s="38" t="str">
        <f t="shared" si="323"/>
        <v/>
      </c>
      <c r="AY356" s="38" t="str">
        <f t="shared" si="324"/>
        <v/>
      </c>
      <c r="AZ356" s="39"/>
      <c r="BA356" s="39"/>
      <c r="BB356" s="39"/>
      <c r="BC356" s="39"/>
      <c r="BD356" s="39"/>
      <c r="BE356" s="39"/>
      <c r="BF356" s="39"/>
      <c r="BG356" s="39"/>
      <c r="BH356" s="39"/>
      <c r="BI356" s="39"/>
      <c r="BJ356" s="39"/>
      <c r="BK356" s="40"/>
      <c r="BL356" s="173"/>
      <c r="BM356" s="174"/>
      <c r="BN356" s="175"/>
      <c r="BO356" s="180"/>
      <c r="BP356" s="174"/>
      <c r="BQ356" s="175"/>
      <c r="BR356" s="180"/>
      <c r="BS356" s="174"/>
      <c r="BT356" s="174"/>
      <c r="BU356" s="174"/>
      <c r="BV356" s="174"/>
      <c r="BW356" s="174"/>
      <c r="BX356" s="175"/>
      <c r="BY356" s="122"/>
      <c r="BZ356" s="123"/>
      <c r="CA356" s="123"/>
      <c r="CB356" s="124"/>
      <c r="CC356" s="122"/>
      <c r="CD356" s="123"/>
      <c r="CE356" s="123"/>
      <c r="CF356" s="215"/>
    </row>
    <row r="357" spans="22:84" ht="14.4" customHeight="1" x14ac:dyDescent="0.3">
      <c r="V357" s="36"/>
      <c r="W357" s="249"/>
      <c r="X357" s="250"/>
      <c r="Y357" s="37"/>
      <c r="Z357" s="38"/>
      <c r="AA357" s="38"/>
      <c r="AB357" s="38" t="str">
        <f t="shared" si="315"/>
        <v/>
      </c>
      <c r="AC357" s="38" t="str">
        <f t="shared" si="316"/>
        <v/>
      </c>
      <c r="AD357" s="247"/>
      <c r="AE357" s="248"/>
      <c r="AF357" s="39"/>
      <c r="AG357" s="39"/>
      <c r="AH357" s="39"/>
      <c r="AI357" s="39"/>
      <c r="AJ357" s="39"/>
      <c r="AK357" s="39"/>
      <c r="AL357" s="39"/>
      <c r="AM357" s="39"/>
      <c r="AN357" s="39"/>
      <c r="AO357" s="39"/>
      <c r="AP357" s="22"/>
      <c r="AQ357" s="36" t="str">
        <f t="shared" si="317"/>
        <v/>
      </c>
      <c r="AR357" s="287" t="str">
        <f t="shared" si="318"/>
        <v/>
      </c>
      <c r="AS357" s="288"/>
      <c r="AT357" s="37" t="str">
        <f t="shared" si="319"/>
        <v/>
      </c>
      <c r="AU357" s="37" t="str">
        <f t="shared" si="320"/>
        <v/>
      </c>
      <c r="AV357" s="37" t="str">
        <f t="shared" si="321"/>
        <v/>
      </c>
      <c r="AW357" s="38" t="str">
        <f t="shared" si="322"/>
        <v/>
      </c>
      <c r="AX357" s="38" t="str">
        <f t="shared" si="323"/>
        <v/>
      </c>
      <c r="AY357" s="38" t="str">
        <f t="shared" si="324"/>
        <v/>
      </c>
      <c r="AZ357" s="39"/>
      <c r="BA357" s="39"/>
      <c r="BB357" s="39"/>
      <c r="BC357" s="39"/>
      <c r="BD357" s="39"/>
      <c r="BE357" s="39"/>
      <c r="BF357" s="39"/>
      <c r="BG357" s="39"/>
      <c r="BH357" s="39"/>
      <c r="BI357" s="39"/>
      <c r="BJ357" s="39"/>
      <c r="BK357" s="40"/>
      <c r="BL357" s="173"/>
      <c r="BM357" s="174"/>
      <c r="BN357" s="175"/>
      <c r="BO357" s="180"/>
      <c r="BP357" s="174"/>
      <c r="BQ357" s="175"/>
      <c r="BR357" s="180"/>
      <c r="BS357" s="174"/>
      <c r="BT357" s="174"/>
      <c r="BU357" s="174"/>
      <c r="BV357" s="174"/>
      <c r="BW357" s="174"/>
      <c r="BX357" s="175"/>
      <c r="BY357" s="122"/>
      <c r="BZ357" s="123"/>
      <c r="CA357" s="123"/>
      <c r="CB357" s="124"/>
      <c r="CC357" s="122"/>
      <c r="CD357" s="123"/>
      <c r="CE357" s="123"/>
      <c r="CF357" s="215"/>
    </row>
    <row r="358" spans="22:84" ht="14.4" customHeight="1" x14ac:dyDescent="0.3">
      <c r="V358" s="36"/>
      <c r="W358" s="249"/>
      <c r="X358" s="250"/>
      <c r="Y358" s="37"/>
      <c r="Z358" s="38"/>
      <c r="AA358" s="38"/>
      <c r="AB358" s="38" t="str">
        <f t="shared" si="315"/>
        <v/>
      </c>
      <c r="AC358" s="38" t="str">
        <f t="shared" si="316"/>
        <v/>
      </c>
      <c r="AD358" s="247"/>
      <c r="AE358" s="248"/>
      <c r="AF358" s="39"/>
      <c r="AG358" s="39"/>
      <c r="AH358" s="39"/>
      <c r="AI358" s="39"/>
      <c r="AJ358" s="39"/>
      <c r="AK358" s="39"/>
      <c r="AL358" s="39"/>
      <c r="AM358" s="39"/>
      <c r="AN358" s="39"/>
      <c r="AO358" s="39"/>
      <c r="AP358" s="22"/>
      <c r="AQ358" s="36" t="str">
        <f t="shared" si="317"/>
        <v/>
      </c>
      <c r="AR358" s="287" t="str">
        <f t="shared" si="318"/>
        <v/>
      </c>
      <c r="AS358" s="288"/>
      <c r="AT358" s="37" t="str">
        <f t="shared" si="319"/>
        <v/>
      </c>
      <c r="AU358" s="37" t="str">
        <f t="shared" si="320"/>
        <v/>
      </c>
      <c r="AV358" s="37" t="str">
        <f t="shared" si="321"/>
        <v/>
      </c>
      <c r="AW358" s="38" t="str">
        <f t="shared" si="322"/>
        <v/>
      </c>
      <c r="AX358" s="38" t="str">
        <f t="shared" si="323"/>
        <v/>
      </c>
      <c r="AY358" s="38" t="str">
        <f t="shared" si="324"/>
        <v/>
      </c>
      <c r="AZ358" s="39"/>
      <c r="BA358" s="39"/>
      <c r="BB358" s="39"/>
      <c r="BC358" s="39"/>
      <c r="BD358" s="39"/>
      <c r="BE358" s="39"/>
      <c r="BF358" s="39"/>
      <c r="BG358" s="39"/>
      <c r="BH358" s="39"/>
      <c r="BI358" s="39"/>
      <c r="BJ358" s="39"/>
      <c r="BK358" s="40"/>
      <c r="BL358" s="173"/>
      <c r="BM358" s="174"/>
      <c r="BN358" s="175"/>
      <c r="BO358" s="180"/>
      <c r="BP358" s="174"/>
      <c r="BQ358" s="175"/>
      <c r="BR358" s="180"/>
      <c r="BS358" s="174"/>
      <c r="BT358" s="174"/>
      <c r="BU358" s="174"/>
      <c r="BV358" s="174"/>
      <c r="BW358" s="174"/>
      <c r="BX358" s="175"/>
      <c r="BY358" s="122"/>
      <c r="BZ358" s="123"/>
      <c r="CA358" s="123"/>
      <c r="CB358" s="124"/>
      <c r="CC358" s="122"/>
      <c r="CD358" s="123"/>
      <c r="CE358" s="123"/>
      <c r="CF358" s="215"/>
    </row>
    <row r="359" spans="22:84" ht="14.4" customHeight="1" x14ac:dyDescent="0.3">
      <c r="V359" s="36"/>
      <c r="W359" s="249"/>
      <c r="X359" s="250"/>
      <c r="Y359" s="37"/>
      <c r="Z359" s="38"/>
      <c r="AA359" s="38"/>
      <c r="AB359" s="38" t="str">
        <f t="shared" si="315"/>
        <v/>
      </c>
      <c r="AC359" s="38" t="str">
        <f t="shared" si="316"/>
        <v/>
      </c>
      <c r="AD359" s="247"/>
      <c r="AE359" s="248"/>
      <c r="AF359" s="39"/>
      <c r="AG359" s="39"/>
      <c r="AH359" s="39"/>
      <c r="AI359" s="39"/>
      <c r="AJ359" s="39"/>
      <c r="AK359" s="39"/>
      <c r="AL359" s="39"/>
      <c r="AM359" s="39"/>
      <c r="AN359" s="39"/>
      <c r="AO359" s="39"/>
      <c r="AP359" s="22"/>
      <c r="AQ359" s="36" t="str">
        <f t="shared" si="317"/>
        <v/>
      </c>
      <c r="AR359" s="287" t="str">
        <f t="shared" si="318"/>
        <v/>
      </c>
      <c r="AS359" s="288"/>
      <c r="AT359" s="37" t="str">
        <f t="shared" si="319"/>
        <v/>
      </c>
      <c r="AU359" s="37" t="str">
        <f t="shared" si="320"/>
        <v/>
      </c>
      <c r="AV359" s="37" t="str">
        <f t="shared" si="321"/>
        <v/>
      </c>
      <c r="AW359" s="38" t="str">
        <f t="shared" si="322"/>
        <v/>
      </c>
      <c r="AX359" s="38" t="str">
        <f t="shared" si="323"/>
        <v/>
      </c>
      <c r="AY359" s="38" t="str">
        <f t="shared" si="324"/>
        <v/>
      </c>
      <c r="AZ359" s="39"/>
      <c r="BA359" s="39"/>
      <c r="BB359" s="39"/>
      <c r="BC359" s="39"/>
      <c r="BD359" s="39"/>
      <c r="BE359" s="39"/>
      <c r="BF359" s="39"/>
      <c r="BG359" s="39"/>
      <c r="BH359" s="39"/>
      <c r="BI359" s="39"/>
      <c r="BJ359" s="39"/>
      <c r="BK359" s="40"/>
      <c r="BL359" s="173"/>
      <c r="BM359" s="174"/>
      <c r="BN359" s="175"/>
      <c r="BO359" s="180"/>
      <c r="BP359" s="174"/>
      <c r="BQ359" s="175"/>
      <c r="BR359" s="180"/>
      <c r="BS359" s="174"/>
      <c r="BT359" s="174"/>
      <c r="BU359" s="174"/>
      <c r="BV359" s="174"/>
      <c r="BW359" s="174"/>
      <c r="BX359" s="175"/>
      <c r="BY359" s="122"/>
      <c r="BZ359" s="123"/>
      <c r="CA359" s="123"/>
      <c r="CB359" s="124"/>
      <c r="CC359" s="122"/>
      <c r="CD359" s="123"/>
      <c r="CE359" s="123"/>
      <c r="CF359" s="215"/>
    </row>
    <row r="360" spans="22:84" ht="14.4" customHeight="1" x14ac:dyDescent="0.3">
      <c r="V360" s="36"/>
      <c r="W360" s="249"/>
      <c r="X360" s="250"/>
      <c r="Y360" s="37"/>
      <c r="Z360" s="38"/>
      <c r="AA360" s="38"/>
      <c r="AB360" s="38" t="str">
        <f t="shared" si="315"/>
        <v/>
      </c>
      <c r="AC360" s="38" t="str">
        <f t="shared" si="316"/>
        <v/>
      </c>
      <c r="AD360" s="247"/>
      <c r="AE360" s="248"/>
      <c r="AF360" s="39"/>
      <c r="AG360" s="39"/>
      <c r="AH360" s="39"/>
      <c r="AI360" s="39"/>
      <c r="AJ360" s="39"/>
      <c r="AK360" s="39"/>
      <c r="AL360" s="39"/>
      <c r="AM360" s="39"/>
      <c r="AN360" s="39"/>
      <c r="AO360" s="39"/>
      <c r="AP360" s="22"/>
      <c r="AQ360" s="36" t="str">
        <f t="shared" si="317"/>
        <v/>
      </c>
      <c r="AR360" s="287" t="str">
        <f t="shared" si="318"/>
        <v/>
      </c>
      <c r="AS360" s="288"/>
      <c r="AT360" s="37" t="str">
        <f t="shared" si="319"/>
        <v/>
      </c>
      <c r="AU360" s="37" t="str">
        <f t="shared" si="320"/>
        <v/>
      </c>
      <c r="AV360" s="37" t="str">
        <f t="shared" si="321"/>
        <v/>
      </c>
      <c r="AW360" s="38" t="str">
        <f t="shared" si="322"/>
        <v/>
      </c>
      <c r="AX360" s="38" t="str">
        <f t="shared" si="323"/>
        <v/>
      </c>
      <c r="AY360" s="38" t="str">
        <f t="shared" si="324"/>
        <v/>
      </c>
      <c r="AZ360" s="39"/>
      <c r="BA360" s="39"/>
      <c r="BB360" s="39"/>
      <c r="BC360" s="39"/>
      <c r="BD360" s="39"/>
      <c r="BE360" s="39"/>
      <c r="BF360" s="39"/>
      <c r="BG360" s="39"/>
      <c r="BH360" s="39"/>
      <c r="BI360" s="39"/>
      <c r="BJ360" s="39"/>
      <c r="BK360" s="40"/>
      <c r="BL360" s="173"/>
      <c r="BM360" s="174"/>
      <c r="BN360" s="175"/>
      <c r="BO360" s="180"/>
      <c r="BP360" s="174"/>
      <c r="BQ360" s="175"/>
      <c r="BR360" s="180"/>
      <c r="BS360" s="174"/>
      <c r="BT360" s="174"/>
      <c r="BU360" s="174"/>
      <c r="BV360" s="174"/>
      <c r="BW360" s="174"/>
      <c r="BX360" s="175"/>
      <c r="BY360" s="122"/>
      <c r="BZ360" s="123"/>
      <c r="CA360" s="123"/>
      <c r="CB360" s="124"/>
      <c r="CC360" s="122"/>
      <c r="CD360" s="123"/>
      <c r="CE360" s="123"/>
      <c r="CF360" s="215"/>
    </row>
    <row r="361" spans="22:84" ht="14.4" customHeight="1" x14ac:dyDescent="0.3">
      <c r="V361" s="36"/>
      <c r="W361" s="249"/>
      <c r="X361" s="250"/>
      <c r="Y361" s="37"/>
      <c r="Z361" s="38"/>
      <c r="AA361" s="38"/>
      <c r="AB361" s="38" t="str">
        <f t="shared" si="315"/>
        <v/>
      </c>
      <c r="AC361" s="38" t="str">
        <f t="shared" si="316"/>
        <v/>
      </c>
      <c r="AD361" s="247"/>
      <c r="AE361" s="248"/>
      <c r="AF361" s="39"/>
      <c r="AG361" s="39"/>
      <c r="AH361" s="39"/>
      <c r="AI361" s="39"/>
      <c r="AJ361" s="39"/>
      <c r="AK361" s="39"/>
      <c r="AL361" s="39"/>
      <c r="AM361" s="39"/>
      <c r="AN361" s="39"/>
      <c r="AO361" s="39"/>
      <c r="AP361" s="22"/>
      <c r="AQ361" s="36" t="str">
        <f t="shared" si="317"/>
        <v/>
      </c>
      <c r="AR361" s="287" t="str">
        <f t="shared" si="318"/>
        <v/>
      </c>
      <c r="AS361" s="288"/>
      <c r="AT361" s="37" t="str">
        <f t="shared" si="319"/>
        <v/>
      </c>
      <c r="AU361" s="37" t="str">
        <f t="shared" si="320"/>
        <v/>
      </c>
      <c r="AV361" s="37" t="str">
        <f t="shared" si="321"/>
        <v/>
      </c>
      <c r="AW361" s="38" t="str">
        <f t="shared" si="322"/>
        <v/>
      </c>
      <c r="AX361" s="38" t="str">
        <f t="shared" si="323"/>
        <v/>
      </c>
      <c r="AY361" s="38" t="str">
        <f t="shared" si="324"/>
        <v/>
      </c>
      <c r="AZ361" s="39"/>
      <c r="BA361" s="39"/>
      <c r="BB361" s="39"/>
      <c r="BC361" s="39"/>
      <c r="BD361" s="39"/>
      <c r="BE361" s="39"/>
      <c r="BF361" s="39"/>
      <c r="BG361" s="39"/>
      <c r="BH361" s="39"/>
      <c r="BI361" s="39"/>
      <c r="BJ361" s="39"/>
      <c r="BK361" s="40"/>
      <c r="BL361" s="173"/>
      <c r="BM361" s="174"/>
      <c r="BN361" s="175"/>
      <c r="BO361" s="180"/>
      <c r="BP361" s="174"/>
      <c r="BQ361" s="175"/>
      <c r="BR361" s="180"/>
      <c r="BS361" s="174"/>
      <c r="BT361" s="174"/>
      <c r="BU361" s="174"/>
      <c r="BV361" s="174"/>
      <c r="BW361" s="174"/>
      <c r="BX361" s="175"/>
      <c r="BY361" s="122"/>
      <c r="BZ361" s="123"/>
      <c r="CA361" s="123"/>
      <c r="CB361" s="124"/>
      <c r="CC361" s="122"/>
      <c r="CD361" s="123"/>
      <c r="CE361" s="123"/>
      <c r="CF361" s="215"/>
    </row>
    <row r="362" spans="22:84" ht="14.4" customHeight="1" x14ac:dyDescent="0.3">
      <c r="V362" s="36"/>
      <c r="W362" s="249"/>
      <c r="X362" s="250"/>
      <c r="Y362" s="37"/>
      <c r="Z362" s="38"/>
      <c r="AA362" s="38"/>
      <c r="AB362" s="38" t="str">
        <f t="shared" si="315"/>
        <v/>
      </c>
      <c r="AC362" s="38" t="str">
        <f t="shared" si="316"/>
        <v/>
      </c>
      <c r="AD362" s="247"/>
      <c r="AE362" s="248"/>
      <c r="AF362" s="39"/>
      <c r="AG362" s="39"/>
      <c r="AH362" s="39"/>
      <c r="AI362" s="39"/>
      <c r="AJ362" s="39"/>
      <c r="AK362" s="39"/>
      <c r="AL362" s="39"/>
      <c r="AM362" s="39"/>
      <c r="AN362" s="39"/>
      <c r="AO362" s="39"/>
      <c r="AP362" s="22"/>
      <c r="AQ362" s="325" t="s">
        <v>73</v>
      </c>
      <c r="AR362" s="318"/>
      <c r="AS362" s="318"/>
      <c r="AT362" s="317" t="s">
        <v>74</v>
      </c>
      <c r="AU362" s="318"/>
      <c r="AV362" s="318"/>
      <c r="AW362" s="317" t="s">
        <v>75</v>
      </c>
      <c r="AX362" s="318"/>
      <c r="AY362" s="319"/>
      <c r="AZ362" s="241" t="s">
        <v>76</v>
      </c>
      <c r="BA362" s="242"/>
      <c r="BB362" s="242"/>
      <c r="BC362" s="241" t="s">
        <v>77</v>
      </c>
      <c r="BD362" s="242"/>
      <c r="BE362" s="242"/>
      <c r="BF362" s="241" t="s">
        <v>78</v>
      </c>
      <c r="BG362" s="242"/>
      <c r="BH362" s="242"/>
      <c r="BI362" s="241" t="s">
        <v>79</v>
      </c>
      <c r="BJ362" s="242"/>
      <c r="BK362" s="243"/>
      <c r="BL362" s="173"/>
      <c r="BM362" s="174"/>
      <c r="BN362" s="175"/>
      <c r="BO362" s="180"/>
      <c r="BP362" s="174"/>
      <c r="BQ362" s="175"/>
      <c r="BR362" s="180"/>
      <c r="BS362" s="174"/>
      <c r="BT362" s="174"/>
      <c r="BU362" s="174"/>
      <c r="BV362" s="174"/>
      <c r="BW362" s="174"/>
      <c r="BX362" s="175"/>
      <c r="BY362" s="122"/>
      <c r="BZ362" s="123"/>
      <c r="CA362" s="123"/>
      <c r="CB362" s="124"/>
      <c r="CC362" s="122"/>
      <c r="CD362" s="123"/>
      <c r="CE362" s="123"/>
      <c r="CF362" s="215"/>
    </row>
    <row r="363" spans="22:84" ht="14.4" customHeight="1" x14ac:dyDescent="0.3">
      <c r="V363" s="353" t="s">
        <v>113</v>
      </c>
      <c r="W363" s="222"/>
      <c r="X363" s="222"/>
      <c r="Y363" s="222"/>
      <c r="Z363" s="222"/>
      <c r="AA363" s="222"/>
      <c r="AB363" s="222"/>
      <c r="AC363" s="222"/>
      <c r="AD363" s="222"/>
      <c r="AE363" s="250"/>
      <c r="AP363" s="22"/>
      <c r="AQ363" s="46"/>
      <c r="AR363" s="39"/>
      <c r="AS363" s="39"/>
      <c r="AT363" s="39"/>
      <c r="AU363" s="39"/>
      <c r="AV363" s="39"/>
      <c r="AW363" s="39"/>
      <c r="AX363" s="39"/>
      <c r="AY363" s="39"/>
      <c r="AZ363" s="39"/>
      <c r="BA363" s="39"/>
      <c r="BB363" s="39"/>
      <c r="BC363" s="39"/>
      <c r="BD363" s="39"/>
      <c r="BE363" s="39"/>
      <c r="BF363" s="39"/>
      <c r="BG363" s="39"/>
      <c r="BH363" s="39"/>
      <c r="BI363" s="39"/>
      <c r="BJ363" s="39"/>
      <c r="BK363" s="40"/>
      <c r="BL363" s="173"/>
      <c r="BM363" s="174"/>
      <c r="BN363" s="175"/>
      <c r="BO363" s="180"/>
      <c r="BP363" s="174"/>
      <c r="BQ363" s="175"/>
      <c r="BR363" s="180"/>
      <c r="BS363" s="174"/>
      <c r="BT363" s="174"/>
      <c r="BU363" s="174"/>
      <c r="BV363" s="174"/>
      <c r="BW363" s="174"/>
      <c r="BX363" s="175"/>
      <c r="BY363" s="122"/>
      <c r="BZ363" s="123"/>
      <c r="CA363" s="123"/>
      <c r="CB363" s="124"/>
      <c r="CC363" s="125"/>
      <c r="CD363" s="126"/>
      <c r="CE363" s="126"/>
      <c r="CF363" s="216"/>
    </row>
    <row r="364" spans="22:84" ht="14.4" customHeight="1" x14ac:dyDescent="0.3">
      <c r="V364" s="47"/>
      <c r="W364" s="10" t="s">
        <v>114</v>
      </c>
      <c r="X364" s="10" t="s">
        <v>115</v>
      </c>
      <c r="Y364" s="10" t="s">
        <v>116</v>
      </c>
      <c r="Z364" s="48" t="s">
        <v>117</v>
      </c>
      <c r="AA364" s="14" t="s">
        <v>118</v>
      </c>
      <c r="AB364" s="10" t="s">
        <v>119</v>
      </c>
      <c r="AC364" s="10" t="s">
        <v>120</v>
      </c>
      <c r="AD364" s="10" t="s">
        <v>121</v>
      </c>
      <c r="AE364" s="10" t="s">
        <v>122</v>
      </c>
      <c r="AP364" s="22"/>
      <c r="AQ364" s="46"/>
      <c r="AR364" s="28"/>
      <c r="AS364" s="28"/>
      <c r="AT364" s="28"/>
      <c r="AU364" s="28"/>
      <c r="AV364" s="28"/>
      <c r="AW364" s="28"/>
      <c r="AX364" s="28"/>
      <c r="AY364" s="28"/>
      <c r="AZ364" s="28"/>
      <c r="BA364" s="28"/>
      <c r="BB364" s="28"/>
      <c r="BC364" s="28"/>
      <c r="BD364" s="28"/>
      <c r="BE364" s="28"/>
      <c r="BF364" s="28"/>
      <c r="BG364" s="28"/>
      <c r="BH364" s="28"/>
      <c r="BI364" s="28"/>
      <c r="BJ364" s="28"/>
      <c r="BK364" s="51"/>
      <c r="BL364" s="173"/>
      <c r="BM364" s="174"/>
      <c r="BN364" s="175"/>
      <c r="BO364" s="180"/>
      <c r="BP364" s="174"/>
      <c r="BQ364" s="175"/>
      <c r="BR364" s="180"/>
      <c r="BS364" s="174"/>
      <c r="BT364" s="174"/>
      <c r="BU364" s="174"/>
      <c r="BV364" s="174"/>
      <c r="BW364" s="174"/>
      <c r="BX364" s="175"/>
      <c r="BY364" s="122"/>
      <c r="BZ364" s="123"/>
      <c r="CA364" s="123"/>
      <c r="CB364" s="124"/>
      <c r="CC364" s="150" t="s">
        <v>123</v>
      </c>
      <c r="CD364" s="151"/>
      <c r="CE364" s="151"/>
      <c r="CF364" s="152"/>
    </row>
    <row r="365" spans="22:84" ht="14.4" customHeight="1" x14ac:dyDescent="0.3">
      <c r="V365" s="49" t="str">
        <f>IF(ISBLANK(V351),"",V351)</f>
        <v/>
      </c>
      <c r="W365" s="38" t="str" cm="1">
        <f t="array" ref="W365">IF(Y351="", "", IF(AND(Y351&lt;=MIN(AF351:AO351),Z351&gt;=MAX(AF351:AO351)),"ACCEPT",IF(AND(AF351:AO351="OK"),"ACCEPT","REJECT")))</f>
        <v/>
      </c>
      <c r="X365" s="38" t="str">
        <f t="shared" ref="X365:X376" si="325">IF(TRIM(W365)="", "", MAX(AF351:AO351))</f>
        <v/>
      </c>
      <c r="Y365" s="38" t="str">
        <f t="shared" ref="Y365:Y376" si="326">IF(TRIM(W365)="", "", MIN(AF351:AO351))</f>
        <v/>
      </c>
      <c r="Z365" s="38" t="str">
        <f t="shared" ref="Z365:Z376" si="327">IF(ISNUMBER(Y351),"VARIABLE",IF(ISBLANK(Y351),"","ATTRIBUTE"))</f>
        <v/>
      </c>
      <c r="AA365" s="38">
        <f t="shared" ref="AA365:AA376" si="328">IF((AA351="QC"),1.33,1)</f>
        <v>1</v>
      </c>
      <c r="AB365" s="38">
        <f t="shared" ref="AB365:AB376" si="329">IF(COUNT(AF351:AO351)=0,0,AVERAGE(AF351:AO351))</f>
        <v>0</v>
      </c>
      <c r="AC365" s="38">
        <f t="shared" ref="AC365:AC376" si="330">MAX(AF351:AO351)-MIN(AF351:AO351)</f>
        <v>0</v>
      </c>
      <c r="AD365" s="38">
        <f t="shared" ref="AD365:AD376" si="331">IF(COUNT(AF351:AO351)=0,0,_xlfn.STDEV.S(AF351:AO351))</f>
        <v>0</v>
      </c>
      <c r="AE365" s="38" t="str">
        <f t="shared" ref="AE365:AE376" si="332">IF(AB365=0,"-",IF(AB365-Y351&lt;Z351-AB365,AB365-Y351,Z351-AB365)/(AD365*3))</f>
        <v>-</v>
      </c>
      <c r="AP365" s="22"/>
      <c r="AQ365" s="46"/>
      <c r="AR365" s="39"/>
      <c r="AS365" s="39"/>
      <c r="AT365" s="39"/>
      <c r="AU365" s="39"/>
      <c r="AV365" s="39"/>
      <c r="AW365" s="39"/>
      <c r="AX365" s="39"/>
      <c r="AY365" s="39"/>
      <c r="AZ365" s="39"/>
      <c r="BA365" s="39"/>
      <c r="BB365" s="39"/>
      <c r="BC365" s="39"/>
      <c r="BD365" s="39"/>
      <c r="BE365" s="39"/>
      <c r="BF365" s="39"/>
      <c r="BG365" s="39"/>
      <c r="BH365" s="39"/>
      <c r="BI365" s="39"/>
      <c r="BJ365" s="39"/>
      <c r="BK365" s="40"/>
      <c r="BL365" s="176"/>
      <c r="BM365" s="177"/>
      <c r="BN365" s="178"/>
      <c r="BO365" s="181"/>
      <c r="BP365" s="177"/>
      <c r="BQ365" s="178"/>
      <c r="BR365" s="181"/>
      <c r="BS365" s="177"/>
      <c r="BT365" s="177"/>
      <c r="BU365" s="177"/>
      <c r="BV365" s="177"/>
      <c r="BW365" s="177"/>
      <c r="BX365" s="178"/>
      <c r="BY365" s="125"/>
      <c r="BZ365" s="126"/>
      <c r="CA365" s="126"/>
      <c r="CB365" s="127"/>
      <c r="CC365" s="153"/>
      <c r="CD365" s="154"/>
      <c r="CE365" s="154"/>
      <c r="CF365" s="155"/>
    </row>
    <row r="366" spans="22:84" ht="14.4" customHeight="1" x14ac:dyDescent="0.3">
      <c r="V366" s="49" t="str">
        <f t="shared" ref="V366:V375" si="333">IF(ISBLANK(V352),"",V352)</f>
        <v/>
      </c>
      <c r="W366" s="38" t="str" cm="1">
        <f t="array" ref="W366">IF(Y352="", "", IF(AND(Y352&lt;=MIN(AF352:AO352),Z352&gt;=MAX(AF352:AO352)),"ACCEPT",IF(AND(AF352:AO352="OK"),"ACCEPT","REJECT")))</f>
        <v/>
      </c>
      <c r="X366" s="38" t="str">
        <f t="shared" si="325"/>
        <v/>
      </c>
      <c r="Y366" s="38" t="str">
        <f t="shared" si="326"/>
        <v/>
      </c>
      <c r="Z366" s="38" t="str">
        <f t="shared" si="327"/>
        <v/>
      </c>
      <c r="AA366" s="38">
        <f t="shared" si="328"/>
        <v>1</v>
      </c>
      <c r="AB366" s="38">
        <f t="shared" si="329"/>
        <v>0</v>
      </c>
      <c r="AC366" s="38">
        <f t="shared" si="330"/>
        <v>0</v>
      </c>
      <c r="AD366" s="38">
        <f t="shared" si="331"/>
        <v>0</v>
      </c>
      <c r="AE366" s="38" t="str">
        <f t="shared" si="332"/>
        <v>-</v>
      </c>
      <c r="AP366" s="22"/>
      <c r="AQ366" s="50"/>
      <c r="AR366" s="28"/>
      <c r="AS366" s="28"/>
      <c r="AT366" s="28"/>
      <c r="AU366" s="28"/>
      <c r="AV366" s="28"/>
      <c r="AW366" s="28"/>
      <c r="AX366" s="28"/>
      <c r="AY366" s="28"/>
      <c r="AZ366" s="28"/>
      <c r="BA366" s="28"/>
      <c r="BB366" s="28"/>
      <c r="BC366" s="28"/>
      <c r="BD366" s="28"/>
      <c r="BE366" s="28"/>
      <c r="BF366" s="28"/>
      <c r="BG366" s="28"/>
      <c r="BH366" s="28"/>
      <c r="BI366" s="28"/>
      <c r="BJ366" s="28"/>
      <c r="BK366" s="51"/>
      <c r="BL366" s="128" t="s">
        <v>88</v>
      </c>
      <c r="BM366" s="129"/>
      <c r="BN366" s="130"/>
      <c r="BO366" s="131" t="s">
        <v>89</v>
      </c>
      <c r="BP366" s="132"/>
      <c r="BQ366" s="133"/>
      <c r="BR366" s="131" t="s">
        <v>90</v>
      </c>
      <c r="BS366" s="132"/>
      <c r="BT366" s="132"/>
      <c r="BU366" s="132"/>
      <c r="BV366" s="132"/>
      <c r="BW366" s="132"/>
      <c r="BX366" s="133"/>
      <c r="BY366" s="131" t="s">
        <v>91</v>
      </c>
      <c r="BZ366" s="132"/>
      <c r="CA366" s="132"/>
      <c r="CB366" s="133"/>
      <c r="CC366" s="131" t="s">
        <v>92</v>
      </c>
      <c r="CD366" s="132"/>
      <c r="CE366" s="132"/>
      <c r="CF366" s="156"/>
    </row>
    <row r="367" spans="22:84" ht="14.4" customHeight="1" x14ac:dyDescent="0.3">
      <c r="V367" s="49" t="str">
        <f t="shared" si="333"/>
        <v/>
      </c>
      <c r="W367" s="38" t="str" cm="1">
        <f t="array" ref="W367">IF(Y353="", "", IF(AND(Y353&lt;=MIN(AF353:AO353),Z353&gt;=MAX(AF353:AO353)),"ACCEPT",IF(AND(AF353:AO353="OK"),"ACCEPT","REJECT")))</f>
        <v/>
      </c>
      <c r="X367" s="38" t="str">
        <f t="shared" si="325"/>
        <v/>
      </c>
      <c r="Y367" s="38" t="str">
        <f t="shared" si="326"/>
        <v/>
      </c>
      <c r="Z367" s="38" t="str">
        <f t="shared" si="327"/>
        <v/>
      </c>
      <c r="AA367" s="38">
        <f t="shared" si="328"/>
        <v>1</v>
      </c>
      <c r="AB367" s="38">
        <f t="shared" si="329"/>
        <v>0</v>
      </c>
      <c r="AC367" s="38">
        <f t="shared" si="330"/>
        <v>0</v>
      </c>
      <c r="AD367" s="38">
        <f t="shared" si="331"/>
        <v>0</v>
      </c>
      <c r="AE367" s="38" t="str">
        <f t="shared" si="332"/>
        <v>-</v>
      </c>
      <c r="AP367" s="22"/>
      <c r="AQ367" s="50"/>
      <c r="AR367" s="28"/>
      <c r="AS367" s="28"/>
      <c r="AT367" s="28"/>
      <c r="AU367" s="28"/>
      <c r="AV367" s="28"/>
      <c r="AW367" s="28"/>
      <c r="AX367" s="28"/>
      <c r="AY367" s="28"/>
      <c r="AZ367" s="28"/>
      <c r="BA367" s="28"/>
      <c r="BB367" s="28"/>
      <c r="BC367" s="28"/>
      <c r="BD367" s="28"/>
      <c r="BE367" s="28"/>
      <c r="BF367" s="28"/>
      <c r="BG367" s="28"/>
      <c r="BH367" s="28"/>
      <c r="BI367" s="28"/>
      <c r="BJ367" s="28"/>
      <c r="BK367" s="51"/>
      <c r="BL367" s="158" t="s">
        <v>96</v>
      </c>
      <c r="BM367" s="159"/>
      <c r="BN367" s="35"/>
      <c r="BO367" s="134"/>
      <c r="BP367" s="135"/>
      <c r="BQ367" s="136"/>
      <c r="BR367" s="134"/>
      <c r="BS367" s="135"/>
      <c r="BT367" s="135"/>
      <c r="BU367" s="135"/>
      <c r="BV367" s="135"/>
      <c r="BW367" s="135"/>
      <c r="BX367" s="136"/>
      <c r="BY367" s="134"/>
      <c r="BZ367" s="135"/>
      <c r="CA367" s="135"/>
      <c r="CB367" s="136"/>
      <c r="CC367" s="134"/>
      <c r="CD367" s="135"/>
      <c r="CE367" s="135"/>
      <c r="CF367" s="157"/>
    </row>
    <row r="368" spans="22:84" ht="14.4" customHeight="1" x14ac:dyDescent="0.3">
      <c r="V368" s="49" t="str">
        <f t="shared" si="333"/>
        <v/>
      </c>
      <c r="W368" s="38" t="str" cm="1">
        <f t="array" ref="W368">IF(Y354="", "", IF(AND(Y354&lt;=MIN(AF354:AO354),Z354&gt;=MAX(AF354:AO354)),"ACCEPT",IF(AND(AF354:AO354="OK"),"ACCEPT","REJECT")))</f>
        <v/>
      </c>
      <c r="X368" s="38" t="str">
        <f t="shared" si="325"/>
        <v/>
      </c>
      <c r="Y368" s="38" t="str">
        <f t="shared" si="326"/>
        <v/>
      </c>
      <c r="Z368" s="38" t="str">
        <f t="shared" si="327"/>
        <v/>
      </c>
      <c r="AA368" s="38">
        <f t="shared" si="328"/>
        <v>1</v>
      </c>
      <c r="AB368" s="38">
        <f t="shared" si="329"/>
        <v>0</v>
      </c>
      <c r="AC368" s="38">
        <f t="shared" si="330"/>
        <v>0</v>
      </c>
      <c r="AD368" s="38">
        <f t="shared" si="331"/>
        <v>0</v>
      </c>
      <c r="AE368" s="38" t="str">
        <f t="shared" si="332"/>
        <v>-</v>
      </c>
      <c r="AP368" s="22"/>
      <c r="AQ368" s="46"/>
      <c r="AR368" s="28"/>
      <c r="AS368" s="28"/>
      <c r="AT368" s="28"/>
      <c r="AU368" s="28"/>
      <c r="AV368" s="28"/>
      <c r="AW368" s="28"/>
      <c r="AX368" s="28"/>
      <c r="AY368" s="28"/>
      <c r="AZ368" s="28"/>
      <c r="BA368" s="28"/>
      <c r="BB368" s="28"/>
      <c r="BC368" s="28"/>
      <c r="BD368" s="28"/>
      <c r="BE368" s="28"/>
      <c r="BF368" s="28"/>
      <c r="BG368" s="28"/>
      <c r="BH368" s="28"/>
      <c r="BI368" s="28"/>
      <c r="BJ368" s="28"/>
      <c r="BK368" s="51"/>
      <c r="BL368" s="158" t="s">
        <v>97</v>
      </c>
      <c r="BM368" s="159"/>
      <c r="BN368" s="41" t="s">
        <v>98</v>
      </c>
      <c r="BO368" s="204" t="s">
        <v>99</v>
      </c>
      <c r="BP368" s="205"/>
      <c r="BQ368" s="206"/>
      <c r="BR368" s="207" t="s">
        <v>100</v>
      </c>
      <c r="BS368" s="208"/>
      <c r="BT368" s="208"/>
      <c r="BU368" s="209"/>
      <c r="BV368" s="217"/>
      <c r="BW368" s="218"/>
      <c r="BX368" s="219"/>
      <c r="BY368" s="119"/>
      <c r="BZ368" s="120"/>
      <c r="CA368" s="120"/>
      <c r="CB368" s="121"/>
      <c r="CC368" s="119"/>
      <c r="CD368" s="120"/>
      <c r="CE368" s="120"/>
      <c r="CF368" s="214"/>
    </row>
    <row r="369" spans="22:84" ht="14.4" customHeight="1" x14ac:dyDescent="0.3">
      <c r="V369" s="49" t="str">
        <f t="shared" si="333"/>
        <v/>
      </c>
      <c r="W369" s="38" t="str" cm="1">
        <f t="array" ref="W369">IF(Y355="", "", IF(AND(Y355&lt;=MIN(AF355:AO355),Z355&gt;=MAX(AF355:AO355)),"ACCEPT",IF(AND(AF355:AO355="OK"),"ACCEPT","REJECT")))</f>
        <v/>
      </c>
      <c r="X369" s="38" t="str">
        <f t="shared" si="325"/>
        <v/>
      </c>
      <c r="Y369" s="38" t="str">
        <f t="shared" si="326"/>
        <v/>
      </c>
      <c r="Z369" s="38" t="str">
        <f t="shared" si="327"/>
        <v/>
      </c>
      <c r="AA369" s="38">
        <f t="shared" si="328"/>
        <v>1</v>
      </c>
      <c r="AB369" s="38">
        <f t="shared" si="329"/>
        <v>0</v>
      </c>
      <c r="AC369" s="38">
        <f t="shared" si="330"/>
        <v>0</v>
      </c>
      <c r="AD369" s="38">
        <f t="shared" si="331"/>
        <v>0</v>
      </c>
      <c r="AE369" s="38" t="str">
        <f t="shared" si="332"/>
        <v>-</v>
      </c>
      <c r="AP369" s="22"/>
      <c r="AQ369" s="46"/>
      <c r="AR369" s="28"/>
      <c r="AS369" s="28"/>
      <c r="AT369" s="28"/>
      <c r="AU369" s="28"/>
      <c r="AV369" s="28"/>
      <c r="AW369" s="28"/>
      <c r="AX369" s="28"/>
      <c r="AY369" s="28"/>
      <c r="AZ369" s="28"/>
      <c r="BA369" s="28"/>
      <c r="BB369" s="28"/>
      <c r="BC369" s="28"/>
      <c r="BD369" s="28"/>
      <c r="BE369" s="28"/>
      <c r="BF369" s="28"/>
      <c r="BG369" s="28"/>
      <c r="BH369" s="28"/>
      <c r="BI369" s="28"/>
      <c r="BJ369" s="28"/>
      <c r="BK369" s="51"/>
      <c r="BL369" s="158" t="s">
        <v>102</v>
      </c>
      <c r="BM369" s="159"/>
      <c r="BN369" s="42" t="s">
        <v>103</v>
      </c>
      <c r="BO369" s="119"/>
      <c r="BP369" s="120"/>
      <c r="BQ369" s="121"/>
      <c r="BR369" s="160" t="s">
        <v>124</v>
      </c>
      <c r="BS369" s="161"/>
      <c r="BT369" s="164"/>
      <c r="BU369" s="165"/>
      <c r="BV369" s="165"/>
      <c r="BW369" s="165"/>
      <c r="BX369" s="166"/>
      <c r="BY369" s="122"/>
      <c r="BZ369" s="123"/>
      <c r="CA369" s="123"/>
      <c r="CB369" s="124"/>
      <c r="CC369" s="122"/>
      <c r="CD369" s="123"/>
      <c r="CE369" s="123"/>
      <c r="CF369" s="215"/>
    </row>
    <row r="370" spans="22:84" ht="14.4" customHeight="1" x14ac:dyDescent="0.3">
      <c r="V370" s="49" t="str">
        <f t="shared" si="333"/>
        <v/>
      </c>
      <c r="W370" s="38" t="str" cm="1">
        <f t="array" ref="W370">IF(Y356="", "", IF(AND(Y356&lt;=MIN(AF356:AO356),Z356&gt;=MAX(AF356:AO356)),"ACCEPT",IF(AND(AF356:AO356="OK"),"ACCEPT","REJECT")))</f>
        <v/>
      </c>
      <c r="X370" s="38" t="str">
        <f t="shared" si="325"/>
        <v/>
      </c>
      <c r="Y370" s="38" t="str">
        <f t="shared" si="326"/>
        <v/>
      </c>
      <c r="Z370" s="38" t="str">
        <f t="shared" si="327"/>
        <v/>
      </c>
      <c r="AA370" s="38">
        <f t="shared" si="328"/>
        <v>1</v>
      </c>
      <c r="AB370" s="38">
        <f t="shared" si="329"/>
        <v>0</v>
      </c>
      <c r="AC370" s="38">
        <f t="shared" si="330"/>
        <v>0</v>
      </c>
      <c r="AD370" s="38">
        <f t="shared" si="331"/>
        <v>0</v>
      </c>
      <c r="AE370" s="38" t="str">
        <f t="shared" si="332"/>
        <v>-</v>
      </c>
      <c r="AP370" s="22"/>
      <c r="AQ370" s="46"/>
      <c r="AR370" s="28"/>
      <c r="AS370" s="28"/>
      <c r="AT370" s="28"/>
      <c r="AU370" s="28"/>
      <c r="AV370" s="28"/>
      <c r="AW370" s="28"/>
      <c r="AX370" s="28"/>
      <c r="AY370" s="28"/>
      <c r="AZ370" s="28"/>
      <c r="BA370" s="28"/>
      <c r="BB370" s="28"/>
      <c r="BC370" s="28"/>
      <c r="BD370" s="28"/>
      <c r="BE370" s="28"/>
      <c r="BF370" s="28"/>
      <c r="BG370" s="28"/>
      <c r="BH370" s="28"/>
      <c r="BI370" s="28"/>
      <c r="BJ370" s="28"/>
      <c r="BK370" s="51"/>
      <c r="BL370" s="210" t="s">
        <v>105</v>
      </c>
      <c r="BM370" s="211"/>
      <c r="BN370" s="28" t="s">
        <v>101</v>
      </c>
      <c r="BO370" s="125"/>
      <c r="BP370" s="126"/>
      <c r="BQ370" s="127"/>
      <c r="BR370" s="162"/>
      <c r="BS370" s="163"/>
      <c r="BT370" s="167"/>
      <c r="BU370" s="168"/>
      <c r="BV370" s="168"/>
      <c r="BW370" s="168"/>
      <c r="BX370" s="169"/>
      <c r="BY370" s="122"/>
      <c r="BZ370" s="123"/>
      <c r="CA370" s="123"/>
      <c r="CB370" s="124"/>
      <c r="CC370" s="122"/>
      <c r="CD370" s="123"/>
      <c r="CE370" s="123"/>
      <c r="CF370" s="215"/>
    </row>
    <row r="371" spans="22:84" ht="14.4" customHeight="1" x14ac:dyDescent="0.3">
      <c r="V371" s="49" t="str">
        <f t="shared" si="333"/>
        <v/>
      </c>
      <c r="W371" s="38" t="str" cm="1">
        <f t="array" ref="W371">IF(Y357="", "", IF(AND(Y357&lt;=MIN(AF357:AO357),Z357&gt;=MAX(AF357:AO357)),"ACCEPT",IF(AND(AF357:AO357="OK"),"ACCEPT","REJECT")))</f>
        <v/>
      </c>
      <c r="X371" s="38" t="str">
        <f t="shared" si="325"/>
        <v/>
      </c>
      <c r="Y371" s="38" t="str">
        <f t="shared" si="326"/>
        <v/>
      </c>
      <c r="Z371" s="38" t="str">
        <f t="shared" si="327"/>
        <v/>
      </c>
      <c r="AA371" s="38">
        <f t="shared" si="328"/>
        <v>1</v>
      </c>
      <c r="AB371" s="38">
        <f t="shared" si="329"/>
        <v>0</v>
      </c>
      <c r="AC371" s="38">
        <f t="shared" si="330"/>
        <v>0</v>
      </c>
      <c r="AD371" s="38">
        <f t="shared" si="331"/>
        <v>0</v>
      </c>
      <c r="AE371" s="38" t="str">
        <f t="shared" si="332"/>
        <v>-</v>
      </c>
      <c r="AP371" s="22"/>
      <c r="AQ371" s="46"/>
      <c r="AR371" s="28"/>
      <c r="AS371" s="28"/>
      <c r="AT371" s="28"/>
      <c r="AU371" s="28"/>
      <c r="AV371" s="28"/>
      <c r="AW371" s="28"/>
      <c r="AX371" s="28"/>
      <c r="AY371" s="28"/>
      <c r="AZ371" s="28"/>
      <c r="BA371" s="28"/>
      <c r="BB371" s="28"/>
      <c r="BC371" s="28"/>
      <c r="BD371" s="28"/>
      <c r="BE371" s="28"/>
      <c r="BF371" s="28"/>
      <c r="BG371" s="28"/>
      <c r="BH371" s="28"/>
      <c r="BI371" s="28"/>
      <c r="BJ371" s="28"/>
      <c r="BK371" s="51"/>
      <c r="BL371" s="212" t="s">
        <v>106</v>
      </c>
      <c r="BM371" s="205"/>
      <c r="BN371" s="206"/>
      <c r="BO371" s="213" t="s">
        <v>107</v>
      </c>
      <c r="BP371" s="159"/>
      <c r="BQ371" s="43"/>
      <c r="BR371" s="220" t="s">
        <v>108</v>
      </c>
      <c r="BS371" s="44" t="s">
        <v>109</v>
      </c>
      <c r="BT371" s="45"/>
      <c r="BU371" s="220" t="s">
        <v>110</v>
      </c>
      <c r="BV371" s="119"/>
      <c r="BW371" s="120"/>
      <c r="BX371" s="121"/>
      <c r="BY371" s="122"/>
      <c r="BZ371" s="123"/>
      <c r="CA371" s="123"/>
      <c r="CB371" s="124"/>
      <c r="CC371" s="122"/>
      <c r="CD371" s="123"/>
      <c r="CE371" s="123"/>
      <c r="CF371" s="215"/>
    </row>
    <row r="372" spans="22:84" ht="14.4" customHeight="1" x14ac:dyDescent="0.3">
      <c r="V372" s="49" t="str">
        <f t="shared" si="333"/>
        <v/>
      </c>
      <c r="W372" s="38" t="str" cm="1">
        <f t="array" ref="W372">IF(Y358="", "", IF(AND(Y358&lt;=MIN(AF358:AO358),Z358&gt;=MAX(AF358:AO358)),"ACCEPT",IF(AND(AF358:AO358="OK"),"ACCEPT","REJECT")))</f>
        <v/>
      </c>
      <c r="X372" s="38" t="str">
        <f t="shared" si="325"/>
        <v/>
      </c>
      <c r="Y372" s="38" t="str">
        <f t="shared" si="326"/>
        <v/>
      </c>
      <c r="Z372" s="38" t="str">
        <f t="shared" si="327"/>
        <v/>
      </c>
      <c r="AA372" s="38">
        <f t="shared" si="328"/>
        <v>1</v>
      </c>
      <c r="AB372" s="38">
        <f t="shared" si="329"/>
        <v>0</v>
      </c>
      <c r="AC372" s="38">
        <f t="shared" si="330"/>
        <v>0</v>
      </c>
      <c r="AD372" s="38">
        <f t="shared" si="331"/>
        <v>0</v>
      </c>
      <c r="AE372" s="38" t="str">
        <f t="shared" si="332"/>
        <v>-</v>
      </c>
      <c r="AP372" s="22"/>
      <c r="AQ372" s="46"/>
      <c r="AR372" s="28"/>
      <c r="AS372" s="28"/>
      <c r="AT372" s="28"/>
      <c r="AU372" s="28"/>
      <c r="AV372" s="28"/>
      <c r="AW372" s="28"/>
      <c r="AX372" s="28"/>
      <c r="AY372" s="28"/>
      <c r="AZ372" s="28"/>
      <c r="BA372" s="28"/>
      <c r="BB372" s="28"/>
      <c r="BC372" s="28"/>
      <c r="BD372" s="28"/>
      <c r="BE372" s="28"/>
      <c r="BF372" s="28"/>
      <c r="BG372" s="28"/>
      <c r="BH372" s="28"/>
      <c r="BI372" s="28"/>
      <c r="BJ372" s="28"/>
      <c r="BK372" s="51"/>
      <c r="BL372" s="199"/>
      <c r="BM372" s="154"/>
      <c r="BN372" s="200"/>
      <c r="BO372" s="201"/>
      <c r="BP372" s="202"/>
      <c r="BQ372" s="203"/>
      <c r="BR372" s="221"/>
      <c r="BS372" s="44" t="s">
        <v>112</v>
      </c>
      <c r="BT372" s="45"/>
      <c r="BU372" s="221"/>
      <c r="BV372" s="125"/>
      <c r="BW372" s="126"/>
      <c r="BX372" s="127"/>
      <c r="BY372" s="122"/>
      <c r="BZ372" s="123"/>
      <c r="CA372" s="123"/>
      <c r="CB372" s="124"/>
      <c r="CC372" s="122"/>
      <c r="CD372" s="123"/>
      <c r="CE372" s="123"/>
      <c r="CF372" s="215"/>
    </row>
    <row r="373" spans="22:84" ht="14.4" customHeight="1" x14ac:dyDescent="0.3">
      <c r="V373" s="49" t="str">
        <f t="shared" si="333"/>
        <v/>
      </c>
      <c r="W373" s="38" t="str" cm="1">
        <f t="array" ref="W373">IF(Y359="", "", IF(AND(Y359&lt;=MIN(AF359:AO359),Z359&gt;=MAX(AF359:AO359)),"ACCEPT",IF(AND(AF359:AO359="OK"),"ACCEPT","REJECT")))</f>
        <v/>
      </c>
      <c r="X373" s="38" t="str">
        <f t="shared" si="325"/>
        <v/>
      </c>
      <c r="Y373" s="38" t="str">
        <f t="shared" si="326"/>
        <v/>
      </c>
      <c r="Z373" s="38" t="str">
        <f t="shared" si="327"/>
        <v/>
      </c>
      <c r="AA373" s="38">
        <f t="shared" si="328"/>
        <v>1</v>
      </c>
      <c r="AB373" s="38">
        <f t="shared" si="329"/>
        <v>0</v>
      </c>
      <c r="AC373" s="38">
        <f t="shared" si="330"/>
        <v>0</v>
      </c>
      <c r="AD373" s="38">
        <f t="shared" si="331"/>
        <v>0</v>
      </c>
      <c r="AE373" s="38" t="str">
        <f t="shared" si="332"/>
        <v>-</v>
      </c>
      <c r="AP373" s="22"/>
      <c r="AQ373" s="46"/>
      <c r="AR373" s="28"/>
      <c r="AS373" s="28"/>
      <c r="AT373" s="28"/>
      <c r="AU373" s="28"/>
      <c r="AV373" s="28"/>
      <c r="AW373" s="28"/>
      <c r="AX373" s="28"/>
      <c r="AY373" s="28"/>
      <c r="AZ373" s="28"/>
      <c r="BA373" s="28"/>
      <c r="BB373" s="28"/>
      <c r="BC373" s="28"/>
      <c r="BD373" s="28"/>
      <c r="BE373" s="28"/>
      <c r="BF373" s="28"/>
      <c r="BG373" s="28"/>
      <c r="BH373" s="28"/>
      <c r="BI373" s="28"/>
      <c r="BJ373" s="28"/>
      <c r="BK373" s="51"/>
      <c r="BL373" s="170"/>
      <c r="BM373" s="171"/>
      <c r="BN373" s="172"/>
      <c r="BO373" s="179"/>
      <c r="BP373" s="171"/>
      <c r="BQ373" s="172"/>
      <c r="BR373" s="179"/>
      <c r="BS373" s="171"/>
      <c r="BT373" s="171"/>
      <c r="BU373" s="171"/>
      <c r="BV373" s="171"/>
      <c r="BW373" s="171"/>
      <c r="BX373" s="172"/>
      <c r="BY373" s="122"/>
      <c r="BZ373" s="123"/>
      <c r="CA373" s="123"/>
      <c r="CB373" s="124"/>
      <c r="CC373" s="122"/>
      <c r="CD373" s="123"/>
      <c r="CE373" s="123"/>
      <c r="CF373" s="215"/>
    </row>
    <row r="374" spans="22:84" ht="14.4" customHeight="1" x14ac:dyDescent="0.3">
      <c r="V374" s="49" t="str">
        <f t="shared" si="333"/>
        <v/>
      </c>
      <c r="W374" s="38" t="str" cm="1">
        <f t="array" ref="W374">IF(Y360="", "", IF(AND(Y360&lt;=MIN(AF360:AO360),Z360&gt;=MAX(AF360:AO360)),"ACCEPT",IF(AND(AF360:AO360="OK"),"ACCEPT","REJECT")))</f>
        <v/>
      </c>
      <c r="X374" s="38" t="str">
        <f t="shared" si="325"/>
        <v/>
      </c>
      <c r="Y374" s="38" t="str">
        <f t="shared" si="326"/>
        <v/>
      </c>
      <c r="Z374" s="38" t="str">
        <f t="shared" si="327"/>
        <v/>
      </c>
      <c r="AA374" s="38">
        <f t="shared" si="328"/>
        <v>1</v>
      </c>
      <c r="AB374" s="38">
        <f t="shared" si="329"/>
        <v>0</v>
      </c>
      <c r="AC374" s="38">
        <f t="shared" si="330"/>
        <v>0</v>
      </c>
      <c r="AD374" s="38">
        <f t="shared" si="331"/>
        <v>0</v>
      </c>
      <c r="AE374" s="38" t="str">
        <f t="shared" si="332"/>
        <v>-</v>
      </c>
      <c r="AP374" s="22"/>
      <c r="AQ374" s="46"/>
      <c r="AR374" s="28"/>
      <c r="AS374" s="28"/>
      <c r="AT374" s="28"/>
      <c r="AU374" s="28"/>
      <c r="AV374" s="28"/>
      <c r="AW374" s="28"/>
      <c r="AX374" s="28"/>
      <c r="AY374" s="28"/>
      <c r="AZ374" s="28"/>
      <c r="BA374" s="28"/>
      <c r="BB374" s="28"/>
      <c r="BC374" s="28"/>
      <c r="BD374" s="28"/>
      <c r="BE374" s="28"/>
      <c r="BF374" s="28"/>
      <c r="BG374" s="28"/>
      <c r="BH374" s="28"/>
      <c r="BI374" s="28"/>
      <c r="BJ374" s="28"/>
      <c r="BK374" s="51"/>
      <c r="BL374" s="173"/>
      <c r="BM374" s="174"/>
      <c r="BN374" s="175"/>
      <c r="BO374" s="180"/>
      <c r="BP374" s="174"/>
      <c r="BQ374" s="175"/>
      <c r="BR374" s="180"/>
      <c r="BS374" s="174"/>
      <c r="BT374" s="174"/>
      <c r="BU374" s="174"/>
      <c r="BV374" s="174"/>
      <c r="BW374" s="174"/>
      <c r="BX374" s="175"/>
      <c r="BY374" s="122"/>
      <c r="BZ374" s="123"/>
      <c r="CA374" s="123"/>
      <c r="CB374" s="124"/>
      <c r="CC374" s="122"/>
      <c r="CD374" s="123"/>
      <c r="CE374" s="123"/>
      <c r="CF374" s="215"/>
    </row>
    <row r="375" spans="22:84" ht="14.4" customHeight="1" thickBot="1" x14ac:dyDescent="0.35">
      <c r="V375" s="49" t="str">
        <f t="shared" si="333"/>
        <v/>
      </c>
      <c r="W375" s="38" t="str" cm="1">
        <f t="array" ref="W375">IF(Y361="", "", IF(AND(Y361&lt;=MIN(AF361:AO361),Z361&gt;=MAX(AF361:AO361)),"ACCEPT",IF(AND(AF361:AO361="OK"),"ACCEPT","REJECT")))</f>
        <v/>
      </c>
      <c r="X375" s="38" t="str">
        <f t="shared" si="325"/>
        <v/>
      </c>
      <c r="Y375" s="38" t="str">
        <f t="shared" si="326"/>
        <v/>
      </c>
      <c r="Z375" s="38" t="str">
        <f t="shared" si="327"/>
        <v/>
      </c>
      <c r="AA375" s="38">
        <f t="shared" si="328"/>
        <v>1</v>
      </c>
      <c r="AB375" s="38">
        <f t="shared" si="329"/>
        <v>0</v>
      </c>
      <c r="AC375" s="38">
        <f t="shared" si="330"/>
        <v>0</v>
      </c>
      <c r="AD375" s="38">
        <f t="shared" si="331"/>
        <v>0</v>
      </c>
      <c r="AE375" s="38" t="str">
        <f t="shared" si="332"/>
        <v>-</v>
      </c>
      <c r="AP375" s="22"/>
      <c r="AQ375" s="358" t="s">
        <v>113</v>
      </c>
      <c r="AR375" s="145"/>
      <c r="AS375" s="145"/>
      <c r="AT375" s="145"/>
      <c r="AU375" s="145"/>
      <c r="AV375" s="145"/>
      <c r="AW375" s="145"/>
      <c r="AX375" s="145"/>
      <c r="AY375" s="285"/>
      <c r="AZ375" s="285"/>
      <c r="BA375" s="285"/>
      <c r="BB375" s="285"/>
      <c r="BC375" s="285"/>
      <c r="BD375" s="285"/>
      <c r="BE375" s="285"/>
      <c r="BF375" s="286"/>
      <c r="BK375" s="22"/>
      <c r="BL375" s="173"/>
      <c r="BM375" s="174"/>
      <c r="BN375" s="175"/>
      <c r="BO375" s="180"/>
      <c r="BP375" s="174"/>
      <c r="BQ375" s="175"/>
      <c r="BR375" s="180"/>
      <c r="BS375" s="174"/>
      <c r="BT375" s="174"/>
      <c r="BU375" s="174"/>
      <c r="BV375" s="174"/>
      <c r="BW375" s="174"/>
      <c r="BX375" s="175"/>
      <c r="BY375" s="122"/>
      <c r="BZ375" s="123"/>
      <c r="CA375" s="123"/>
      <c r="CB375" s="124"/>
      <c r="CC375" s="122"/>
      <c r="CD375" s="123"/>
      <c r="CE375" s="123"/>
      <c r="CF375" s="215"/>
    </row>
    <row r="376" spans="22:84" ht="14.4" customHeight="1" x14ac:dyDescent="0.3">
      <c r="V376" s="49" t="str">
        <f>IF(ISBLANK(V362),"",V362)</f>
        <v/>
      </c>
      <c r="W376" s="38" t="str" cm="1">
        <f t="array" ref="W376">IF(Y362="", "", IF(AND(Y362&lt;=MIN(AF362:AO362),Z362&gt;=MAX(AF362:AO362)),"ACCEPT",IF(AND(AF362:AO362="OK"),"ACCEPT","REJECT")))</f>
        <v/>
      </c>
      <c r="X376" s="38" t="str">
        <f t="shared" si="325"/>
        <v/>
      </c>
      <c r="Y376" s="38" t="str">
        <f t="shared" si="326"/>
        <v/>
      </c>
      <c r="Z376" s="38" t="str">
        <f t="shared" si="327"/>
        <v/>
      </c>
      <c r="AA376" s="38">
        <f t="shared" si="328"/>
        <v>1</v>
      </c>
      <c r="AB376" s="38">
        <f t="shared" si="329"/>
        <v>0</v>
      </c>
      <c r="AC376" s="38">
        <f t="shared" si="330"/>
        <v>0</v>
      </c>
      <c r="AD376" s="38">
        <f t="shared" si="331"/>
        <v>0</v>
      </c>
      <c r="AE376" s="38" t="str">
        <f t="shared" si="332"/>
        <v>-</v>
      </c>
      <c r="AP376" s="22"/>
      <c r="AQ376" s="52"/>
      <c r="AR376" s="53" t="s">
        <v>114</v>
      </c>
      <c r="AS376" s="53" t="s">
        <v>115</v>
      </c>
      <c r="AT376" s="53" t="s">
        <v>116</v>
      </c>
      <c r="AU376" s="53" t="s">
        <v>119</v>
      </c>
      <c r="AV376" s="53" t="s">
        <v>120</v>
      </c>
      <c r="AW376" s="53" t="s">
        <v>121</v>
      </c>
      <c r="AX376" s="54" t="s">
        <v>122</v>
      </c>
      <c r="AY376" s="52"/>
      <c r="AZ376" s="53" t="s">
        <v>114</v>
      </c>
      <c r="BA376" s="53" t="s">
        <v>115</v>
      </c>
      <c r="BB376" s="53" t="s">
        <v>116</v>
      </c>
      <c r="BC376" s="53" t="s">
        <v>119</v>
      </c>
      <c r="BD376" s="53" t="s">
        <v>120</v>
      </c>
      <c r="BE376" s="53" t="s">
        <v>121</v>
      </c>
      <c r="BF376" s="54" t="s">
        <v>122</v>
      </c>
      <c r="BK376" s="22"/>
      <c r="BL376" s="173"/>
      <c r="BM376" s="174"/>
      <c r="BN376" s="175"/>
      <c r="BO376" s="180"/>
      <c r="BP376" s="174"/>
      <c r="BQ376" s="175"/>
      <c r="BR376" s="180"/>
      <c r="BS376" s="174"/>
      <c r="BT376" s="174"/>
      <c r="BU376" s="174"/>
      <c r="BV376" s="174"/>
      <c r="BW376" s="174"/>
      <c r="BX376" s="175"/>
      <c r="BY376" s="122"/>
      <c r="BZ376" s="123"/>
      <c r="CA376" s="123"/>
      <c r="CB376" s="124"/>
      <c r="CC376" s="122"/>
      <c r="CD376" s="123"/>
      <c r="CE376" s="123"/>
      <c r="CF376" s="215"/>
    </row>
    <row r="377" spans="22:84" ht="14.4" customHeight="1" x14ac:dyDescent="0.3">
      <c r="V377" s="55"/>
      <c r="W377" s="56"/>
      <c r="X377" s="56"/>
      <c r="Y377" s="56"/>
      <c r="Z377" s="56"/>
      <c r="AP377" s="22"/>
      <c r="AQ377" s="49" t="str">
        <f>IF(ISBLANK(V351),"",V351)</f>
        <v/>
      </c>
      <c r="AR377" s="38" t="str" cm="1">
        <f t="array" ref="AR377">IF(AT350="", "", IF(AND(AT350&lt;=MIN(AZ350:BK350,AQ363:BK363),AU350&gt;=MAX(AZ350:BK350,AQ363:BK363)),"ACCEPT",IF(AND(AZ350:BK350,AQ363:BK363="OK"),"ACCEPT","REJECT")))</f>
        <v/>
      </c>
      <c r="AS377" s="38" t="str">
        <f t="shared" ref="AS377:AS382" si="334">IF(TRIM(AR377)="", "", MAX(AZ350:BK350,AQ363:BK363))</f>
        <v/>
      </c>
      <c r="AT377" s="38" t="str">
        <f t="shared" ref="AT377:AT382" si="335">IF(TRIM(AR377)="", "", MIN(AZ350:BK350,AQ363:BK363))</f>
        <v/>
      </c>
      <c r="AU377" s="38">
        <f t="shared" ref="AU377:AU382" si="336">IF(COUNT(AZ350:BK350,AQ363:BK363)=0,0,AVERAGE(AZ350:BK350,AQ363:BK363))</f>
        <v>0</v>
      </c>
      <c r="AV377" s="38">
        <f t="shared" ref="AV377:AV382" si="337">MAX(AZ350:BK350,AQ363:BK363)-MIN(AZ350:BK350,AQ363:BK363)</f>
        <v>0</v>
      </c>
      <c r="AW377" s="38">
        <f t="shared" ref="AW377:AW382" si="338">IF(COUNT(AZ350:BK350,AQ363:BK363)=0,0,_xlfn.STDEV.S(AZ350:BK350,AQ363:BK363))</f>
        <v>0</v>
      </c>
      <c r="AX377" s="57" t="str">
        <f t="shared" ref="AX377:AX382" si="339">IF(AU377=0,"-",IF(AU377-AT350&lt;AU350-AU377,AU377-AT350,AU350-AU377)/(AW377*3))</f>
        <v>-</v>
      </c>
      <c r="AY377" s="49" t="str">
        <f>IF(ISBLANK(V357),"",V357)</f>
        <v/>
      </c>
      <c r="AZ377" s="38" t="str" cm="1">
        <f t="array" ref="AZ377">IF(AT356="", "", IF(AND(Y357&lt;=MIN(AZ356:BK356,AQ369:BK369),AU356&gt;=MAX(AZ356:BK356,AQ369:BK369)),"ACCEPT",IF(AND(AZ356:BK356,AQ369:BK369="OK"),"ACCEPT","REJECT")))</f>
        <v/>
      </c>
      <c r="BA377" s="38" t="str">
        <f t="shared" ref="BA377:BA382" si="340">IF(TRIM(AZ377)="", "", MAX(AZ356:BK356,AQ369:BK369))</f>
        <v/>
      </c>
      <c r="BB377" s="38" t="str">
        <f t="shared" ref="BB377:BB382" si="341">IF(TRIM(AZ377)="", "", MIN(AZ356:BK356,AQ369:BK369))</f>
        <v/>
      </c>
      <c r="BC377" s="38">
        <f t="shared" ref="BC377:BC382" si="342">IF(COUNT(AZ356:BK356,AQ369:BK369)=0,0,AVERAGE(AZ356:BK356,AQ369:BK369))</f>
        <v>0</v>
      </c>
      <c r="BD377" s="38">
        <f t="shared" ref="BD377:BD382" si="343">MAX(AZ356:BK356,AQ369:BK369)-MIN(AZ356:BK356,AQ369:BK369)</f>
        <v>0</v>
      </c>
      <c r="BE377" s="38">
        <f t="shared" ref="BE377:BE382" si="344">IF(COUNT(AZ356:BK356,AQ369:BK369)=0,0,_xlfn.STDEV.S(AZ356:BK356,AQ369:BK369))</f>
        <v>0</v>
      </c>
      <c r="BF377" s="57" t="str">
        <f t="shared" ref="BF377:BF382" si="345">IF(BC377=0,"-",IF(BC377-AT356&lt;AU356-BC377,BC377-AT356,AU356-BC377)/(BE377*3))</f>
        <v>-</v>
      </c>
      <c r="BK377" s="22"/>
      <c r="BL377" s="173"/>
      <c r="BM377" s="174"/>
      <c r="BN377" s="175"/>
      <c r="BO377" s="180"/>
      <c r="BP377" s="174"/>
      <c r="BQ377" s="175"/>
      <c r="BR377" s="180"/>
      <c r="BS377" s="174"/>
      <c r="BT377" s="174"/>
      <c r="BU377" s="174"/>
      <c r="BV377" s="174"/>
      <c r="BW377" s="174"/>
      <c r="BX377" s="175"/>
      <c r="BY377" s="122"/>
      <c r="BZ377" s="123"/>
      <c r="CA377" s="123"/>
      <c r="CB377" s="124"/>
      <c r="CC377" s="122"/>
      <c r="CD377" s="123"/>
      <c r="CE377" s="123"/>
      <c r="CF377" s="215"/>
    </row>
    <row r="378" spans="22:84" ht="14.4" customHeight="1" x14ac:dyDescent="0.3">
      <c r="V378" s="58" t="s">
        <v>35</v>
      </c>
      <c r="W378" s="247"/>
      <c r="X378" s="248"/>
      <c r="Y378" s="277" t="s">
        <v>37</v>
      </c>
      <c r="Z378" s="278"/>
      <c r="AB378" s="253" t="s">
        <v>125</v>
      </c>
      <c r="AC378" s="171"/>
      <c r="AD378" s="171"/>
      <c r="AE378" s="172"/>
      <c r="AG378" s="249" t="s">
        <v>126</v>
      </c>
      <c r="AH378" s="250"/>
      <c r="AI378" s="249" t="s">
        <v>9</v>
      </c>
      <c r="AJ378" s="250"/>
      <c r="AL378" s="249" t="s">
        <v>126</v>
      </c>
      <c r="AM378" s="250"/>
      <c r="AN378" s="249" t="s">
        <v>9</v>
      </c>
      <c r="AO378" s="250"/>
      <c r="AP378" s="22"/>
      <c r="AQ378" s="49" t="str">
        <f t="shared" ref="AQ378:AQ382" si="346">IF(ISBLANK(V352),"",V352)</f>
        <v/>
      </c>
      <c r="AR378" s="38" t="str" cm="1">
        <f t="array" ref="AR378">IF(AT351="", "", IF(AND(AT351&lt;=MIN(AZ351:BK351,AQ364:BK364),AU351&gt;=MAX(AZ351:BK351,AQ364:BK364)),"ACCEPT",IF(AND(AZ351:BK351,AQ364:BK364="OK"),"ACCEPT","REJECT")))</f>
        <v/>
      </c>
      <c r="AS378" s="38" t="str">
        <f t="shared" si="334"/>
        <v/>
      </c>
      <c r="AT378" s="38" t="str">
        <f t="shared" si="335"/>
        <v/>
      </c>
      <c r="AU378" s="38">
        <f t="shared" si="336"/>
        <v>0</v>
      </c>
      <c r="AV378" s="38">
        <f t="shared" si="337"/>
        <v>0</v>
      </c>
      <c r="AW378" s="38">
        <f t="shared" si="338"/>
        <v>0</v>
      </c>
      <c r="AX378" s="57" t="str">
        <f t="shared" si="339"/>
        <v>-</v>
      </c>
      <c r="AY378" s="49" t="str">
        <f t="shared" ref="AY378:AY382" si="347">IF(ISBLANK(V358),"",V358)</f>
        <v/>
      </c>
      <c r="AZ378" s="38" t="str" cm="1">
        <f t="array" ref="AZ378">IF(AT357="", "", IF(AND(Y358&lt;=MIN(AZ357:BK357,AQ370:BK370),AU357&gt;=MAX(AZ357:BK357,AQ370:BK370)),"ACCEPT",IF(AND(AZ357:BK357,AQ370:BK370="OK"),"ACCEPT","REJECT")))</f>
        <v/>
      </c>
      <c r="BA378" s="38" t="str">
        <f t="shared" si="340"/>
        <v/>
      </c>
      <c r="BB378" s="38" t="str">
        <f t="shared" si="341"/>
        <v/>
      </c>
      <c r="BC378" s="38">
        <f t="shared" si="342"/>
        <v>0</v>
      </c>
      <c r="BD378" s="38">
        <f t="shared" si="343"/>
        <v>0</v>
      </c>
      <c r="BE378" s="38">
        <f t="shared" si="344"/>
        <v>0</v>
      </c>
      <c r="BF378" s="57" t="str">
        <f t="shared" si="345"/>
        <v>-</v>
      </c>
      <c r="BG378" s="61" t="s">
        <v>126</v>
      </c>
      <c r="BH378" s="60"/>
      <c r="BI378" s="59" t="s">
        <v>9</v>
      </c>
      <c r="BJ378" s="60"/>
      <c r="BK378" s="22"/>
      <c r="BL378" s="173"/>
      <c r="BM378" s="174"/>
      <c r="BN378" s="175"/>
      <c r="BO378" s="180"/>
      <c r="BP378" s="174"/>
      <c r="BQ378" s="175"/>
      <c r="BR378" s="180"/>
      <c r="BS378" s="174"/>
      <c r="BT378" s="174"/>
      <c r="BU378" s="174"/>
      <c r="BV378" s="174"/>
      <c r="BW378" s="174"/>
      <c r="BX378" s="175"/>
      <c r="BY378" s="122"/>
      <c r="BZ378" s="123"/>
      <c r="CA378" s="123"/>
      <c r="CB378" s="124"/>
      <c r="CC378" s="122"/>
      <c r="CD378" s="123"/>
      <c r="CE378" s="123"/>
      <c r="CF378" s="215"/>
    </row>
    <row r="379" spans="22:84" ht="14.4" customHeight="1" x14ac:dyDescent="0.3">
      <c r="V379" s="33"/>
      <c r="Y379" s="279"/>
      <c r="Z379" s="280"/>
      <c r="AB379" s="259"/>
      <c r="AC379" s="177"/>
      <c r="AD379" s="177"/>
      <c r="AE379" s="178"/>
      <c r="AG379" s="179"/>
      <c r="AH379" s="172"/>
      <c r="AI379" s="179"/>
      <c r="AJ379" s="172"/>
      <c r="AL379" s="179"/>
      <c r="AM379" s="172"/>
      <c r="AN379" s="179"/>
      <c r="AO379" s="172"/>
      <c r="AP379" s="22"/>
      <c r="AQ379" s="49" t="str">
        <f t="shared" si="346"/>
        <v/>
      </c>
      <c r="AR379" s="38" t="str" cm="1">
        <f t="array" ref="AR379">IF(AT352="", "", IF(AND(AT352&lt;=MIN(AZ352:BK352,AQ365:BK365),AU352&gt;=MAX(AZ352:BK352,AQ365:BK365)),"ACCEPT",IF(AND(AZ352:BK352,AQ365:BK365="OK"),"ACCEPT","REJECT")))</f>
        <v/>
      </c>
      <c r="AS379" s="38" t="str">
        <f t="shared" si="334"/>
        <v/>
      </c>
      <c r="AT379" s="38" t="str">
        <f t="shared" si="335"/>
        <v/>
      </c>
      <c r="AU379" s="38">
        <f t="shared" si="336"/>
        <v>0</v>
      </c>
      <c r="AV379" s="38">
        <f t="shared" si="337"/>
        <v>0</v>
      </c>
      <c r="AW379" s="38">
        <f t="shared" si="338"/>
        <v>0</v>
      </c>
      <c r="AX379" s="57" t="str">
        <f t="shared" si="339"/>
        <v>-</v>
      </c>
      <c r="AY379" s="49" t="str">
        <f t="shared" si="347"/>
        <v/>
      </c>
      <c r="AZ379" s="38" t="str" cm="1">
        <f t="array" ref="AZ379">IF(AT358="", "", IF(AND(Y359&lt;=MIN(AZ358:BK358,AQ371:BK371),AU358&gt;=MAX(AZ358:BK358,AQ371:BK371)),"ACCEPT",IF(AND(AZ358:BK358,AQ371:BK371="OK"),"ACCEPT","REJECT")))</f>
        <v/>
      </c>
      <c r="BA379" s="38" t="str">
        <f t="shared" si="340"/>
        <v/>
      </c>
      <c r="BB379" s="38" t="str">
        <f t="shared" si="341"/>
        <v/>
      </c>
      <c r="BC379" s="38">
        <f t="shared" si="342"/>
        <v>0</v>
      </c>
      <c r="BD379" s="38">
        <f t="shared" si="343"/>
        <v>0</v>
      </c>
      <c r="BE379" s="38">
        <f t="shared" si="344"/>
        <v>0</v>
      </c>
      <c r="BF379" s="57" t="str">
        <f t="shared" si="345"/>
        <v>-</v>
      </c>
      <c r="BG379" s="170"/>
      <c r="BH379" s="172"/>
      <c r="BI379" s="179"/>
      <c r="BJ379" s="172"/>
      <c r="BK379" s="22"/>
      <c r="BL379" s="173"/>
      <c r="BM379" s="174"/>
      <c r="BN379" s="175"/>
      <c r="BO379" s="180"/>
      <c r="BP379" s="174"/>
      <c r="BQ379" s="175"/>
      <c r="BR379" s="180"/>
      <c r="BS379" s="174"/>
      <c r="BT379" s="174"/>
      <c r="BU379" s="174"/>
      <c r="BV379" s="174"/>
      <c r="BW379" s="174"/>
      <c r="BX379" s="175"/>
      <c r="BY379" s="122"/>
      <c r="BZ379" s="123"/>
      <c r="CA379" s="123"/>
      <c r="CB379" s="124"/>
      <c r="CC379" s="122"/>
      <c r="CD379" s="123"/>
      <c r="CE379" s="123"/>
      <c r="CF379" s="215"/>
    </row>
    <row r="380" spans="22:84" ht="14.4" customHeight="1" x14ac:dyDescent="0.3">
      <c r="V380" s="33" t="s">
        <v>36</v>
      </c>
      <c r="W380" s="247"/>
      <c r="X380" s="248"/>
      <c r="Y380" s="281"/>
      <c r="Z380" s="282"/>
      <c r="AB380" s="273" t="s">
        <v>141</v>
      </c>
      <c r="AC380" s="48" t="s">
        <v>127</v>
      </c>
      <c r="AD380" s="276" t="s">
        <v>128</v>
      </c>
      <c r="AE380" s="276"/>
      <c r="AG380" s="180"/>
      <c r="AH380" s="175"/>
      <c r="AI380" s="180"/>
      <c r="AJ380" s="175"/>
      <c r="AL380" s="180"/>
      <c r="AM380" s="175"/>
      <c r="AN380" s="180"/>
      <c r="AO380" s="175"/>
      <c r="AP380" s="22"/>
      <c r="AQ380" s="49" t="str">
        <f t="shared" si="346"/>
        <v/>
      </c>
      <c r="AR380" s="38" t="str" cm="1">
        <f t="array" ref="AR380">IF(AT353="", "", IF(AND(AT353&lt;=MIN(AZ353:BK353,AQ366:BK366),AU353&gt;=MAX(AZ353:BK353,AQ366:BK366)),"ACCEPT",IF(AND(AZ353:BK353,AQ366:BK366="OK"),"ACCEPT","REJECT")))</f>
        <v/>
      </c>
      <c r="AS380" s="38" t="str">
        <f t="shared" si="334"/>
        <v/>
      </c>
      <c r="AT380" s="38" t="str">
        <f t="shared" si="335"/>
        <v/>
      </c>
      <c r="AU380" s="38">
        <f t="shared" si="336"/>
        <v>0</v>
      </c>
      <c r="AV380" s="38">
        <f t="shared" si="337"/>
        <v>0</v>
      </c>
      <c r="AW380" s="38">
        <f t="shared" si="338"/>
        <v>0</v>
      </c>
      <c r="AX380" s="57" t="str">
        <f t="shared" si="339"/>
        <v>-</v>
      </c>
      <c r="AY380" s="49" t="str">
        <f t="shared" si="347"/>
        <v/>
      </c>
      <c r="AZ380" s="38" t="str" cm="1">
        <f t="array" ref="AZ380">IF(AT359="", "", IF(AND(Y360&lt;=MIN(AZ359:BK359,AQ372:BK372),AU359&gt;=MAX(AZ359:BK359,AQ372:BK372)),"ACCEPT",IF(AND(AZ359:BK359,AQ372:BK372="OK"),"ACCEPT","REJECT")))</f>
        <v/>
      </c>
      <c r="BA380" s="38" t="str">
        <f t="shared" si="340"/>
        <v/>
      </c>
      <c r="BB380" s="38" t="str">
        <f t="shared" si="341"/>
        <v/>
      </c>
      <c r="BC380" s="38">
        <f t="shared" si="342"/>
        <v>0</v>
      </c>
      <c r="BD380" s="38">
        <f t="shared" si="343"/>
        <v>0</v>
      </c>
      <c r="BE380" s="38">
        <f t="shared" si="344"/>
        <v>0</v>
      </c>
      <c r="BF380" s="57" t="str">
        <f t="shared" si="345"/>
        <v>-</v>
      </c>
      <c r="BG380" s="173"/>
      <c r="BH380" s="175"/>
      <c r="BI380" s="180"/>
      <c r="BJ380" s="175"/>
      <c r="BK380" s="22"/>
      <c r="BL380" s="173"/>
      <c r="BM380" s="174"/>
      <c r="BN380" s="175"/>
      <c r="BO380" s="180"/>
      <c r="BP380" s="174"/>
      <c r="BQ380" s="175"/>
      <c r="BR380" s="180"/>
      <c r="BS380" s="174"/>
      <c r="BT380" s="174"/>
      <c r="BU380" s="174"/>
      <c r="BV380" s="174"/>
      <c r="BW380" s="174"/>
      <c r="BX380" s="175"/>
      <c r="BY380" s="122"/>
      <c r="BZ380" s="123"/>
      <c r="CA380" s="123"/>
      <c r="CB380" s="124"/>
      <c r="CC380" s="122"/>
      <c r="CD380" s="123"/>
      <c r="CE380" s="123"/>
      <c r="CF380" s="215"/>
    </row>
    <row r="381" spans="22:84" ht="14.4" customHeight="1" x14ac:dyDescent="0.3">
      <c r="V381" s="33"/>
      <c r="Y381" s="283"/>
      <c r="Z381" s="284"/>
      <c r="AB381" s="274"/>
      <c r="AC381" s="48" t="s">
        <v>129</v>
      </c>
      <c r="AD381" s="276" t="s">
        <v>130</v>
      </c>
      <c r="AE381" s="276"/>
      <c r="AG381" s="181"/>
      <c r="AH381" s="178"/>
      <c r="AI381" s="181"/>
      <c r="AJ381" s="178"/>
      <c r="AL381" s="181"/>
      <c r="AM381" s="178"/>
      <c r="AN381" s="181"/>
      <c r="AO381" s="178"/>
      <c r="AP381" s="22"/>
      <c r="AQ381" s="49" t="str">
        <f t="shared" si="346"/>
        <v/>
      </c>
      <c r="AR381" s="38" t="str" cm="1">
        <f t="array" ref="AR381">IF(AT354="", "", IF(AND(AT354&lt;=MIN(AZ354:BK354,AQ367:BK367),AU354&gt;=MAX(AZ354:BK354,AQ367:BK367)),"ACCEPT",IF(AND(AZ354:BK354,AQ367:BK367="OK"),"ACCEPT","REJECT")))</f>
        <v/>
      </c>
      <c r="AS381" s="38" t="str">
        <f t="shared" si="334"/>
        <v/>
      </c>
      <c r="AT381" s="38" t="str">
        <f t="shared" si="335"/>
        <v/>
      </c>
      <c r="AU381" s="38">
        <f t="shared" si="336"/>
        <v>0</v>
      </c>
      <c r="AV381" s="38">
        <f t="shared" si="337"/>
        <v>0</v>
      </c>
      <c r="AW381" s="38">
        <f t="shared" si="338"/>
        <v>0</v>
      </c>
      <c r="AX381" s="57" t="str">
        <f t="shared" si="339"/>
        <v>-</v>
      </c>
      <c r="AY381" s="49" t="str">
        <f t="shared" si="347"/>
        <v/>
      </c>
      <c r="AZ381" s="38" t="str" cm="1">
        <f t="array" ref="AZ381">IF(AT360="", "", IF(AND(Y361&lt;=MIN(AZ360:BK360,AQ373:BK373),AU360&gt;=MAX(AZ360:BK360,AQ373:BK373)),"ACCEPT",IF(AND(AZ360:BK360,AQ373:BK373="OK"),"ACCEPT","REJECT")))</f>
        <v/>
      </c>
      <c r="BA381" s="38" t="str">
        <f t="shared" si="340"/>
        <v/>
      </c>
      <c r="BB381" s="38" t="str">
        <f t="shared" si="341"/>
        <v/>
      </c>
      <c r="BC381" s="38">
        <f t="shared" si="342"/>
        <v>0</v>
      </c>
      <c r="BD381" s="38">
        <f t="shared" si="343"/>
        <v>0</v>
      </c>
      <c r="BE381" s="38">
        <f t="shared" si="344"/>
        <v>0</v>
      </c>
      <c r="BF381" s="57" t="str">
        <f t="shared" si="345"/>
        <v>-</v>
      </c>
      <c r="BG381" s="176"/>
      <c r="BH381" s="178"/>
      <c r="BI381" s="181"/>
      <c r="BJ381" s="178"/>
      <c r="BK381" s="22"/>
      <c r="BL381" s="173"/>
      <c r="BM381" s="174"/>
      <c r="BN381" s="175"/>
      <c r="BO381" s="180"/>
      <c r="BP381" s="174"/>
      <c r="BQ381" s="175"/>
      <c r="BR381" s="180"/>
      <c r="BS381" s="174"/>
      <c r="BT381" s="174"/>
      <c r="BU381" s="174"/>
      <c r="BV381" s="174"/>
      <c r="BW381" s="174"/>
      <c r="BX381" s="175"/>
      <c r="BY381" s="122"/>
      <c r="BZ381" s="123"/>
      <c r="CA381" s="123"/>
      <c r="CB381" s="124"/>
      <c r="CC381" s="125"/>
      <c r="CD381" s="126"/>
      <c r="CE381" s="126"/>
      <c r="CF381" s="216"/>
    </row>
    <row r="382" spans="22:84" ht="14.4" customHeight="1" thickBot="1" x14ac:dyDescent="0.35">
      <c r="V382" s="55"/>
      <c r="W382" s="56"/>
      <c r="X382" s="56"/>
      <c r="Y382" s="75" t="s">
        <v>48</v>
      </c>
      <c r="Z382" s="62"/>
      <c r="AB382" s="275"/>
      <c r="AC382" s="48" t="s">
        <v>131</v>
      </c>
      <c r="AD382" s="276" t="s">
        <v>132</v>
      </c>
      <c r="AE382" s="276"/>
      <c r="AG382" s="83" t="s">
        <v>48</v>
      </c>
      <c r="AH382" s="35"/>
      <c r="AI382" s="83" t="s">
        <v>48</v>
      </c>
      <c r="AJ382" s="35"/>
      <c r="AL382" s="83" t="s">
        <v>48</v>
      </c>
      <c r="AM382" s="35"/>
      <c r="AN382" s="83" t="s">
        <v>48</v>
      </c>
      <c r="AO382" s="35"/>
      <c r="AP382" s="22"/>
      <c r="AQ382" s="49" t="str">
        <f t="shared" si="346"/>
        <v/>
      </c>
      <c r="AR382" s="38" t="str" cm="1">
        <f t="array" ref="AR382">IF(AT355="", "", IF(AND(AT355&lt;=MIN(AZ355:BK355,AQ368:BK368),AU355&gt;=MAX(AZ355:BK355,AQ368:BK368)),"ACCEPT",IF(AND(AZ355:BK355,AQ368:BK368="OK"),"ACCEPT","REJECT")))</f>
        <v/>
      </c>
      <c r="AS382" s="38" t="str">
        <f t="shared" si="334"/>
        <v/>
      </c>
      <c r="AT382" s="38" t="str">
        <f t="shared" si="335"/>
        <v/>
      </c>
      <c r="AU382" s="38">
        <f t="shared" si="336"/>
        <v>0</v>
      </c>
      <c r="AV382" s="38">
        <f t="shared" si="337"/>
        <v>0</v>
      </c>
      <c r="AW382" s="38">
        <f t="shared" si="338"/>
        <v>0</v>
      </c>
      <c r="AX382" s="57" t="str">
        <f t="shared" si="339"/>
        <v>-</v>
      </c>
      <c r="AY382" s="49" t="str">
        <f t="shared" si="347"/>
        <v/>
      </c>
      <c r="AZ382" s="38" t="str" cm="1">
        <f t="array" ref="AZ382">IF(AT361="", "", IF(AND(Y362&lt;=MIN(AZ361:BK361,AQ374:BK374),AU361&gt;=MAX(AZ361:BK361,AQ374:BK374)),"ACCEPT",IF(AND(AZ361:BK361,AQ374:BK374="OK"),"ACCEPT","REJECT")))</f>
        <v/>
      </c>
      <c r="BA382" s="63" t="str">
        <f t="shared" si="340"/>
        <v/>
      </c>
      <c r="BB382" s="63" t="str">
        <f t="shared" si="341"/>
        <v/>
      </c>
      <c r="BC382" s="63">
        <f t="shared" si="342"/>
        <v>0</v>
      </c>
      <c r="BD382" s="63">
        <f t="shared" si="343"/>
        <v>0</v>
      </c>
      <c r="BE382" s="63">
        <f t="shared" si="344"/>
        <v>0</v>
      </c>
      <c r="BF382" s="64" t="str">
        <f t="shared" si="345"/>
        <v>-</v>
      </c>
      <c r="BG382" s="61" t="s">
        <v>48</v>
      </c>
      <c r="BH382" s="35"/>
      <c r="BI382" s="59" t="s">
        <v>48</v>
      </c>
      <c r="BJ382" s="35"/>
      <c r="BK382" s="22"/>
      <c r="BL382" s="173"/>
      <c r="BM382" s="174"/>
      <c r="BN382" s="175"/>
      <c r="BO382" s="180"/>
      <c r="BP382" s="174"/>
      <c r="BQ382" s="175"/>
      <c r="BR382" s="180"/>
      <c r="BS382" s="174"/>
      <c r="BT382" s="174"/>
      <c r="BU382" s="174"/>
      <c r="BV382" s="174"/>
      <c r="BW382" s="174"/>
      <c r="BX382" s="175"/>
      <c r="BY382" s="122"/>
      <c r="BZ382" s="123"/>
      <c r="CA382" s="123"/>
      <c r="CB382" s="124"/>
      <c r="CC382" s="150" t="s">
        <v>123</v>
      </c>
      <c r="CD382" s="151"/>
      <c r="CE382" s="151"/>
      <c r="CF382" s="152"/>
    </row>
    <row r="383" spans="22:84" ht="14.4" customHeight="1" thickBot="1" x14ac:dyDescent="0.35">
      <c r="V383" s="55"/>
      <c r="W383" s="56"/>
      <c r="X383" s="56"/>
      <c r="Y383" s="56"/>
      <c r="Z383" s="56"/>
      <c r="AA383" s="56"/>
      <c r="AB383" s="56"/>
      <c r="AC383" s="56"/>
      <c r="AD383" s="56"/>
      <c r="AE383" s="56"/>
      <c r="AF383" s="56"/>
      <c r="AG383" s="56"/>
      <c r="AH383" s="56"/>
      <c r="AI383" s="56"/>
      <c r="AJ383" s="56"/>
      <c r="AK383" s="56"/>
      <c r="AL383" s="56"/>
      <c r="AM383" s="56"/>
      <c r="AN383" s="56"/>
      <c r="AO383" s="56"/>
      <c r="AP383" s="65"/>
      <c r="AQ383" s="55"/>
      <c r="AR383" s="66"/>
      <c r="AS383" s="56"/>
      <c r="AT383" s="56"/>
      <c r="AU383" s="56"/>
      <c r="AV383" s="56"/>
      <c r="AW383" s="56"/>
      <c r="AX383" s="56"/>
      <c r="AY383" s="56"/>
      <c r="AZ383" s="56"/>
      <c r="BA383" s="56"/>
      <c r="BB383" s="56"/>
      <c r="BC383" s="56"/>
      <c r="BD383" s="56"/>
      <c r="BE383" s="56"/>
      <c r="BF383" s="56"/>
      <c r="BG383" s="56"/>
      <c r="BH383" s="56"/>
      <c r="BI383" s="56"/>
      <c r="BJ383" s="56"/>
      <c r="BK383" s="65"/>
      <c r="BL383" s="176"/>
      <c r="BM383" s="177"/>
      <c r="BN383" s="178"/>
      <c r="BO383" s="181"/>
      <c r="BP383" s="177"/>
      <c r="BQ383" s="178"/>
      <c r="BR383" s="181"/>
      <c r="BS383" s="177"/>
      <c r="BT383" s="177"/>
      <c r="BU383" s="177"/>
      <c r="BV383" s="177"/>
      <c r="BW383" s="177"/>
      <c r="BX383" s="178"/>
      <c r="BY383" s="125"/>
      <c r="BZ383" s="126"/>
      <c r="CA383" s="126"/>
      <c r="CB383" s="127"/>
      <c r="CC383" s="153"/>
      <c r="CD383" s="154"/>
      <c r="CE383" s="154"/>
      <c r="CF383" s="155"/>
    </row>
    <row r="384" spans="22:84" ht="14.4" customHeight="1" thickBot="1" x14ac:dyDescent="0.35">
      <c r="V384" s="67"/>
      <c r="W384" s="68"/>
      <c r="X384" s="68"/>
      <c r="Y384" s="68"/>
      <c r="Z384" s="68"/>
      <c r="AA384" s="68"/>
      <c r="AB384" s="68"/>
      <c r="AC384" s="68"/>
      <c r="AD384" s="68"/>
      <c r="AE384" s="68"/>
      <c r="AF384" s="68"/>
      <c r="AG384" s="233" t="s">
        <v>140</v>
      </c>
      <c r="AH384" s="233"/>
      <c r="AI384" s="233"/>
      <c r="AJ384" s="234" t="s">
        <v>139</v>
      </c>
      <c r="AK384" s="234"/>
      <c r="AL384" s="234"/>
      <c r="AM384" s="234"/>
      <c r="AN384" s="234" t="s">
        <v>138</v>
      </c>
      <c r="AO384" s="234"/>
      <c r="AP384" s="235"/>
      <c r="AQ384" s="67"/>
      <c r="AR384" s="68"/>
      <c r="AS384" s="68"/>
      <c r="AT384" s="68"/>
      <c r="AU384" s="68"/>
      <c r="AV384" s="68"/>
      <c r="AW384" s="68"/>
      <c r="AX384" s="68"/>
      <c r="AY384" s="68"/>
      <c r="AZ384" s="68"/>
      <c r="BA384" s="68"/>
      <c r="BB384" s="233" t="s">
        <v>140</v>
      </c>
      <c r="BC384" s="233"/>
      <c r="BD384" s="233"/>
      <c r="BE384" s="234" t="s">
        <v>139</v>
      </c>
      <c r="BF384" s="234"/>
      <c r="BG384" s="234"/>
      <c r="BH384" s="234"/>
      <c r="BI384" s="234" t="s">
        <v>142</v>
      </c>
      <c r="BJ384" s="234"/>
      <c r="BK384" s="235"/>
      <c r="BL384" s="67"/>
      <c r="BM384" s="68"/>
      <c r="BN384" s="68"/>
      <c r="BO384" s="68"/>
      <c r="BP384" s="68"/>
      <c r="BQ384" s="68"/>
      <c r="BR384" s="68"/>
      <c r="BS384" s="68"/>
      <c r="BT384" s="68"/>
      <c r="BU384" s="68"/>
      <c r="BV384" s="68"/>
      <c r="BW384" s="68"/>
      <c r="BX384" s="68"/>
      <c r="BY384" s="68"/>
      <c r="BZ384" s="71" t="s">
        <v>133</v>
      </c>
      <c r="CA384" s="68"/>
      <c r="CB384" s="68"/>
      <c r="CC384" s="68"/>
      <c r="CD384" s="68"/>
      <c r="CE384" s="68"/>
      <c r="CF384" s="69"/>
    </row>
    <row r="385" spans="22:84" ht="14.4" customHeight="1" x14ac:dyDescent="0.3">
      <c r="V385" s="183" t="e" vm="1">
        <v>#VALUE!</v>
      </c>
      <c r="W385" s="184"/>
      <c r="X385" s="189" t="s">
        <v>1</v>
      </c>
      <c r="Y385" s="189"/>
      <c r="Z385" s="189"/>
      <c r="AA385" s="189"/>
      <c r="AB385" s="189"/>
      <c r="AC385" s="189"/>
      <c r="AD385" s="189"/>
      <c r="AE385" s="189"/>
      <c r="AF385" s="291" t="s">
        <v>2</v>
      </c>
      <c r="AG385" s="191"/>
      <c r="AH385" s="191"/>
      <c r="AI385" s="191"/>
      <c r="AJ385" s="191"/>
      <c r="AK385" s="191"/>
      <c r="AL385" s="191"/>
      <c r="AM385" s="191"/>
      <c r="AN385" s="191" t="e" vm="3">
        <v>#VALUE!</v>
      </c>
      <c r="AO385" s="191"/>
      <c r="AP385" s="192"/>
      <c r="AQ385" s="183" t="e" vm="1">
        <v>#VALUE!</v>
      </c>
      <c r="AR385" s="184"/>
      <c r="AS385" s="190" t="s">
        <v>1</v>
      </c>
      <c r="AT385" s="190"/>
      <c r="AU385" s="190"/>
      <c r="AV385" s="190"/>
      <c r="AW385" s="190"/>
      <c r="AX385" s="190"/>
      <c r="AY385" s="190"/>
      <c r="AZ385" s="190"/>
      <c r="BA385" s="190" t="s">
        <v>3</v>
      </c>
      <c r="BB385" s="190"/>
      <c r="BC385" s="190"/>
      <c r="BD385" s="190"/>
      <c r="BE385" s="190"/>
      <c r="BF385" s="190"/>
      <c r="BG385" s="190"/>
      <c r="BH385" s="190"/>
      <c r="BI385" s="191" t="e" vm="3">
        <v>#VALUE!</v>
      </c>
      <c r="BJ385" s="191"/>
      <c r="BK385" s="192"/>
      <c r="BL385" s="183" t="e" vm="1">
        <v>#VALUE!</v>
      </c>
      <c r="BM385" s="184"/>
      <c r="BN385" s="189" t="s">
        <v>1</v>
      </c>
      <c r="BO385" s="189"/>
      <c r="BP385" s="189"/>
      <c r="BQ385" s="189"/>
      <c r="BR385" s="189"/>
      <c r="BS385" s="189"/>
      <c r="BT385" s="189"/>
      <c r="BU385" s="189"/>
      <c r="BV385" s="189" t="s">
        <v>4</v>
      </c>
      <c r="BW385" s="189"/>
      <c r="BX385" s="189"/>
      <c r="BY385" s="189"/>
      <c r="BZ385" s="189"/>
      <c r="CA385" s="189"/>
      <c r="CB385" s="189"/>
      <c r="CC385" s="189"/>
      <c r="CD385" s="191" t="e" vm="3">
        <v>#VALUE!</v>
      </c>
      <c r="CE385" s="191"/>
      <c r="CF385" s="192"/>
    </row>
    <row r="386" spans="22:84" ht="14.4" customHeight="1" x14ac:dyDescent="0.3">
      <c r="V386" s="185"/>
      <c r="W386" s="186"/>
      <c r="X386" s="190"/>
      <c r="Y386" s="190"/>
      <c r="Z386" s="190"/>
      <c r="AA386" s="190"/>
      <c r="AB386" s="190"/>
      <c r="AC386" s="190"/>
      <c r="AD386" s="190"/>
      <c r="AE386" s="190"/>
      <c r="AF386" s="293"/>
      <c r="AG386" s="193"/>
      <c r="AH386" s="193"/>
      <c r="AI386" s="193"/>
      <c r="AJ386" s="193"/>
      <c r="AK386" s="193"/>
      <c r="AL386" s="193"/>
      <c r="AM386" s="193"/>
      <c r="AN386" s="193"/>
      <c r="AO386" s="193"/>
      <c r="AP386" s="194"/>
      <c r="AQ386" s="185"/>
      <c r="AR386" s="186"/>
      <c r="AS386" s="190"/>
      <c r="AT386" s="190"/>
      <c r="AU386" s="190"/>
      <c r="AV386" s="190"/>
      <c r="AW386" s="190"/>
      <c r="AX386" s="190"/>
      <c r="AY386" s="190"/>
      <c r="AZ386" s="190"/>
      <c r="BA386" s="190"/>
      <c r="BB386" s="190"/>
      <c r="BC386" s="190"/>
      <c r="BD386" s="190"/>
      <c r="BE386" s="190"/>
      <c r="BF386" s="190"/>
      <c r="BG386" s="190"/>
      <c r="BH386" s="190"/>
      <c r="BI386" s="193"/>
      <c r="BJ386" s="193"/>
      <c r="BK386" s="194"/>
      <c r="BL386" s="185"/>
      <c r="BM386" s="186"/>
      <c r="BN386" s="190"/>
      <c r="BO386" s="190"/>
      <c r="BP386" s="190"/>
      <c r="BQ386" s="190"/>
      <c r="BR386" s="190"/>
      <c r="BS386" s="190"/>
      <c r="BT386" s="190"/>
      <c r="BU386" s="190"/>
      <c r="BV386" s="190"/>
      <c r="BW386" s="190"/>
      <c r="BX386" s="190"/>
      <c r="BY386" s="190"/>
      <c r="BZ386" s="190"/>
      <c r="CA386" s="190"/>
      <c r="CB386" s="190"/>
      <c r="CC386" s="190"/>
      <c r="CD386" s="193"/>
      <c r="CE386" s="193"/>
      <c r="CF386" s="194"/>
    </row>
    <row r="387" spans="22:84" ht="14.4" customHeight="1" x14ac:dyDescent="0.3">
      <c r="V387" s="187"/>
      <c r="W387" s="188"/>
      <c r="X387" s="190"/>
      <c r="Y387" s="190"/>
      <c r="Z387" s="190"/>
      <c r="AA387" s="190"/>
      <c r="AB387" s="190"/>
      <c r="AC387" s="190"/>
      <c r="AD387" s="190"/>
      <c r="AE387" s="190"/>
      <c r="AF387" s="295"/>
      <c r="AG387" s="195"/>
      <c r="AH387" s="195"/>
      <c r="AI387" s="195"/>
      <c r="AJ387" s="195"/>
      <c r="AK387" s="195"/>
      <c r="AL387" s="195"/>
      <c r="AM387" s="195"/>
      <c r="AN387" s="193"/>
      <c r="AO387" s="193"/>
      <c r="AP387" s="194"/>
      <c r="AQ387" s="187"/>
      <c r="AR387" s="188"/>
      <c r="AS387" s="190"/>
      <c r="AT387" s="190"/>
      <c r="AU387" s="190"/>
      <c r="AV387" s="190"/>
      <c r="AW387" s="190"/>
      <c r="AX387" s="190"/>
      <c r="AY387" s="190"/>
      <c r="AZ387" s="190"/>
      <c r="BA387" s="190"/>
      <c r="BB387" s="190"/>
      <c r="BC387" s="190"/>
      <c r="BD387" s="190"/>
      <c r="BE387" s="190"/>
      <c r="BF387" s="190"/>
      <c r="BG387" s="190"/>
      <c r="BH387" s="190"/>
      <c r="BI387" s="195"/>
      <c r="BJ387" s="195"/>
      <c r="BK387" s="196"/>
      <c r="BL387" s="187"/>
      <c r="BM387" s="188"/>
      <c r="BN387" s="190"/>
      <c r="BO387" s="190"/>
      <c r="BP387" s="190"/>
      <c r="BQ387" s="190"/>
      <c r="BR387" s="190"/>
      <c r="BS387" s="190"/>
      <c r="BT387" s="190"/>
      <c r="BU387" s="190"/>
      <c r="BV387" s="190"/>
      <c r="BW387" s="190"/>
      <c r="BX387" s="190"/>
      <c r="BY387" s="190"/>
      <c r="BZ387" s="190"/>
      <c r="CA387" s="190"/>
      <c r="CB387" s="190"/>
      <c r="CC387" s="190"/>
      <c r="CD387" s="195"/>
      <c r="CE387" s="195"/>
      <c r="CF387" s="196"/>
    </row>
    <row r="388" spans="22:84" ht="14.4" customHeight="1" x14ac:dyDescent="0.3">
      <c r="V388" s="107" t="s">
        <v>7</v>
      </c>
      <c r="W388" s="106"/>
      <c r="X388" s="182" t="str">
        <f>IF(ISBLANK($C$4),"",$C$4)</f>
        <v/>
      </c>
      <c r="Y388" s="182"/>
      <c r="Z388" s="182"/>
      <c r="AA388" s="182"/>
      <c r="AB388" s="182"/>
      <c r="AC388" s="108" t="s">
        <v>8</v>
      </c>
      <c r="AD388" s="109"/>
      <c r="AE388" s="110"/>
      <c r="AF388" s="108" t="s">
        <v>9</v>
      </c>
      <c r="AG388" s="109"/>
      <c r="AH388" s="110"/>
      <c r="AI388" s="108" t="s">
        <v>10</v>
      </c>
      <c r="AJ388" s="109"/>
      <c r="AK388" s="110"/>
      <c r="AL388" s="113" t="s">
        <v>11</v>
      </c>
      <c r="AM388" s="117"/>
      <c r="AN388" s="113" t="str">
        <f>IF(ISBLANK($S$4),"",$S$4)</f>
        <v/>
      </c>
      <c r="AO388" s="117"/>
      <c r="AP388" s="114"/>
      <c r="AQ388" s="112" t="s">
        <v>7</v>
      </c>
      <c r="AR388" s="106"/>
      <c r="AS388" s="182" t="str">
        <f>IF(ISBLANK($C$4),"",$C$4)</f>
        <v/>
      </c>
      <c r="AT388" s="182"/>
      <c r="AU388" s="182"/>
      <c r="AV388" s="182"/>
      <c r="AW388" s="182"/>
      <c r="AX388" s="108" t="s">
        <v>8</v>
      </c>
      <c r="AY388" s="109"/>
      <c r="AZ388" s="110"/>
      <c r="BA388" s="108" t="s">
        <v>9</v>
      </c>
      <c r="BB388" s="109"/>
      <c r="BC388" s="110"/>
      <c r="BD388" s="108" t="s">
        <v>10</v>
      </c>
      <c r="BE388" s="109"/>
      <c r="BF388" s="110"/>
      <c r="BG388" s="113" t="s">
        <v>11</v>
      </c>
      <c r="BH388" s="114"/>
      <c r="BI388" s="113" t="str">
        <f>IF(ISBLANK($S$4),"",$S$4)</f>
        <v/>
      </c>
      <c r="BJ388" s="117"/>
      <c r="BK388" s="114"/>
      <c r="BL388" s="112" t="s">
        <v>7</v>
      </c>
      <c r="BM388" s="106"/>
      <c r="BN388" s="182" t="str">
        <f>IF(ISBLANK($C$4),"",$C$4)</f>
        <v/>
      </c>
      <c r="BO388" s="182"/>
      <c r="BP388" s="182"/>
      <c r="BQ388" s="182"/>
      <c r="BR388" s="182"/>
      <c r="BS388" s="108" t="s">
        <v>8</v>
      </c>
      <c r="BT388" s="109"/>
      <c r="BU388" s="110"/>
      <c r="BV388" s="108" t="s">
        <v>9</v>
      </c>
      <c r="BW388" s="109"/>
      <c r="BX388" s="110"/>
      <c r="BY388" s="108" t="s">
        <v>10</v>
      </c>
      <c r="BZ388" s="109"/>
      <c r="CA388" s="110"/>
      <c r="CB388" s="113" t="s">
        <v>11</v>
      </c>
      <c r="CC388" s="114"/>
      <c r="CD388" s="113" t="str">
        <f>IF(ISBLANK($S$4),"",$S$4)</f>
        <v/>
      </c>
      <c r="CE388" s="117"/>
      <c r="CF388" s="114"/>
    </row>
    <row r="389" spans="22:84" ht="14.4" customHeight="1" x14ac:dyDescent="0.3">
      <c r="V389" s="107" t="s">
        <v>12</v>
      </c>
      <c r="W389" s="106"/>
      <c r="X389" s="182" t="str">
        <f>IF(ISBLANK($C$5),"",$C$5)</f>
        <v/>
      </c>
      <c r="Y389" s="182"/>
      <c r="Z389" s="182"/>
      <c r="AA389" s="182"/>
      <c r="AB389" s="182"/>
      <c r="AC389" s="108" t="s">
        <v>13</v>
      </c>
      <c r="AD389" s="109"/>
      <c r="AE389" s="110"/>
      <c r="AF389" s="108" t="s">
        <v>14</v>
      </c>
      <c r="AG389" s="109"/>
      <c r="AH389" s="110"/>
      <c r="AI389" s="108" t="s">
        <v>15</v>
      </c>
      <c r="AJ389" s="109"/>
      <c r="AK389" s="110"/>
      <c r="AL389" s="115"/>
      <c r="AM389" s="118"/>
      <c r="AN389" s="115" t="str">
        <f>IF(ISBLANK($S$5),"",$S$5)</f>
        <v/>
      </c>
      <c r="AO389" s="118"/>
      <c r="AP389" s="116"/>
      <c r="AQ389" s="112" t="s">
        <v>12</v>
      </c>
      <c r="AR389" s="106"/>
      <c r="AS389" s="182" t="str">
        <f>IF(ISBLANK($C$5),"",$C$5)</f>
        <v/>
      </c>
      <c r="AT389" s="182"/>
      <c r="AU389" s="182"/>
      <c r="AV389" s="182"/>
      <c r="AW389" s="182"/>
      <c r="AX389" s="108" t="s">
        <v>13</v>
      </c>
      <c r="AY389" s="109"/>
      <c r="AZ389" s="110"/>
      <c r="BA389" s="108" t="s">
        <v>14</v>
      </c>
      <c r="BB389" s="109"/>
      <c r="BC389" s="110"/>
      <c r="BD389" s="108" t="s">
        <v>15</v>
      </c>
      <c r="BE389" s="109"/>
      <c r="BF389" s="110"/>
      <c r="BG389" s="115"/>
      <c r="BH389" s="116"/>
      <c r="BI389" s="115" t="str">
        <f>IF(ISBLANK($S$5),"",$S$5)</f>
        <v/>
      </c>
      <c r="BJ389" s="118"/>
      <c r="BK389" s="116"/>
      <c r="BL389" s="112" t="s">
        <v>12</v>
      </c>
      <c r="BM389" s="106"/>
      <c r="BN389" s="182" t="str">
        <f>IF(ISBLANK($C$5),"",$C$5)</f>
        <v/>
      </c>
      <c r="BO389" s="182"/>
      <c r="BP389" s="182"/>
      <c r="BQ389" s="182"/>
      <c r="BR389" s="182"/>
      <c r="BS389" s="108" t="s">
        <v>143</v>
      </c>
      <c r="BT389" s="109"/>
      <c r="BU389" s="110"/>
      <c r="BV389" s="108" t="s">
        <v>144</v>
      </c>
      <c r="BW389" s="109"/>
      <c r="BX389" s="110"/>
      <c r="BY389" s="108" t="s">
        <v>15</v>
      </c>
      <c r="BZ389" s="109"/>
      <c r="CA389" s="110"/>
      <c r="CB389" s="115"/>
      <c r="CC389" s="116"/>
      <c r="CD389" s="115" t="str">
        <f>IF(ISBLANK($S$5),"",$S$5)</f>
        <v/>
      </c>
      <c r="CE389" s="118"/>
      <c r="CF389" s="116"/>
    </row>
    <row r="390" spans="22:84" ht="14.4" customHeight="1" x14ac:dyDescent="0.3">
      <c r="V390" s="107" t="s">
        <v>42</v>
      </c>
      <c r="W390" s="106"/>
      <c r="X390" s="182" t="str">
        <f>IF(ISBLANK($C$6),"",$C$6)</f>
        <v/>
      </c>
      <c r="Y390" s="182"/>
      <c r="Z390" s="182"/>
      <c r="AA390" s="182"/>
      <c r="AB390" s="182"/>
      <c r="AC390" s="253"/>
      <c r="AD390" s="254"/>
      <c r="AE390" s="255"/>
      <c r="AF390" s="253"/>
      <c r="AG390" s="254"/>
      <c r="AH390" s="255"/>
      <c r="AI390" s="253"/>
      <c r="AJ390" s="254"/>
      <c r="AK390" s="255"/>
      <c r="AL390" s="105" t="s">
        <v>43</v>
      </c>
      <c r="AM390" s="106"/>
      <c r="AN390" s="115" t="str">
        <f>IF(ISBLANK($S$6),"",$S$6)</f>
        <v/>
      </c>
      <c r="AO390" s="118"/>
      <c r="AP390" s="252"/>
      <c r="AQ390" s="107" t="s">
        <v>42</v>
      </c>
      <c r="AR390" s="106"/>
      <c r="AS390" s="182" t="str">
        <f>IF(ISBLANK($C$6),"",$C$6)</f>
        <v/>
      </c>
      <c r="AT390" s="182"/>
      <c r="AU390" s="182"/>
      <c r="AV390" s="182"/>
      <c r="AW390" s="182"/>
      <c r="AX390" s="359"/>
      <c r="AY390" s="359"/>
      <c r="AZ390" s="359"/>
      <c r="BA390" s="359"/>
      <c r="BB390" s="359"/>
      <c r="BC390" s="359"/>
      <c r="BD390" s="253"/>
      <c r="BE390" s="254"/>
      <c r="BF390" s="255"/>
      <c r="BG390" s="105" t="s">
        <v>43</v>
      </c>
      <c r="BH390" s="106"/>
      <c r="BI390" s="115" t="str">
        <f>IF(ISBLANK($S$6),"",$S$6)</f>
        <v/>
      </c>
      <c r="BJ390" s="118"/>
      <c r="BK390" s="252"/>
      <c r="BL390" s="107" t="s">
        <v>42</v>
      </c>
      <c r="BM390" s="106"/>
      <c r="BN390" s="182" t="str">
        <f>IF(ISBLANK($C$6),"",$C$6)</f>
        <v/>
      </c>
      <c r="BO390" s="182"/>
      <c r="BP390" s="182"/>
      <c r="BQ390" s="182"/>
      <c r="BR390" s="182"/>
      <c r="BS390" s="141"/>
      <c r="BT390" s="142"/>
      <c r="BU390" s="143"/>
      <c r="BV390" s="141"/>
      <c r="BW390" s="142"/>
      <c r="BX390" s="143"/>
      <c r="BY390" s="141"/>
      <c r="BZ390" s="142"/>
      <c r="CA390" s="143"/>
      <c r="CB390" s="105" t="s">
        <v>43</v>
      </c>
      <c r="CC390" s="106"/>
      <c r="CD390" s="115" t="str">
        <f>IF(ISBLANK($S$6),"",$S$6)</f>
        <v/>
      </c>
      <c r="CE390" s="118"/>
      <c r="CF390" s="252"/>
    </row>
    <row r="391" spans="22:84" ht="14.4" customHeight="1" x14ac:dyDescent="0.3">
      <c r="V391" s="107" t="s">
        <v>16</v>
      </c>
      <c r="W391" s="106"/>
      <c r="X391" s="182" t="str">
        <f>IF(ISBLANK($C$7),"",$C$7)</f>
        <v/>
      </c>
      <c r="Y391" s="182"/>
      <c r="Z391" s="182"/>
      <c r="AA391" s="182"/>
      <c r="AB391" s="182"/>
      <c r="AC391" s="256"/>
      <c r="AD391" s="257"/>
      <c r="AE391" s="258"/>
      <c r="AF391" s="256"/>
      <c r="AG391" s="257"/>
      <c r="AH391" s="258"/>
      <c r="AI391" s="256"/>
      <c r="AJ391" s="257"/>
      <c r="AK391" s="258"/>
      <c r="AL391" s="105" t="s">
        <v>44</v>
      </c>
      <c r="AM391" s="106"/>
      <c r="AN391" s="313" t="str">
        <f>IF(AJ393&lt;&gt;"", AJ393+7, "")</f>
        <v/>
      </c>
      <c r="AO391" s="314"/>
      <c r="AP391" s="315"/>
      <c r="AQ391" s="107" t="s">
        <v>16</v>
      </c>
      <c r="AR391" s="106"/>
      <c r="AS391" s="182" t="str">
        <f>IF(ISBLANK($C$7),"",$C$7)</f>
        <v/>
      </c>
      <c r="AT391" s="182"/>
      <c r="AU391" s="182"/>
      <c r="AV391" s="182"/>
      <c r="AW391" s="182"/>
      <c r="AX391" s="359"/>
      <c r="AY391" s="359"/>
      <c r="AZ391" s="359"/>
      <c r="BA391" s="359"/>
      <c r="BB391" s="359"/>
      <c r="BC391" s="359"/>
      <c r="BD391" s="256"/>
      <c r="BE391" s="257"/>
      <c r="BF391" s="258"/>
      <c r="BG391" s="105" t="s">
        <v>44</v>
      </c>
      <c r="BH391" s="106"/>
      <c r="BI391" s="313" t="str">
        <f>IF(BE393&lt;&gt;"", BE393+7, "")</f>
        <v/>
      </c>
      <c r="BJ391" s="314"/>
      <c r="BK391" s="315"/>
      <c r="BL391" s="107" t="s">
        <v>16</v>
      </c>
      <c r="BM391" s="106"/>
      <c r="BN391" s="182" t="str">
        <f>IF(ISBLANK($C$7),"",$C$7)</f>
        <v/>
      </c>
      <c r="BO391" s="182"/>
      <c r="BP391" s="182"/>
      <c r="BQ391" s="182"/>
      <c r="BR391" s="182"/>
      <c r="BS391" s="144"/>
      <c r="BT391" s="145"/>
      <c r="BU391" s="146"/>
      <c r="BV391" s="144"/>
      <c r="BW391" s="145"/>
      <c r="BX391" s="146"/>
      <c r="BY391" s="144"/>
      <c r="BZ391" s="145"/>
      <c r="CA391" s="146"/>
      <c r="CB391" s="105" t="s">
        <v>44</v>
      </c>
      <c r="CC391" s="106"/>
      <c r="CD391" s="105" t="str">
        <f>IF(ISBLANK($S$7),"",$S$7)</f>
        <v/>
      </c>
      <c r="CE391" s="112"/>
      <c r="CF391" s="311"/>
    </row>
    <row r="392" spans="22:84" ht="14.4" customHeight="1" x14ac:dyDescent="0.3">
      <c r="V392" s="107" t="s">
        <v>17</v>
      </c>
      <c r="W392" s="106"/>
      <c r="X392" s="182" t="str">
        <f>IF(ISBLANK($C$8),"",$C$8)</f>
        <v/>
      </c>
      <c r="Y392" s="182"/>
      <c r="Z392" s="182"/>
      <c r="AA392" s="182"/>
      <c r="AB392" s="182"/>
      <c r="AC392" s="259"/>
      <c r="AD392" s="257"/>
      <c r="AE392" s="260"/>
      <c r="AF392" s="259"/>
      <c r="AG392" s="261"/>
      <c r="AH392" s="260"/>
      <c r="AI392" s="259"/>
      <c r="AJ392" s="261"/>
      <c r="AK392" s="260"/>
      <c r="AL392" s="105" t="s">
        <v>46</v>
      </c>
      <c r="AM392" s="106"/>
      <c r="AN392" s="78">
        <v>9</v>
      </c>
      <c r="AO392" s="78" t="s">
        <v>47</v>
      </c>
      <c r="AP392" s="82">
        <f>COUNTA(V15,V63,V111,V159,V207,V255,V303,V351,V399,V447)</f>
        <v>0</v>
      </c>
      <c r="AQ392" s="107" t="s">
        <v>17</v>
      </c>
      <c r="AR392" s="106"/>
      <c r="AS392" s="182" t="str">
        <f>IF(ISBLANK($C$8),"",$C$8)</f>
        <v/>
      </c>
      <c r="AT392" s="182"/>
      <c r="AU392" s="182"/>
      <c r="AV392" s="182"/>
      <c r="AW392" s="182"/>
      <c r="AX392" s="359"/>
      <c r="AY392" s="359"/>
      <c r="AZ392" s="359"/>
      <c r="BA392" s="359"/>
      <c r="BB392" s="359"/>
      <c r="BC392" s="359"/>
      <c r="BD392" s="259"/>
      <c r="BE392" s="261"/>
      <c r="BF392" s="260"/>
      <c r="BG392" s="105" t="s">
        <v>46</v>
      </c>
      <c r="BH392" s="106"/>
      <c r="BI392" s="78">
        <v>9</v>
      </c>
      <c r="BJ392" s="78" t="s">
        <v>47</v>
      </c>
      <c r="BK392" s="82">
        <f>IF(ISBLANK(AP8),"",AP8)</f>
        <v>0</v>
      </c>
      <c r="BL392" s="107" t="s">
        <v>17</v>
      </c>
      <c r="BM392" s="106"/>
      <c r="BN392" s="182" t="str">
        <f>IF(ISBLANK($C$8),"",$C$8)</f>
        <v/>
      </c>
      <c r="BO392" s="182"/>
      <c r="BP392" s="182"/>
      <c r="BQ392" s="182"/>
      <c r="BR392" s="182"/>
      <c r="BS392" s="147"/>
      <c r="BT392" s="148"/>
      <c r="BU392" s="149"/>
      <c r="BV392" s="147"/>
      <c r="BW392" s="148"/>
      <c r="BX392" s="149"/>
      <c r="BY392" s="147"/>
      <c r="BZ392" s="148"/>
      <c r="CA392" s="149"/>
      <c r="CB392" s="18" t="s">
        <v>46</v>
      </c>
      <c r="CC392" s="11"/>
      <c r="CD392" s="14">
        <v>9</v>
      </c>
      <c r="CE392" s="14" t="s">
        <v>47</v>
      </c>
      <c r="CF392" s="19">
        <f>COUNT(BN397,BN445,BN493,BN541,BN589,BN637,BN685,BN733,BN781,BN829)</f>
        <v>0</v>
      </c>
    </row>
    <row r="393" spans="22:84" ht="14.4" customHeight="1" x14ac:dyDescent="0.3">
      <c r="V393" s="107" t="s">
        <v>18</v>
      </c>
      <c r="W393" s="106"/>
      <c r="X393" s="108" t="e">
        <f>IF(ISBLANK($S$10),"",$S$10)</f>
        <v>#N/A</v>
      </c>
      <c r="Y393" s="109"/>
      <c r="Z393" s="110"/>
      <c r="AA393" s="20"/>
      <c r="AB393" s="74"/>
      <c r="AC393" s="103" t="s">
        <v>48</v>
      </c>
      <c r="AD393" s="244"/>
      <c r="AE393" s="236"/>
      <c r="AF393" s="103" t="s">
        <v>48</v>
      </c>
      <c r="AG393" s="236"/>
      <c r="AH393" s="236"/>
      <c r="AI393" s="103" t="s">
        <v>48</v>
      </c>
      <c r="AJ393" s="237"/>
      <c r="AK393" s="238"/>
      <c r="AL393" s="85"/>
      <c r="AM393" s="85"/>
      <c r="AN393" s="85"/>
      <c r="AO393" s="85"/>
      <c r="AP393" s="22"/>
      <c r="AQ393" s="107" t="s">
        <v>18</v>
      </c>
      <c r="AR393" s="106"/>
      <c r="AS393" s="108" t="e">
        <f>IF(ISBLANK($S$10),"",$S$10)</f>
        <v>#N/A</v>
      </c>
      <c r="AT393" s="109"/>
      <c r="AU393" s="110"/>
      <c r="AV393" s="20"/>
      <c r="AW393" s="4"/>
      <c r="AX393" s="104" t="s">
        <v>48</v>
      </c>
      <c r="AY393" s="244"/>
      <c r="AZ393" s="236"/>
      <c r="BA393" s="104" t="s">
        <v>48</v>
      </c>
      <c r="BB393" s="236"/>
      <c r="BC393" s="236"/>
      <c r="BD393" s="104" t="s">
        <v>48</v>
      </c>
      <c r="BE393" s="237"/>
      <c r="BF393" s="238"/>
      <c r="BJ393" s="20"/>
      <c r="BK393" s="23"/>
      <c r="BL393" s="107" t="s">
        <v>18</v>
      </c>
      <c r="BM393" s="106"/>
      <c r="BN393" s="108" t="e">
        <f>IF(ISBLANK($S$10),"",$S$10)</f>
        <v>#N/A</v>
      </c>
      <c r="BO393" s="109"/>
      <c r="BP393" s="110"/>
      <c r="BQ393" s="20"/>
      <c r="BR393" s="4"/>
      <c r="BS393" s="78" t="s">
        <v>48</v>
      </c>
      <c r="BT393" s="197" t="str">
        <f>IF(ISBLANK($I$9),"",$I$9)</f>
        <v/>
      </c>
      <c r="BU393" s="198"/>
      <c r="BV393" s="78" t="s">
        <v>48</v>
      </c>
      <c r="BW393" s="197" t="str">
        <f>IF(ISBLANK($L$9),"",$L$9)</f>
        <v/>
      </c>
      <c r="BX393" s="198"/>
      <c r="BY393" s="78" t="s">
        <v>48</v>
      </c>
      <c r="BZ393" s="197" t="str">
        <f>IF(ISBLANK($O$9),"",$O$9)</f>
        <v/>
      </c>
      <c r="CA393" s="198"/>
      <c r="CB393" s="24"/>
      <c r="CC393" s="24"/>
      <c r="CD393" s="24"/>
      <c r="CE393" s="20"/>
      <c r="CF393" s="23"/>
    </row>
    <row r="394" spans="22:84" ht="14.4" customHeight="1" x14ac:dyDescent="0.3">
      <c r="V394" s="107" t="s">
        <v>19</v>
      </c>
      <c r="W394" s="106"/>
      <c r="X394" s="14" t="str">
        <f>IF(ISBLANK($S$11),"",$S$11)</f>
        <v/>
      </c>
      <c r="Y394" s="14" t="s">
        <v>47</v>
      </c>
      <c r="Z394" s="14">
        <f>IF(ISBLANK($U$11),"",$U$11)</f>
        <v>0</v>
      </c>
      <c r="AB394" s="269" t="s">
        <v>58</v>
      </c>
      <c r="AC394" s="87" t="s">
        <v>59</v>
      </c>
      <c r="AD394" s="270"/>
      <c r="AE394" s="271"/>
      <c r="AF394" s="84" t="s">
        <v>60</v>
      </c>
      <c r="AG394" s="88"/>
      <c r="AH394" s="85"/>
      <c r="AI394" s="335" t="s">
        <v>61</v>
      </c>
      <c r="AJ394" s="78" t="s">
        <v>62</v>
      </c>
      <c r="AK394" s="81"/>
      <c r="AL394" s="85"/>
      <c r="AM394" s="85"/>
      <c r="AN394" s="85"/>
      <c r="AO394" s="85"/>
      <c r="AP394" s="22"/>
      <c r="AQ394" s="107" t="s">
        <v>19</v>
      </c>
      <c r="AR394" s="106"/>
      <c r="AS394" s="14" t="str">
        <f>IF(ISBLANK($S$11),"",$S$11)</f>
        <v/>
      </c>
      <c r="AT394" s="14" t="s">
        <v>47</v>
      </c>
      <c r="AU394" s="14">
        <f>IF(ISBLANK($U$11),"",$U$11)</f>
        <v>0</v>
      </c>
      <c r="AW394" s="20"/>
      <c r="AX394" s="30"/>
      <c r="AY394" s="30"/>
      <c r="BC394" s="30"/>
      <c r="BD394" s="335" t="s">
        <v>61</v>
      </c>
      <c r="BE394" s="29" t="s">
        <v>62</v>
      </c>
      <c r="BF394" s="29" t="str">
        <f>IF(ISBLANK($BF$10),"",$BF$10)</f>
        <v/>
      </c>
      <c r="BG394" s="266" t="s">
        <v>63</v>
      </c>
      <c r="BH394" s="266"/>
      <c r="BI394" s="14" t="str">
        <f>IF(ISBLANK($BI$10),"",BI346)</f>
        <v/>
      </c>
      <c r="BJ394" s="20"/>
      <c r="BK394" s="23"/>
      <c r="BL394" s="111" t="s">
        <v>19</v>
      </c>
      <c r="BM394" s="110"/>
      <c r="BN394" s="14" t="str">
        <f>IF(ISBLANK($S$11),"",$S$11)</f>
        <v/>
      </c>
      <c r="BO394" s="14" t="s">
        <v>47</v>
      </c>
      <c r="BP394" s="14">
        <f>IF(ISBLANK($U$11),"",$U$11)</f>
        <v>0</v>
      </c>
      <c r="BR394" s="20"/>
      <c r="BS394" s="30"/>
      <c r="BT394" s="30"/>
      <c r="BU394" s="30"/>
      <c r="BV394" s="30"/>
      <c r="BW394" s="30"/>
      <c r="BX394" s="30"/>
      <c r="BY394" s="30"/>
      <c r="BZ394" s="30"/>
      <c r="CA394" s="30"/>
      <c r="CB394" s="30"/>
      <c r="CC394" s="30"/>
      <c r="CD394" s="30"/>
      <c r="CE394" s="20"/>
      <c r="CF394" s="23"/>
    </row>
    <row r="395" spans="22:84" ht="14.4" customHeight="1" x14ac:dyDescent="0.3">
      <c r="V395" s="33"/>
      <c r="AB395" s="269"/>
      <c r="AC395" s="87" t="s">
        <v>80</v>
      </c>
      <c r="AD395" s="245"/>
      <c r="AE395" s="246"/>
      <c r="AF395" s="90" t="s">
        <v>81</v>
      </c>
      <c r="AG395" s="88"/>
      <c r="AH395" s="85"/>
      <c r="AI395" s="335"/>
      <c r="AJ395" s="78" t="s">
        <v>82</v>
      </c>
      <c r="AK395" s="88"/>
      <c r="AL395" s="267" t="s">
        <v>83</v>
      </c>
      <c r="AM395" s="268"/>
      <c r="AN395" s="81"/>
      <c r="AO395" s="85"/>
      <c r="AP395" s="22"/>
      <c r="AQ395" s="34"/>
      <c r="AR395" s="20"/>
      <c r="AS395" s="20"/>
      <c r="AT395" s="20"/>
      <c r="AU395" s="20"/>
      <c r="AV395" s="20"/>
      <c r="AW395" s="20"/>
      <c r="AX395" s="20"/>
      <c r="AY395" s="20"/>
      <c r="BC395" s="20"/>
      <c r="BD395" s="335"/>
      <c r="BE395" s="29" t="s">
        <v>82</v>
      </c>
      <c r="BF395" s="29" t="str">
        <f>IF(ISBLANK($BF$11),"",$BF$11)</f>
        <v/>
      </c>
      <c r="BG395" s="20"/>
      <c r="BH395" s="20"/>
      <c r="BI395" s="20"/>
      <c r="BJ395" s="20"/>
      <c r="BK395" s="23"/>
      <c r="BL395" s="33"/>
      <c r="CF395" s="22"/>
    </row>
    <row r="396" spans="22:84" ht="14.4" customHeight="1" x14ac:dyDescent="0.3">
      <c r="V396" s="33"/>
      <c r="AP396" s="22"/>
      <c r="AQ396" s="356" t="s">
        <v>49</v>
      </c>
      <c r="AR396" s="342" t="s">
        <v>85</v>
      </c>
      <c r="AS396" s="342"/>
      <c r="AT396" s="14" t="s">
        <v>51</v>
      </c>
      <c r="AU396" s="14" t="s">
        <v>86</v>
      </c>
      <c r="AV396" s="10"/>
      <c r="AW396" s="14" t="s">
        <v>87</v>
      </c>
      <c r="AX396" s="272" t="s">
        <v>54</v>
      </c>
      <c r="AY396" s="272"/>
      <c r="AZ396" s="20"/>
      <c r="BA396" s="20"/>
      <c r="BB396" s="20"/>
      <c r="BC396" s="20"/>
      <c r="BD396" s="20"/>
      <c r="BE396" s="20"/>
      <c r="BF396" s="20"/>
      <c r="BG396" s="20"/>
      <c r="BH396" s="20"/>
      <c r="BI396" s="20"/>
      <c r="BJ396" s="20"/>
      <c r="BK396" s="23"/>
      <c r="BL396" s="128" t="s">
        <v>88</v>
      </c>
      <c r="BM396" s="129"/>
      <c r="BN396" s="130"/>
      <c r="BO396" s="131" t="s">
        <v>89</v>
      </c>
      <c r="BP396" s="132"/>
      <c r="BQ396" s="133"/>
      <c r="BR396" s="131" t="s">
        <v>90</v>
      </c>
      <c r="BS396" s="132"/>
      <c r="BT396" s="132"/>
      <c r="BU396" s="132"/>
      <c r="BV396" s="132"/>
      <c r="BW396" s="132"/>
      <c r="BX396" s="133"/>
      <c r="BY396" s="131" t="s">
        <v>91</v>
      </c>
      <c r="BZ396" s="132"/>
      <c r="CA396" s="132"/>
      <c r="CB396" s="133"/>
      <c r="CC396" s="131" t="s">
        <v>92</v>
      </c>
      <c r="CD396" s="132"/>
      <c r="CE396" s="132"/>
      <c r="CF396" s="156"/>
    </row>
    <row r="397" spans="22:84" ht="14.4" customHeight="1" x14ac:dyDescent="0.3">
      <c r="V397" s="262" t="s">
        <v>49</v>
      </c>
      <c r="W397" s="264" t="s">
        <v>94</v>
      </c>
      <c r="X397" s="264"/>
      <c r="Y397" s="31" t="s">
        <v>51</v>
      </c>
      <c r="Z397" s="14" t="s">
        <v>52</v>
      </c>
      <c r="AA397" s="14" t="s">
        <v>53</v>
      </c>
      <c r="AB397" s="108" t="s">
        <v>54</v>
      </c>
      <c r="AC397" s="110"/>
      <c r="AD397" s="363" t="s">
        <v>145</v>
      </c>
      <c r="AE397" s="364"/>
      <c r="AF397" s="108" t="s">
        <v>56</v>
      </c>
      <c r="AG397" s="109"/>
      <c r="AH397" s="109"/>
      <c r="AI397" s="109"/>
      <c r="AJ397" s="110"/>
      <c r="AK397" s="108" t="s">
        <v>57</v>
      </c>
      <c r="AL397" s="109"/>
      <c r="AM397" s="109"/>
      <c r="AN397" s="109"/>
      <c r="AO397" s="110"/>
      <c r="AP397" s="22"/>
      <c r="AQ397" s="357"/>
      <c r="AR397" s="342"/>
      <c r="AS397" s="342"/>
      <c r="AT397" s="14" t="s">
        <v>64</v>
      </c>
      <c r="AU397" s="14" t="s">
        <v>65</v>
      </c>
      <c r="AV397" s="14" t="s">
        <v>95</v>
      </c>
      <c r="AW397" s="14" t="s">
        <v>66</v>
      </c>
      <c r="AX397" s="14" t="s">
        <v>67</v>
      </c>
      <c r="AY397" s="14" t="s">
        <v>68</v>
      </c>
      <c r="AZ397" s="239" t="s">
        <v>69</v>
      </c>
      <c r="BA397" s="239"/>
      <c r="BB397" s="239"/>
      <c r="BC397" s="239" t="s">
        <v>70</v>
      </c>
      <c r="BD397" s="239"/>
      <c r="BE397" s="239"/>
      <c r="BF397" s="239" t="s">
        <v>71</v>
      </c>
      <c r="BG397" s="239"/>
      <c r="BH397" s="239"/>
      <c r="BI397" s="239" t="s">
        <v>72</v>
      </c>
      <c r="BJ397" s="239"/>
      <c r="BK397" s="240"/>
      <c r="BL397" s="158" t="s">
        <v>96</v>
      </c>
      <c r="BM397" s="159"/>
      <c r="BN397" s="35"/>
      <c r="BO397" s="134"/>
      <c r="BP397" s="135"/>
      <c r="BQ397" s="136"/>
      <c r="BR397" s="134"/>
      <c r="BS397" s="135"/>
      <c r="BT397" s="135"/>
      <c r="BU397" s="135"/>
      <c r="BV397" s="135"/>
      <c r="BW397" s="135"/>
      <c r="BX397" s="136"/>
      <c r="BY397" s="134"/>
      <c r="BZ397" s="135"/>
      <c r="CA397" s="135"/>
      <c r="CB397" s="136"/>
      <c r="CC397" s="134"/>
      <c r="CD397" s="135"/>
      <c r="CE397" s="135"/>
      <c r="CF397" s="157"/>
    </row>
    <row r="398" spans="22:84" ht="14.4" customHeight="1" x14ac:dyDescent="0.3">
      <c r="V398" s="263"/>
      <c r="W398" s="264"/>
      <c r="X398" s="264"/>
      <c r="Y398" s="31" t="s">
        <v>64</v>
      </c>
      <c r="Z398" s="14" t="s">
        <v>65</v>
      </c>
      <c r="AA398" s="14" t="s">
        <v>66</v>
      </c>
      <c r="AB398" s="14" t="s">
        <v>67</v>
      </c>
      <c r="AC398" s="14" t="s">
        <v>68</v>
      </c>
      <c r="AD398" s="365"/>
      <c r="AE398" s="366"/>
      <c r="AF398" s="14">
        <v>1</v>
      </c>
      <c r="AG398" s="14">
        <v>2</v>
      </c>
      <c r="AH398" s="14">
        <v>3</v>
      </c>
      <c r="AI398" s="14">
        <v>4</v>
      </c>
      <c r="AJ398" s="14">
        <v>5</v>
      </c>
      <c r="AK398" s="14">
        <v>1</v>
      </c>
      <c r="AL398" s="14">
        <v>2</v>
      </c>
      <c r="AM398" s="14">
        <v>3</v>
      </c>
      <c r="AN398" s="14">
        <v>4</v>
      </c>
      <c r="AO398" s="14">
        <v>5</v>
      </c>
      <c r="AP398" s="22"/>
      <c r="AQ398" s="36" t="str">
        <f>IF(ISBLANK(V399),"",V399)</f>
        <v/>
      </c>
      <c r="AR398" s="287" t="str">
        <f>IF(OR(AW398="QC",ISTEXT(Y399)), W399, "")</f>
        <v/>
      </c>
      <c r="AS398" s="288"/>
      <c r="AT398" s="37" t="str">
        <f>IF(OR(AW398="QC",ISTEXT(Y399)), Y399, "")</f>
        <v/>
      </c>
      <c r="AU398" s="37" t="str">
        <f>IF(OR(AW398="QC",ISTEXT(Y399)), Z399, "")</f>
        <v/>
      </c>
      <c r="AV398" s="37" t="str">
        <f>IF(ISBLANK(Z413),"",Z413)</f>
        <v/>
      </c>
      <c r="AW398" s="38" t="str">
        <f>IF(ISBLANK(AA399),"",AA399)</f>
        <v/>
      </c>
      <c r="AX398" s="38" t="str">
        <f>IF(OR(AW398="QC",ISTEXT(Y399)), AB399, "")</f>
        <v/>
      </c>
      <c r="AY398" s="38" t="str">
        <f>IF(OR(AW398="QC",ISTEXT(Y399)), AC399, "")</f>
        <v/>
      </c>
      <c r="AZ398" s="39"/>
      <c r="BA398" s="39"/>
      <c r="BB398" s="39"/>
      <c r="BC398" s="39"/>
      <c r="BD398" s="39"/>
      <c r="BE398" s="39"/>
      <c r="BF398" s="39"/>
      <c r="BG398" s="39"/>
      <c r="BH398" s="39"/>
      <c r="BI398" s="39"/>
      <c r="BJ398" s="39"/>
      <c r="BK398" s="40"/>
      <c r="BL398" s="158" t="s">
        <v>97</v>
      </c>
      <c r="BM398" s="159"/>
      <c r="BN398" s="41" t="s">
        <v>98</v>
      </c>
      <c r="BO398" s="204" t="s">
        <v>99</v>
      </c>
      <c r="BP398" s="205"/>
      <c r="BQ398" s="206"/>
      <c r="BR398" s="207" t="s">
        <v>100</v>
      </c>
      <c r="BS398" s="208"/>
      <c r="BT398" s="208"/>
      <c r="BU398" s="209"/>
      <c r="BV398" s="217"/>
      <c r="BW398" s="218"/>
      <c r="BX398" s="219"/>
      <c r="BY398" s="119"/>
      <c r="BZ398" s="120"/>
      <c r="CA398" s="120"/>
      <c r="CB398" s="121"/>
      <c r="CC398" s="119"/>
      <c r="CD398" s="120"/>
      <c r="CE398" s="120"/>
      <c r="CF398" s="214"/>
    </row>
    <row r="399" spans="22:84" ht="14.4" customHeight="1" x14ac:dyDescent="0.3">
      <c r="V399" s="36"/>
      <c r="W399" s="249"/>
      <c r="X399" s="250"/>
      <c r="Y399" s="37"/>
      <c r="Z399" s="38"/>
      <c r="AA399" s="38"/>
      <c r="AB399" s="38" t="str">
        <f t="shared" ref="AB399:AB410" si="348">IF(ISNUMBER(Y399),(Y399+Z399)/2-3*(Z399 - (Y399+Z399)/2) / (3 * AA413),"")</f>
        <v/>
      </c>
      <c r="AC399" s="38" t="str">
        <f t="shared" ref="AC399:AC410" si="349">IF(ISNUMBER(Z399),(Y399+Z399)/2+3*(Z399 - (Y399+Z399)/2) / (3 * AA413),"")</f>
        <v/>
      </c>
      <c r="AD399" s="247"/>
      <c r="AE399" s="248"/>
      <c r="AF399" s="39"/>
      <c r="AG399" s="39"/>
      <c r="AH399" s="39"/>
      <c r="AI399" s="39"/>
      <c r="AJ399" s="39"/>
      <c r="AK399" s="39"/>
      <c r="AL399" s="39"/>
      <c r="AM399" s="39"/>
      <c r="AN399" s="39"/>
      <c r="AO399" s="39"/>
      <c r="AP399" s="22"/>
      <c r="AQ399" s="36" t="str">
        <f t="shared" ref="AQ399:AQ409" si="350">IF(ISBLANK(V400),"",V400)</f>
        <v/>
      </c>
      <c r="AR399" s="287" t="str">
        <f t="shared" ref="AR399:AR409" si="351">IF(OR(AW399="QC",ISTEXT(Y400)), W400, "")</f>
        <v/>
      </c>
      <c r="AS399" s="288"/>
      <c r="AT399" s="37" t="str">
        <f t="shared" ref="AT399:AT409" si="352">IF(OR(AW399="QC",ISTEXT(Y400)), Y400, "")</f>
        <v/>
      </c>
      <c r="AU399" s="37" t="str">
        <f t="shared" ref="AU399:AU409" si="353">IF(OR(AW399="QC",ISTEXT(Y400)), Z400, "")</f>
        <v/>
      </c>
      <c r="AV399" s="37" t="str">
        <f t="shared" ref="AV399:AV409" si="354">IF(ISBLANK(Z414),"",Z414)</f>
        <v/>
      </c>
      <c r="AW399" s="38" t="str">
        <f t="shared" ref="AW399:AW409" si="355">IF(ISBLANK(AA400),"",AA400)</f>
        <v/>
      </c>
      <c r="AX399" s="38" t="str">
        <f t="shared" ref="AX399:AX409" si="356">IF(OR(AW399="QC",ISTEXT(Y400)), AB400, "")</f>
        <v/>
      </c>
      <c r="AY399" s="38" t="str">
        <f t="shared" ref="AY399:AY409" si="357">IF(OR(AW399="QC",ISTEXT(Y400)), AC400, "")</f>
        <v/>
      </c>
      <c r="AZ399" s="39"/>
      <c r="BA399" s="39"/>
      <c r="BB399" s="39"/>
      <c r="BC399" s="39"/>
      <c r="BD399" s="39"/>
      <c r="BE399" s="39"/>
      <c r="BF399" s="39"/>
      <c r="BG399" s="39"/>
      <c r="BH399" s="39"/>
      <c r="BI399" s="39"/>
      <c r="BJ399" s="39"/>
      <c r="BK399" s="40"/>
      <c r="BL399" s="158" t="s">
        <v>102</v>
      </c>
      <c r="BM399" s="159"/>
      <c r="BN399" s="42" t="s">
        <v>103</v>
      </c>
      <c r="BO399" s="119"/>
      <c r="BP399" s="120"/>
      <c r="BQ399" s="121"/>
      <c r="BR399" s="137" t="s">
        <v>104</v>
      </c>
      <c r="BS399" s="138"/>
      <c r="BT399" s="164"/>
      <c r="BU399" s="165"/>
      <c r="BV399" s="165"/>
      <c r="BW399" s="165"/>
      <c r="BX399" s="166"/>
      <c r="BY399" s="122"/>
      <c r="BZ399" s="123"/>
      <c r="CA399" s="123"/>
      <c r="CB399" s="124"/>
      <c r="CC399" s="122"/>
      <c r="CD399" s="123"/>
      <c r="CE399" s="123"/>
      <c r="CF399" s="215"/>
    </row>
    <row r="400" spans="22:84" ht="14.4" customHeight="1" x14ac:dyDescent="0.3">
      <c r="V400" s="36"/>
      <c r="W400" s="249"/>
      <c r="X400" s="250"/>
      <c r="Y400" s="37"/>
      <c r="Z400" s="38"/>
      <c r="AA400" s="38"/>
      <c r="AB400" s="38" t="str">
        <f t="shared" si="348"/>
        <v/>
      </c>
      <c r="AC400" s="38" t="str">
        <f t="shared" si="349"/>
        <v/>
      </c>
      <c r="AD400" s="247"/>
      <c r="AE400" s="248"/>
      <c r="AF400" s="39"/>
      <c r="AG400" s="39"/>
      <c r="AH400" s="39"/>
      <c r="AI400" s="39"/>
      <c r="AJ400" s="39"/>
      <c r="AK400" s="39"/>
      <c r="AL400" s="39"/>
      <c r="AM400" s="39"/>
      <c r="AN400" s="39"/>
      <c r="AO400" s="39"/>
      <c r="AP400" s="22"/>
      <c r="AQ400" s="36" t="str">
        <f t="shared" si="350"/>
        <v/>
      </c>
      <c r="AR400" s="287" t="str">
        <f t="shared" si="351"/>
        <v/>
      </c>
      <c r="AS400" s="288"/>
      <c r="AT400" s="37" t="str">
        <f t="shared" si="352"/>
        <v/>
      </c>
      <c r="AU400" s="37" t="str">
        <f t="shared" si="353"/>
        <v/>
      </c>
      <c r="AV400" s="37" t="str">
        <f t="shared" si="354"/>
        <v/>
      </c>
      <c r="AW400" s="38" t="str">
        <f t="shared" si="355"/>
        <v/>
      </c>
      <c r="AX400" s="38" t="str">
        <f t="shared" si="356"/>
        <v/>
      </c>
      <c r="AY400" s="38" t="str">
        <f t="shared" si="357"/>
        <v/>
      </c>
      <c r="AZ400" s="39"/>
      <c r="BA400" s="39"/>
      <c r="BB400" s="39"/>
      <c r="BC400" s="39"/>
      <c r="BD400" s="39"/>
      <c r="BE400" s="39"/>
      <c r="BF400" s="39"/>
      <c r="BG400" s="39"/>
      <c r="BH400" s="39"/>
      <c r="BI400" s="39"/>
      <c r="BJ400" s="39"/>
      <c r="BK400" s="40"/>
      <c r="BL400" s="210" t="s">
        <v>105</v>
      </c>
      <c r="BM400" s="211"/>
      <c r="BN400" s="28" t="s">
        <v>101</v>
      </c>
      <c r="BO400" s="125"/>
      <c r="BP400" s="126"/>
      <c r="BQ400" s="127"/>
      <c r="BR400" s="139"/>
      <c r="BS400" s="140"/>
      <c r="BT400" s="167"/>
      <c r="BU400" s="168"/>
      <c r="BV400" s="168"/>
      <c r="BW400" s="168"/>
      <c r="BX400" s="169"/>
      <c r="BY400" s="122"/>
      <c r="BZ400" s="123"/>
      <c r="CA400" s="123"/>
      <c r="CB400" s="124"/>
      <c r="CC400" s="122"/>
      <c r="CD400" s="123"/>
      <c r="CE400" s="123"/>
      <c r="CF400" s="215"/>
    </row>
    <row r="401" spans="22:84" ht="14.4" customHeight="1" x14ac:dyDescent="0.3">
      <c r="V401" s="36"/>
      <c r="W401" s="249"/>
      <c r="X401" s="250"/>
      <c r="Y401" s="37"/>
      <c r="Z401" s="38"/>
      <c r="AA401" s="38"/>
      <c r="AB401" s="38" t="str">
        <f t="shared" si="348"/>
        <v/>
      </c>
      <c r="AC401" s="38" t="str">
        <f t="shared" si="349"/>
        <v/>
      </c>
      <c r="AD401" s="247"/>
      <c r="AE401" s="248"/>
      <c r="AF401" s="39"/>
      <c r="AG401" s="39"/>
      <c r="AH401" s="39"/>
      <c r="AI401" s="39"/>
      <c r="AJ401" s="39"/>
      <c r="AK401" s="39"/>
      <c r="AL401" s="39"/>
      <c r="AM401" s="39"/>
      <c r="AN401" s="39"/>
      <c r="AO401" s="39"/>
      <c r="AP401" s="22"/>
      <c r="AQ401" s="36" t="str">
        <f t="shared" si="350"/>
        <v/>
      </c>
      <c r="AR401" s="287" t="str">
        <f t="shared" si="351"/>
        <v/>
      </c>
      <c r="AS401" s="288"/>
      <c r="AT401" s="37" t="str">
        <f t="shared" si="352"/>
        <v/>
      </c>
      <c r="AU401" s="37" t="str">
        <f t="shared" si="353"/>
        <v/>
      </c>
      <c r="AV401" s="37" t="str">
        <f t="shared" si="354"/>
        <v/>
      </c>
      <c r="AW401" s="38" t="str">
        <f t="shared" si="355"/>
        <v/>
      </c>
      <c r="AX401" s="38" t="str">
        <f t="shared" si="356"/>
        <v/>
      </c>
      <c r="AY401" s="38" t="str">
        <f t="shared" si="357"/>
        <v/>
      </c>
      <c r="AZ401" s="39"/>
      <c r="BA401" s="39"/>
      <c r="BB401" s="39"/>
      <c r="BC401" s="39"/>
      <c r="BD401" s="39"/>
      <c r="BE401" s="39"/>
      <c r="BF401" s="39"/>
      <c r="BG401" s="39"/>
      <c r="BH401" s="39"/>
      <c r="BI401" s="39"/>
      <c r="BJ401" s="39"/>
      <c r="BK401" s="40"/>
      <c r="BL401" s="212" t="s">
        <v>106</v>
      </c>
      <c r="BM401" s="205"/>
      <c r="BN401" s="206"/>
      <c r="BO401" s="213" t="s">
        <v>107</v>
      </c>
      <c r="BP401" s="159"/>
      <c r="BQ401" s="43"/>
      <c r="BR401" s="220" t="s">
        <v>108</v>
      </c>
      <c r="BS401" s="44" t="s">
        <v>109</v>
      </c>
      <c r="BT401" s="45"/>
      <c r="BU401" s="220" t="s">
        <v>110</v>
      </c>
      <c r="BV401" s="119"/>
      <c r="BW401" s="120"/>
      <c r="BX401" s="121"/>
      <c r="BY401" s="122"/>
      <c r="BZ401" s="123"/>
      <c r="CA401" s="123"/>
      <c r="CB401" s="124"/>
      <c r="CC401" s="122"/>
      <c r="CD401" s="123"/>
      <c r="CE401" s="123"/>
      <c r="CF401" s="215"/>
    </row>
    <row r="402" spans="22:84" ht="14.4" customHeight="1" x14ac:dyDescent="0.3">
      <c r="V402" s="36"/>
      <c r="W402" s="249"/>
      <c r="X402" s="250"/>
      <c r="Y402" s="37"/>
      <c r="Z402" s="38"/>
      <c r="AA402" s="38"/>
      <c r="AB402" s="38" t="str">
        <f t="shared" si="348"/>
        <v/>
      </c>
      <c r="AC402" s="38" t="str">
        <f t="shared" si="349"/>
        <v/>
      </c>
      <c r="AD402" s="247"/>
      <c r="AE402" s="248"/>
      <c r="AF402" s="39"/>
      <c r="AG402" s="39"/>
      <c r="AH402" s="39"/>
      <c r="AI402" s="39"/>
      <c r="AJ402" s="39"/>
      <c r="AK402" s="39"/>
      <c r="AL402" s="39"/>
      <c r="AM402" s="39"/>
      <c r="AN402" s="39"/>
      <c r="AO402" s="39"/>
      <c r="AP402" s="22"/>
      <c r="AQ402" s="36" t="str">
        <f t="shared" si="350"/>
        <v/>
      </c>
      <c r="AR402" s="287" t="str">
        <f t="shared" si="351"/>
        <v/>
      </c>
      <c r="AS402" s="288"/>
      <c r="AT402" s="37" t="str">
        <f t="shared" si="352"/>
        <v/>
      </c>
      <c r="AU402" s="37" t="str">
        <f t="shared" si="353"/>
        <v/>
      </c>
      <c r="AV402" s="37" t="str">
        <f t="shared" si="354"/>
        <v/>
      </c>
      <c r="AW402" s="38" t="str">
        <f t="shared" si="355"/>
        <v/>
      </c>
      <c r="AX402" s="38" t="str">
        <f t="shared" si="356"/>
        <v/>
      </c>
      <c r="AY402" s="38" t="str">
        <f t="shared" si="357"/>
        <v/>
      </c>
      <c r="AZ402" s="39"/>
      <c r="BA402" s="39"/>
      <c r="BB402" s="39"/>
      <c r="BC402" s="39"/>
      <c r="BD402" s="39"/>
      <c r="BE402" s="39"/>
      <c r="BF402" s="39"/>
      <c r="BG402" s="39"/>
      <c r="BH402" s="39"/>
      <c r="BI402" s="39"/>
      <c r="BJ402" s="39"/>
      <c r="BK402" s="40"/>
      <c r="BL402" s="199" t="s">
        <v>111</v>
      </c>
      <c r="BM402" s="154"/>
      <c r="BN402" s="200"/>
      <c r="BO402" s="201"/>
      <c r="BP402" s="202"/>
      <c r="BQ402" s="203"/>
      <c r="BR402" s="221"/>
      <c r="BS402" s="44" t="s">
        <v>112</v>
      </c>
      <c r="BT402" s="45"/>
      <c r="BU402" s="221"/>
      <c r="BV402" s="125"/>
      <c r="BW402" s="126"/>
      <c r="BX402" s="127"/>
      <c r="BY402" s="122"/>
      <c r="BZ402" s="123"/>
      <c r="CA402" s="123"/>
      <c r="CB402" s="124"/>
      <c r="CC402" s="122"/>
      <c r="CD402" s="123"/>
      <c r="CE402" s="123"/>
      <c r="CF402" s="215"/>
    </row>
    <row r="403" spans="22:84" ht="14.4" customHeight="1" x14ac:dyDescent="0.3">
      <c r="V403" s="36"/>
      <c r="W403" s="249"/>
      <c r="X403" s="250"/>
      <c r="Y403" s="37"/>
      <c r="Z403" s="38"/>
      <c r="AA403" s="38"/>
      <c r="AB403" s="38" t="str">
        <f t="shared" si="348"/>
        <v/>
      </c>
      <c r="AC403" s="38" t="str">
        <f t="shared" si="349"/>
        <v/>
      </c>
      <c r="AD403" s="247"/>
      <c r="AE403" s="248"/>
      <c r="AF403" s="39"/>
      <c r="AG403" s="39"/>
      <c r="AH403" s="39"/>
      <c r="AI403" s="39"/>
      <c r="AJ403" s="39"/>
      <c r="AK403" s="39"/>
      <c r="AL403" s="39"/>
      <c r="AM403" s="39"/>
      <c r="AN403" s="39"/>
      <c r="AO403" s="39"/>
      <c r="AP403" s="22"/>
      <c r="AQ403" s="36" t="str">
        <f t="shared" si="350"/>
        <v/>
      </c>
      <c r="AR403" s="287" t="str">
        <f t="shared" si="351"/>
        <v/>
      </c>
      <c r="AS403" s="288"/>
      <c r="AT403" s="37" t="str">
        <f t="shared" si="352"/>
        <v/>
      </c>
      <c r="AU403" s="37" t="str">
        <f t="shared" si="353"/>
        <v/>
      </c>
      <c r="AV403" s="37" t="str">
        <f t="shared" si="354"/>
        <v/>
      </c>
      <c r="AW403" s="38" t="str">
        <f t="shared" si="355"/>
        <v/>
      </c>
      <c r="AX403" s="38" t="str">
        <f t="shared" si="356"/>
        <v/>
      </c>
      <c r="AY403" s="38" t="str">
        <f t="shared" si="357"/>
        <v/>
      </c>
      <c r="AZ403" s="39"/>
      <c r="BA403" s="39"/>
      <c r="BB403" s="39"/>
      <c r="BC403" s="39"/>
      <c r="BD403" s="39"/>
      <c r="BE403" s="39"/>
      <c r="BF403" s="39"/>
      <c r="BG403" s="39"/>
      <c r="BH403" s="39"/>
      <c r="BI403" s="39"/>
      <c r="BJ403" s="39"/>
      <c r="BK403" s="40"/>
      <c r="BL403" s="170"/>
      <c r="BM403" s="171"/>
      <c r="BN403" s="172"/>
      <c r="BO403" s="179"/>
      <c r="BP403" s="171"/>
      <c r="BQ403" s="172"/>
      <c r="BR403" s="179"/>
      <c r="BS403" s="171"/>
      <c r="BT403" s="171"/>
      <c r="BU403" s="171"/>
      <c r="BV403" s="171"/>
      <c r="BW403" s="171"/>
      <c r="BX403" s="172"/>
      <c r="BY403" s="122"/>
      <c r="BZ403" s="123"/>
      <c r="CA403" s="123"/>
      <c r="CB403" s="124"/>
      <c r="CC403" s="122"/>
      <c r="CD403" s="123"/>
      <c r="CE403" s="123"/>
      <c r="CF403" s="215"/>
    </row>
    <row r="404" spans="22:84" ht="14.4" customHeight="1" x14ac:dyDescent="0.3">
      <c r="V404" s="36"/>
      <c r="W404" s="249"/>
      <c r="X404" s="250"/>
      <c r="Y404" s="37"/>
      <c r="Z404" s="38"/>
      <c r="AA404" s="38"/>
      <c r="AB404" s="38" t="str">
        <f t="shared" si="348"/>
        <v/>
      </c>
      <c r="AC404" s="38" t="str">
        <f t="shared" si="349"/>
        <v/>
      </c>
      <c r="AD404" s="247"/>
      <c r="AE404" s="248"/>
      <c r="AF404" s="39"/>
      <c r="AG404" s="39"/>
      <c r="AH404" s="39"/>
      <c r="AI404" s="39"/>
      <c r="AJ404" s="39"/>
      <c r="AK404" s="39"/>
      <c r="AL404" s="39"/>
      <c r="AM404" s="39"/>
      <c r="AN404" s="39"/>
      <c r="AO404" s="39"/>
      <c r="AP404" s="22"/>
      <c r="AQ404" s="36" t="str">
        <f t="shared" si="350"/>
        <v/>
      </c>
      <c r="AR404" s="287" t="str">
        <f t="shared" si="351"/>
        <v/>
      </c>
      <c r="AS404" s="288"/>
      <c r="AT404" s="37" t="str">
        <f t="shared" si="352"/>
        <v/>
      </c>
      <c r="AU404" s="37" t="str">
        <f t="shared" si="353"/>
        <v/>
      </c>
      <c r="AV404" s="37" t="str">
        <f t="shared" si="354"/>
        <v/>
      </c>
      <c r="AW404" s="38" t="str">
        <f t="shared" si="355"/>
        <v/>
      </c>
      <c r="AX404" s="38" t="str">
        <f t="shared" si="356"/>
        <v/>
      </c>
      <c r="AY404" s="38" t="str">
        <f t="shared" si="357"/>
        <v/>
      </c>
      <c r="AZ404" s="39"/>
      <c r="BA404" s="39"/>
      <c r="BB404" s="39"/>
      <c r="BC404" s="39"/>
      <c r="BD404" s="39"/>
      <c r="BE404" s="39"/>
      <c r="BF404" s="39"/>
      <c r="BG404" s="39"/>
      <c r="BH404" s="39"/>
      <c r="BI404" s="39"/>
      <c r="BJ404" s="39"/>
      <c r="BK404" s="40"/>
      <c r="BL404" s="173"/>
      <c r="BM404" s="174"/>
      <c r="BN404" s="175"/>
      <c r="BO404" s="180"/>
      <c r="BP404" s="174"/>
      <c r="BQ404" s="175"/>
      <c r="BR404" s="180"/>
      <c r="BS404" s="174"/>
      <c r="BT404" s="174"/>
      <c r="BU404" s="174"/>
      <c r="BV404" s="174"/>
      <c r="BW404" s="174"/>
      <c r="BX404" s="175"/>
      <c r="BY404" s="122"/>
      <c r="BZ404" s="123"/>
      <c r="CA404" s="123"/>
      <c r="CB404" s="124"/>
      <c r="CC404" s="122"/>
      <c r="CD404" s="123"/>
      <c r="CE404" s="123"/>
      <c r="CF404" s="215"/>
    </row>
    <row r="405" spans="22:84" ht="14.4" customHeight="1" x14ac:dyDescent="0.3">
      <c r="V405" s="36"/>
      <c r="W405" s="249"/>
      <c r="X405" s="250"/>
      <c r="Y405" s="37"/>
      <c r="Z405" s="38"/>
      <c r="AA405" s="38"/>
      <c r="AB405" s="38" t="str">
        <f t="shared" si="348"/>
        <v/>
      </c>
      <c r="AC405" s="38" t="str">
        <f t="shared" si="349"/>
        <v/>
      </c>
      <c r="AD405" s="247"/>
      <c r="AE405" s="248"/>
      <c r="AF405" s="39"/>
      <c r="AG405" s="39"/>
      <c r="AH405" s="39"/>
      <c r="AI405" s="39"/>
      <c r="AJ405" s="39"/>
      <c r="AK405" s="39"/>
      <c r="AL405" s="39"/>
      <c r="AM405" s="39"/>
      <c r="AN405" s="39"/>
      <c r="AO405" s="39"/>
      <c r="AP405" s="22"/>
      <c r="AQ405" s="36" t="str">
        <f t="shared" si="350"/>
        <v/>
      </c>
      <c r="AR405" s="287" t="str">
        <f t="shared" si="351"/>
        <v/>
      </c>
      <c r="AS405" s="288"/>
      <c r="AT405" s="37" t="str">
        <f t="shared" si="352"/>
        <v/>
      </c>
      <c r="AU405" s="37" t="str">
        <f t="shared" si="353"/>
        <v/>
      </c>
      <c r="AV405" s="37" t="str">
        <f t="shared" si="354"/>
        <v/>
      </c>
      <c r="AW405" s="38" t="str">
        <f t="shared" si="355"/>
        <v/>
      </c>
      <c r="AX405" s="38" t="str">
        <f t="shared" si="356"/>
        <v/>
      </c>
      <c r="AY405" s="38" t="str">
        <f t="shared" si="357"/>
        <v/>
      </c>
      <c r="AZ405" s="39"/>
      <c r="BA405" s="39"/>
      <c r="BB405" s="39"/>
      <c r="BC405" s="39"/>
      <c r="BD405" s="39"/>
      <c r="BE405" s="39"/>
      <c r="BF405" s="39"/>
      <c r="BG405" s="39"/>
      <c r="BH405" s="39"/>
      <c r="BI405" s="39"/>
      <c r="BJ405" s="39"/>
      <c r="BK405" s="40"/>
      <c r="BL405" s="173"/>
      <c r="BM405" s="174"/>
      <c r="BN405" s="175"/>
      <c r="BO405" s="180"/>
      <c r="BP405" s="174"/>
      <c r="BQ405" s="175"/>
      <c r="BR405" s="180"/>
      <c r="BS405" s="174"/>
      <c r="BT405" s="174"/>
      <c r="BU405" s="174"/>
      <c r="BV405" s="174"/>
      <c r="BW405" s="174"/>
      <c r="BX405" s="175"/>
      <c r="BY405" s="122"/>
      <c r="BZ405" s="123"/>
      <c r="CA405" s="123"/>
      <c r="CB405" s="124"/>
      <c r="CC405" s="122"/>
      <c r="CD405" s="123"/>
      <c r="CE405" s="123"/>
      <c r="CF405" s="215"/>
    </row>
    <row r="406" spans="22:84" ht="14.4" customHeight="1" x14ac:dyDescent="0.3">
      <c r="V406" s="36"/>
      <c r="W406" s="249"/>
      <c r="X406" s="250"/>
      <c r="Y406" s="37"/>
      <c r="Z406" s="38"/>
      <c r="AA406" s="38"/>
      <c r="AB406" s="38" t="str">
        <f t="shared" si="348"/>
        <v/>
      </c>
      <c r="AC406" s="38" t="str">
        <f t="shared" si="349"/>
        <v/>
      </c>
      <c r="AD406" s="247"/>
      <c r="AE406" s="248"/>
      <c r="AF406" s="39"/>
      <c r="AG406" s="39"/>
      <c r="AH406" s="39"/>
      <c r="AI406" s="39"/>
      <c r="AJ406" s="39"/>
      <c r="AK406" s="39"/>
      <c r="AL406" s="39"/>
      <c r="AM406" s="39"/>
      <c r="AN406" s="39"/>
      <c r="AO406" s="39"/>
      <c r="AP406" s="22"/>
      <c r="AQ406" s="36" t="str">
        <f t="shared" si="350"/>
        <v/>
      </c>
      <c r="AR406" s="287" t="str">
        <f t="shared" si="351"/>
        <v/>
      </c>
      <c r="AS406" s="288"/>
      <c r="AT406" s="37" t="str">
        <f t="shared" si="352"/>
        <v/>
      </c>
      <c r="AU406" s="37" t="str">
        <f t="shared" si="353"/>
        <v/>
      </c>
      <c r="AV406" s="37" t="str">
        <f t="shared" si="354"/>
        <v/>
      </c>
      <c r="AW406" s="38" t="str">
        <f t="shared" si="355"/>
        <v/>
      </c>
      <c r="AX406" s="38" t="str">
        <f t="shared" si="356"/>
        <v/>
      </c>
      <c r="AY406" s="38" t="str">
        <f t="shared" si="357"/>
        <v/>
      </c>
      <c r="AZ406" s="39"/>
      <c r="BA406" s="39"/>
      <c r="BB406" s="39"/>
      <c r="BC406" s="39"/>
      <c r="BD406" s="39"/>
      <c r="BE406" s="39"/>
      <c r="BF406" s="39"/>
      <c r="BG406" s="39"/>
      <c r="BH406" s="39"/>
      <c r="BI406" s="39"/>
      <c r="BJ406" s="39"/>
      <c r="BK406" s="40"/>
      <c r="BL406" s="173"/>
      <c r="BM406" s="174"/>
      <c r="BN406" s="175"/>
      <c r="BO406" s="180"/>
      <c r="BP406" s="174"/>
      <c r="BQ406" s="175"/>
      <c r="BR406" s="180"/>
      <c r="BS406" s="174"/>
      <c r="BT406" s="174"/>
      <c r="BU406" s="174"/>
      <c r="BV406" s="174"/>
      <c r="BW406" s="174"/>
      <c r="BX406" s="175"/>
      <c r="BY406" s="122"/>
      <c r="BZ406" s="123"/>
      <c r="CA406" s="123"/>
      <c r="CB406" s="124"/>
      <c r="CC406" s="122"/>
      <c r="CD406" s="123"/>
      <c r="CE406" s="123"/>
      <c r="CF406" s="215"/>
    </row>
    <row r="407" spans="22:84" ht="14.4" customHeight="1" x14ac:dyDescent="0.3">
      <c r="V407" s="36"/>
      <c r="W407" s="249"/>
      <c r="X407" s="250"/>
      <c r="Y407" s="37"/>
      <c r="Z407" s="38"/>
      <c r="AA407" s="38"/>
      <c r="AB407" s="38" t="str">
        <f t="shared" si="348"/>
        <v/>
      </c>
      <c r="AC407" s="38" t="str">
        <f t="shared" si="349"/>
        <v/>
      </c>
      <c r="AD407" s="247"/>
      <c r="AE407" s="248"/>
      <c r="AF407" s="39"/>
      <c r="AG407" s="39"/>
      <c r="AH407" s="39"/>
      <c r="AI407" s="39"/>
      <c r="AJ407" s="39"/>
      <c r="AK407" s="39"/>
      <c r="AL407" s="39"/>
      <c r="AM407" s="39"/>
      <c r="AN407" s="39"/>
      <c r="AO407" s="39"/>
      <c r="AP407" s="22"/>
      <c r="AQ407" s="36" t="str">
        <f t="shared" si="350"/>
        <v/>
      </c>
      <c r="AR407" s="287" t="str">
        <f t="shared" si="351"/>
        <v/>
      </c>
      <c r="AS407" s="288"/>
      <c r="AT407" s="37" t="str">
        <f t="shared" si="352"/>
        <v/>
      </c>
      <c r="AU407" s="37" t="str">
        <f t="shared" si="353"/>
        <v/>
      </c>
      <c r="AV407" s="37" t="str">
        <f t="shared" si="354"/>
        <v/>
      </c>
      <c r="AW407" s="38" t="str">
        <f t="shared" si="355"/>
        <v/>
      </c>
      <c r="AX407" s="38" t="str">
        <f t="shared" si="356"/>
        <v/>
      </c>
      <c r="AY407" s="38" t="str">
        <f t="shared" si="357"/>
        <v/>
      </c>
      <c r="AZ407" s="39"/>
      <c r="BA407" s="39"/>
      <c r="BB407" s="39"/>
      <c r="BC407" s="39"/>
      <c r="BD407" s="39"/>
      <c r="BE407" s="39"/>
      <c r="BF407" s="39"/>
      <c r="BG407" s="39"/>
      <c r="BH407" s="39"/>
      <c r="BI407" s="39"/>
      <c r="BJ407" s="39"/>
      <c r="BK407" s="40"/>
      <c r="BL407" s="173"/>
      <c r="BM407" s="174"/>
      <c r="BN407" s="175"/>
      <c r="BO407" s="180"/>
      <c r="BP407" s="174"/>
      <c r="BQ407" s="175"/>
      <c r="BR407" s="180"/>
      <c r="BS407" s="174"/>
      <c r="BT407" s="174"/>
      <c r="BU407" s="174"/>
      <c r="BV407" s="174"/>
      <c r="BW407" s="174"/>
      <c r="BX407" s="175"/>
      <c r="BY407" s="122"/>
      <c r="BZ407" s="123"/>
      <c r="CA407" s="123"/>
      <c r="CB407" s="124"/>
      <c r="CC407" s="122"/>
      <c r="CD407" s="123"/>
      <c r="CE407" s="123"/>
      <c r="CF407" s="215"/>
    </row>
    <row r="408" spans="22:84" ht="14.4" customHeight="1" x14ac:dyDescent="0.3">
      <c r="V408" s="36"/>
      <c r="W408" s="249"/>
      <c r="X408" s="250"/>
      <c r="Y408" s="37"/>
      <c r="Z408" s="38"/>
      <c r="AA408" s="38"/>
      <c r="AB408" s="38" t="str">
        <f t="shared" si="348"/>
        <v/>
      </c>
      <c r="AC408" s="38" t="str">
        <f t="shared" si="349"/>
        <v/>
      </c>
      <c r="AD408" s="247"/>
      <c r="AE408" s="248"/>
      <c r="AF408" s="39"/>
      <c r="AG408" s="39"/>
      <c r="AH408" s="39"/>
      <c r="AI408" s="39"/>
      <c r="AJ408" s="39"/>
      <c r="AK408" s="39"/>
      <c r="AL408" s="39"/>
      <c r="AM408" s="39"/>
      <c r="AN408" s="39"/>
      <c r="AO408" s="39"/>
      <c r="AP408" s="22"/>
      <c r="AQ408" s="36" t="str">
        <f t="shared" si="350"/>
        <v/>
      </c>
      <c r="AR408" s="287" t="str">
        <f t="shared" si="351"/>
        <v/>
      </c>
      <c r="AS408" s="288"/>
      <c r="AT408" s="37" t="str">
        <f t="shared" si="352"/>
        <v/>
      </c>
      <c r="AU408" s="37" t="str">
        <f t="shared" si="353"/>
        <v/>
      </c>
      <c r="AV408" s="37" t="str">
        <f t="shared" si="354"/>
        <v/>
      </c>
      <c r="AW408" s="38" t="str">
        <f t="shared" si="355"/>
        <v/>
      </c>
      <c r="AX408" s="38" t="str">
        <f t="shared" si="356"/>
        <v/>
      </c>
      <c r="AY408" s="38" t="str">
        <f t="shared" si="357"/>
        <v/>
      </c>
      <c r="AZ408" s="39"/>
      <c r="BA408" s="39"/>
      <c r="BB408" s="39"/>
      <c r="BC408" s="39"/>
      <c r="BD408" s="39"/>
      <c r="BE408" s="39"/>
      <c r="BF408" s="39"/>
      <c r="BG408" s="39"/>
      <c r="BH408" s="39"/>
      <c r="BI408" s="39"/>
      <c r="BJ408" s="39"/>
      <c r="BK408" s="40"/>
      <c r="BL408" s="173"/>
      <c r="BM408" s="174"/>
      <c r="BN408" s="175"/>
      <c r="BO408" s="180"/>
      <c r="BP408" s="174"/>
      <c r="BQ408" s="175"/>
      <c r="BR408" s="180"/>
      <c r="BS408" s="174"/>
      <c r="BT408" s="174"/>
      <c r="BU408" s="174"/>
      <c r="BV408" s="174"/>
      <c r="BW408" s="174"/>
      <c r="BX408" s="175"/>
      <c r="BY408" s="122"/>
      <c r="BZ408" s="123"/>
      <c r="CA408" s="123"/>
      <c r="CB408" s="124"/>
      <c r="CC408" s="122"/>
      <c r="CD408" s="123"/>
      <c r="CE408" s="123"/>
      <c r="CF408" s="215"/>
    </row>
    <row r="409" spans="22:84" ht="14.4" customHeight="1" x14ac:dyDescent="0.3">
      <c r="V409" s="36"/>
      <c r="W409" s="249"/>
      <c r="X409" s="250"/>
      <c r="Y409" s="37"/>
      <c r="Z409" s="38"/>
      <c r="AA409" s="38"/>
      <c r="AB409" s="38" t="str">
        <f t="shared" si="348"/>
        <v/>
      </c>
      <c r="AC409" s="38" t="str">
        <f t="shared" si="349"/>
        <v/>
      </c>
      <c r="AD409" s="247"/>
      <c r="AE409" s="248"/>
      <c r="AF409" s="39"/>
      <c r="AG409" s="39"/>
      <c r="AH409" s="39"/>
      <c r="AI409" s="39"/>
      <c r="AJ409" s="39"/>
      <c r="AK409" s="39"/>
      <c r="AL409" s="39"/>
      <c r="AM409" s="39"/>
      <c r="AN409" s="39"/>
      <c r="AO409" s="39"/>
      <c r="AP409" s="22"/>
      <c r="AQ409" s="36" t="str">
        <f t="shared" si="350"/>
        <v/>
      </c>
      <c r="AR409" s="287" t="str">
        <f t="shared" si="351"/>
        <v/>
      </c>
      <c r="AS409" s="288"/>
      <c r="AT409" s="37" t="str">
        <f t="shared" si="352"/>
        <v/>
      </c>
      <c r="AU409" s="37" t="str">
        <f t="shared" si="353"/>
        <v/>
      </c>
      <c r="AV409" s="37" t="str">
        <f t="shared" si="354"/>
        <v/>
      </c>
      <c r="AW409" s="38" t="str">
        <f t="shared" si="355"/>
        <v/>
      </c>
      <c r="AX409" s="38" t="str">
        <f t="shared" si="356"/>
        <v/>
      </c>
      <c r="AY409" s="38" t="str">
        <f t="shared" si="357"/>
        <v/>
      </c>
      <c r="AZ409" s="39"/>
      <c r="BA409" s="39"/>
      <c r="BB409" s="39"/>
      <c r="BC409" s="39"/>
      <c r="BD409" s="39"/>
      <c r="BE409" s="39"/>
      <c r="BF409" s="39"/>
      <c r="BG409" s="39"/>
      <c r="BH409" s="39"/>
      <c r="BI409" s="39"/>
      <c r="BJ409" s="39"/>
      <c r="BK409" s="40"/>
      <c r="BL409" s="173"/>
      <c r="BM409" s="174"/>
      <c r="BN409" s="175"/>
      <c r="BO409" s="180"/>
      <c r="BP409" s="174"/>
      <c r="BQ409" s="175"/>
      <c r="BR409" s="180"/>
      <c r="BS409" s="174"/>
      <c r="BT409" s="174"/>
      <c r="BU409" s="174"/>
      <c r="BV409" s="174"/>
      <c r="BW409" s="174"/>
      <c r="BX409" s="175"/>
      <c r="BY409" s="122"/>
      <c r="BZ409" s="123"/>
      <c r="CA409" s="123"/>
      <c r="CB409" s="124"/>
      <c r="CC409" s="122"/>
      <c r="CD409" s="123"/>
      <c r="CE409" s="123"/>
      <c r="CF409" s="215"/>
    </row>
    <row r="410" spans="22:84" ht="14.4" customHeight="1" x14ac:dyDescent="0.3">
      <c r="V410" s="36"/>
      <c r="W410" s="249"/>
      <c r="X410" s="250"/>
      <c r="Y410" s="37"/>
      <c r="Z410" s="38"/>
      <c r="AA410" s="38"/>
      <c r="AB410" s="38" t="str">
        <f t="shared" si="348"/>
        <v/>
      </c>
      <c r="AC410" s="38" t="str">
        <f t="shared" si="349"/>
        <v/>
      </c>
      <c r="AD410" s="247"/>
      <c r="AE410" s="248"/>
      <c r="AF410" s="39"/>
      <c r="AG410" s="39"/>
      <c r="AH410" s="39"/>
      <c r="AI410" s="39"/>
      <c r="AJ410" s="39"/>
      <c r="AK410" s="39"/>
      <c r="AL410" s="39"/>
      <c r="AM410" s="39"/>
      <c r="AN410" s="39"/>
      <c r="AO410" s="39"/>
      <c r="AP410" s="22"/>
      <c r="AQ410" s="325" t="s">
        <v>73</v>
      </c>
      <c r="AR410" s="318"/>
      <c r="AS410" s="318"/>
      <c r="AT410" s="317" t="s">
        <v>74</v>
      </c>
      <c r="AU410" s="318"/>
      <c r="AV410" s="318"/>
      <c r="AW410" s="317" t="s">
        <v>75</v>
      </c>
      <c r="AX410" s="318"/>
      <c r="AY410" s="319"/>
      <c r="AZ410" s="241" t="s">
        <v>76</v>
      </c>
      <c r="BA410" s="242"/>
      <c r="BB410" s="242"/>
      <c r="BC410" s="241" t="s">
        <v>77</v>
      </c>
      <c r="BD410" s="242"/>
      <c r="BE410" s="242"/>
      <c r="BF410" s="241" t="s">
        <v>78</v>
      </c>
      <c r="BG410" s="242"/>
      <c r="BH410" s="242"/>
      <c r="BI410" s="241" t="s">
        <v>79</v>
      </c>
      <c r="BJ410" s="242"/>
      <c r="BK410" s="243"/>
      <c r="BL410" s="173"/>
      <c r="BM410" s="174"/>
      <c r="BN410" s="175"/>
      <c r="BO410" s="180"/>
      <c r="BP410" s="174"/>
      <c r="BQ410" s="175"/>
      <c r="BR410" s="180"/>
      <c r="BS410" s="174"/>
      <c r="BT410" s="174"/>
      <c r="BU410" s="174"/>
      <c r="BV410" s="174"/>
      <c r="BW410" s="174"/>
      <c r="BX410" s="175"/>
      <c r="BY410" s="122"/>
      <c r="BZ410" s="123"/>
      <c r="CA410" s="123"/>
      <c r="CB410" s="124"/>
      <c r="CC410" s="122"/>
      <c r="CD410" s="123"/>
      <c r="CE410" s="123"/>
      <c r="CF410" s="215"/>
    </row>
    <row r="411" spans="22:84" ht="14.4" customHeight="1" x14ac:dyDescent="0.3">
      <c r="V411" s="353" t="s">
        <v>113</v>
      </c>
      <c r="W411" s="222"/>
      <c r="X411" s="222"/>
      <c r="Y411" s="222"/>
      <c r="Z411" s="222"/>
      <c r="AA411" s="222"/>
      <c r="AB411" s="222"/>
      <c r="AC411" s="222"/>
      <c r="AD411" s="222"/>
      <c r="AE411" s="250"/>
      <c r="AP411" s="22"/>
      <c r="AQ411" s="46"/>
      <c r="AR411" s="39"/>
      <c r="AS411" s="39"/>
      <c r="AT411" s="39"/>
      <c r="AU411" s="39"/>
      <c r="AV411" s="39"/>
      <c r="AW411" s="39"/>
      <c r="AX411" s="39"/>
      <c r="AY411" s="39"/>
      <c r="AZ411" s="39"/>
      <c r="BA411" s="39"/>
      <c r="BB411" s="39"/>
      <c r="BC411" s="39"/>
      <c r="BD411" s="39"/>
      <c r="BE411" s="39"/>
      <c r="BF411" s="39"/>
      <c r="BG411" s="39"/>
      <c r="BH411" s="39"/>
      <c r="BI411" s="39"/>
      <c r="BJ411" s="39"/>
      <c r="BK411" s="40"/>
      <c r="BL411" s="173"/>
      <c r="BM411" s="174"/>
      <c r="BN411" s="175"/>
      <c r="BO411" s="180"/>
      <c r="BP411" s="174"/>
      <c r="BQ411" s="175"/>
      <c r="BR411" s="180"/>
      <c r="BS411" s="174"/>
      <c r="BT411" s="174"/>
      <c r="BU411" s="174"/>
      <c r="BV411" s="174"/>
      <c r="BW411" s="174"/>
      <c r="BX411" s="175"/>
      <c r="BY411" s="122"/>
      <c r="BZ411" s="123"/>
      <c r="CA411" s="123"/>
      <c r="CB411" s="124"/>
      <c r="CC411" s="125"/>
      <c r="CD411" s="126"/>
      <c r="CE411" s="126"/>
      <c r="CF411" s="216"/>
    </row>
    <row r="412" spans="22:84" ht="14.4" customHeight="1" x14ac:dyDescent="0.3">
      <c r="V412" s="47"/>
      <c r="W412" s="10" t="s">
        <v>114</v>
      </c>
      <c r="X412" s="10" t="s">
        <v>115</v>
      </c>
      <c r="Y412" s="10" t="s">
        <v>116</v>
      </c>
      <c r="Z412" s="48" t="s">
        <v>117</v>
      </c>
      <c r="AA412" s="14" t="s">
        <v>118</v>
      </c>
      <c r="AB412" s="10" t="s">
        <v>119</v>
      </c>
      <c r="AC412" s="10" t="s">
        <v>120</v>
      </c>
      <c r="AD412" s="10" t="s">
        <v>121</v>
      </c>
      <c r="AE412" s="10" t="s">
        <v>122</v>
      </c>
      <c r="AP412" s="22"/>
      <c r="AQ412" s="46"/>
      <c r="AR412" s="28"/>
      <c r="AS412" s="28"/>
      <c r="AT412" s="28"/>
      <c r="AU412" s="28"/>
      <c r="AV412" s="28"/>
      <c r="AW412" s="28"/>
      <c r="AX412" s="28"/>
      <c r="AY412" s="28"/>
      <c r="AZ412" s="28"/>
      <c r="BA412" s="28"/>
      <c r="BB412" s="28"/>
      <c r="BC412" s="28"/>
      <c r="BD412" s="28"/>
      <c r="BE412" s="28"/>
      <c r="BF412" s="28"/>
      <c r="BG412" s="28"/>
      <c r="BH412" s="28"/>
      <c r="BI412" s="28"/>
      <c r="BJ412" s="28"/>
      <c r="BK412" s="51"/>
      <c r="BL412" s="173"/>
      <c r="BM412" s="174"/>
      <c r="BN412" s="175"/>
      <c r="BO412" s="180"/>
      <c r="BP412" s="174"/>
      <c r="BQ412" s="175"/>
      <c r="BR412" s="180"/>
      <c r="BS412" s="174"/>
      <c r="BT412" s="174"/>
      <c r="BU412" s="174"/>
      <c r="BV412" s="174"/>
      <c r="BW412" s="174"/>
      <c r="BX412" s="175"/>
      <c r="BY412" s="122"/>
      <c r="BZ412" s="123"/>
      <c r="CA412" s="123"/>
      <c r="CB412" s="124"/>
      <c r="CC412" s="150" t="s">
        <v>123</v>
      </c>
      <c r="CD412" s="151"/>
      <c r="CE412" s="151"/>
      <c r="CF412" s="152"/>
    </row>
    <row r="413" spans="22:84" ht="14.4" customHeight="1" x14ac:dyDescent="0.3">
      <c r="V413" s="49" t="str">
        <f>IF(ISBLANK(V399),"",V399)</f>
        <v/>
      </c>
      <c r="W413" s="38" t="str" cm="1">
        <f t="array" ref="W413">IF(Y399="", "", IF(AND(Y399&lt;=MIN(AF399:AO399),Z399&gt;=MAX(AF399:AO399)),"ACCEPT",IF(AND(AF399:AO399="OK"),"ACCEPT","REJECT")))</f>
        <v/>
      </c>
      <c r="X413" s="38" t="str">
        <f t="shared" ref="X413:X424" si="358">IF(TRIM(W413)="", "", MAX(AF399:AO399))</f>
        <v/>
      </c>
      <c r="Y413" s="38" t="str">
        <f t="shared" ref="Y413:Y424" si="359">IF(TRIM(W413)="", "", MIN(AF399:AO399))</f>
        <v/>
      </c>
      <c r="Z413" s="38" t="str">
        <f t="shared" ref="Z413:Z424" si="360">IF(ISNUMBER(Y399),"VARIABLE",IF(ISBLANK(Y399),"","ATTRIBUTE"))</f>
        <v/>
      </c>
      <c r="AA413" s="38">
        <f t="shared" ref="AA413:AA424" si="361">IF((AA399="QC"),1.33,1)</f>
        <v>1</v>
      </c>
      <c r="AB413" s="38">
        <f t="shared" ref="AB413:AB424" si="362">IF(COUNT(AF399:AO399)=0,0,AVERAGE(AF399:AO399))</f>
        <v>0</v>
      </c>
      <c r="AC413" s="38">
        <f t="shared" ref="AC413:AC424" si="363">MAX(AF399:AO399)-MIN(AF399:AO399)</f>
        <v>0</v>
      </c>
      <c r="AD413" s="38">
        <f t="shared" ref="AD413:AD424" si="364">IF(COUNT(AF399:AO399)=0,0,_xlfn.STDEV.S(AF399:AO399))</f>
        <v>0</v>
      </c>
      <c r="AE413" s="38" t="str">
        <f t="shared" ref="AE413:AE424" si="365">IF(AB413=0,"-",IF(AB413-Y399&lt;Z399-AB413,AB413-Y399,Z399-AB413)/(AD413*3))</f>
        <v>-</v>
      </c>
      <c r="AP413" s="22"/>
      <c r="AQ413" s="46"/>
      <c r="AR413" s="39"/>
      <c r="AS413" s="39"/>
      <c r="AT413" s="39"/>
      <c r="AU413" s="39"/>
      <c r="AV413" s="39"/>
      <c r="AW413" s="39"/>
      <c r="AX413" s="39"/>
      <c r="AY413" s="39"/>
      <c r="AZ413" s="39"/>
      <c r="BA413" s="39"/>
      <c r="BB413" s="39"/>
      <c r="BC413" s="39"/>
      <c r="BD413" s="39"/>
      <c r="BE413" s="39"/>
      <c r="BF413" s="39"/>
      <c r="BG413" s="39"/>
      <c r="BH413" s="39"/>
      <c r="BI413" s="39"/>
      <c r="BJ413" s="39"/>
      <c r="BK413" s="40"/>
      <c r="BL413" s="176"/>
      <c r="BM413" s="177"/>
      <c r="BN413" s="178"/>
      <c r="BO413" s="181"/>
      <c r="BP413" s="177"/>
      <c r="BQ413" s="178"/>
      <c r="BR413" s="181"/>
      <c r="BS413" s="177"/>
      <c r="BT413" s="177"/>
      <c r="BU413" s="177"/>
      <c r="BV413" s="177"/>
      <c r="BW413" s="177"/>
      <c r="BX413" s="178"/>
      <c r="BY413" s="125"/>
      <c r="BZ413" s="126"/>
      <c r="CA413" s="126"/>
      <c r="CB413" s="127"/>
      <c r="CC413" s="153"/>
      <c r="CD413" s="154"/>
      <c r="CE413" s="154"/>
      <c r="CF413" s="155"/>
    </row>
    <row r="414" spans="22:84" ht="14.4" customHeight="1" x14ac:dyDescent="0.3">
      <c r="V414" s="49" t="str">
        <f t="shared" ref="V414:V423" si="366">IF(ISBLANK(V400),"",V400)</f>
        <v/>
      </c>
      <c r="W414" s="38" t="str" cm="1">
        <f t="array" ref="W414">IF(Y400="", "", IF(AND(Y400&lt;=MIN(AF400:AO400),Z400&gt;=MAX(AF400:AO400)),"ACCEPT",IF(AND(AF400:AO400="OK"),"ACCEPT","REJECT")))</f>
        <v/>
      </c>
      <c r="X414" s="38" t="str">
        <f t="shared" si="358"/>
        <v/>
      </c>
      <c r="Y414" s="38" t="str">
        <f t="shared" si="359"/>
        <v/>
      </c>
      <c r="Z414" s="38" t="str">
        <f t="shared" si="360"/>
        <v/>
      </c>
      <c r="AA414" s="38">
        <f t="shared" si="361"/>
        <v>1</v>
      </c>
      <c r="AB414" s="38">
        <f t="shared" si="362"/>
        <v>0</v>
      </c>
      <c r="AC414" s="38">
        <f t="shared" si="363"/>
        <v>0</v>
      </c>
      <c r="AD414" s="38">
        <f t="shared" si="364"/>
        <v>0</v>
      </c>
      <c r="AE414" s="38" t="str">
        <f t="shared" si="365"/>
        <v>-</v>
      </c>
      <c r="AP414" s="22"/>
      <c r="AQ414" s="50"/>
      <c r="AR414" s="28"/>
      <c r="AS414" s="28"/>
      <c r="AT414" s="28"/>
      <c r="AU414" s="28"/>
      <c r="AV414" s="28"/>
      <c r="AW414" s="28"/>
      <c r="AX414" s="28"/>
      <c r="AY414" s="28"/>
      <c r="AZ414" s="28"/>
      <c r="BA414" s="28"/>
      <c r="BB414" s="28"/>
      <c r="BC414" s="28"/>
      <c r="BD414" s="28"/>
      <c r="BE414" s="28"/>
      <c r="BF414" s="28"/>
      <c r="BG414" s="28"/>
      <c r="BH414" s="28"/>
      <c r="BI414" s="28"/>
      <c r="BJ414" s="28"/>
      <c r="BK414" s="51"/>
      <c r="BL414" s="128" t="s">
        <v>88</v>
      </c>
      <c r="BM414" s="129"/>
      <c r="BN414" s="130"/>
      <c r="BO414" s="131" t="s">
        <v>89</v>
      </c>
      <c r="BP414" s="132"/>
      <c r="BQ414" s="133"/>
      <c r="BR414" s="131" t="s">
        <v>90</v>
      </c>
      <c r="BS414" s="132"/>
      <c r="BT414" s="132"/>
      <c r="BU414" s="132"/>
      <c r="BV414" s="132"/>
      <c r="BW414" s="132"/>
      <c r="BX414" s="133"/>
      <c r="BY414" s="131" t="s">
        <v>91</v>
      </c>
      <c r="BZ414" s="132"/>
      <c r="CA414" s="132"/>
      <c r="CB414" s="133"/>
      <c r="CC414" s="131" t="s">
        <v>92</v>
      </c>
      <c r="CD414" s="132"/>
      <c r="CE414" s="132"/>
      <c r="CF414" s="156"/>
    </row>
    <row r="415" spans="22:84" ht="14.4" customHeight="1" x14ac:dyDescent="0.3">
      <c r="V415" s="49" t="str">
        <f t="shared" si="366"/>
        <v/>
      </c>
      <c r="W415" s="38" t="str" cm="1">
        <f t="array" ref="W415">IF(Y401="", "", IF(AND(Y401&lt;=MIN(AF401:AO401),Z401&gt;=MAX(AF401:AO401)),"ACCEPT",IF(AND(AF401:AO401="OK"),"ACCEPT","REJECT")))</f>
        <v/>
      </c>
      <c r="X415" s="38" t="str">
        <f t="shared" si="358"/>
        <v/>
      </c>
      <c r="Y415" s="38" t="str">
        <f t="shared" si="359"/>
        <v/>
      </c>
      <c r="Z415" s="38" t="str">
        <f t="shared" si="360"/>
        <v/>
      </c>
      <c r="AA415" s="38">
        <f t="shared" si="361"/>
        <v>1</v>
      </c>
      <c r="AB415" s="38">
        <f t="shared" si="362"/>
        <v>0</v>
      </c>
      <c r="AC415" s="38">
        <f t="shared" si="363"/>
        <v>0</v>
      </c>
      <c r="AD415" s="38">
        <f t="shared" si="364"/>
        <v>0</v>
      </c>
      <c r="AE415" s="38" t="str">
        <f t="shared" si="365"/>
        <v>-</v>
      </c>
      <c r="AP415" s="22"/>
      <c r="AQ415" s="50"/>
      <c r="AR415" s="28"/>
      <c r="AS415" s="28"/>
      <c r="AT415" s="28"/>
      <c r="AU415" s="28"/>
      <c r="AV415" s="28"/>
      <c r="AW415" s="28"/>
      <c r="AX415" s="28"/>
      <c r="AY415" s="28"/>
      <c r="AZ415" s="28"/>
      <c r="BA415" s="28"/>
      <c r="BB415" s="28"/>
      <c r="BC415" s="28"/>
      <c r="BD415" s="28"/>
      <c r="BE415" s="28"/>
      <c r="BF415" s="28"/>
      <c r="BG415" s="28"/>
      <c r="BH415" s="28"/>
      <c r="BI415" s="28"/>
      <c r="BJ415" s="28"/>
      <c r="BK415" s="51"/>
      <c r="BL415" s="158" t="s">
        <v>96</v>
      </c>
      <c r="BM415" s="159"/>
      <c r="BN415" s="35"/>
      <c r="BO415" s="134"/>
      <c r="BP415" s="135"/>
      <c r="BQ415" s="136"/>
      <c r="BR415" s="134"/>
      <c r="BS415" s="135"/>
      <c r="BT415" s="135"/>
      <c r="BU415" s="135"/>
      <c r="BV415" s="135"/>
      <c r="BW415" s="135"/>
      <c r="BX415" s="136"/>
      <c r="BY415" s="134"/>
      <c r="BZ415" s="135"/>
      <c r="CA415" s="135"/>
      <c r="CB415" s="136"/>
      <c r="CC415" s="134"/>
      <c r="CD415" s="135"/>
      <c r="CE415" s="135"/>
      <c r="CF415" s="157"/>
    </row>
    <row r="416" spans="22:84" ht="14.4" customHeight="1" x14ac:dyDescent="0.3">
      <c r="V416" s="49" t="str">
        <f t="shared" si="366"/>
        <v/>
      </c>
      <c r="W416" s="38" t="str" cm="1">
        <f t="array" ref="W416">IF(Y402="", "", IF(AND(Y402&lt;=MIN(AF402:AO402),Z402&gt;=MAX(AF402:AO402)),"ACCEPT",IF(AND(AF402:AO402="OK"),"ACCEPT","REJECT")))</f>
        <v/>
      </c>
      <c r="X416" s="38" t="str">
        <f t="shared" si="358"/>
        <v/>
      </c>
      <c r="Y416" s="38" t="str">
        <f t="shared" si="359"/>
        <v/>
      </c>
      <c r="Z416" s="38" t="str">
        <f t="shared" si="360"/>
        <v/>
      </c>
      <c r="AA416" s="38">
        <f t="shared" si="361"/>
        <v>1</v>
      </c>
      <c r="AB416" s="38">
        <f t="shared" si="362"/>
        <v>0</v>
      </c>
      <c r="AC416" s="38">
        <f t="shared" si="363"/>
        <v>0</v>
      </c>
      <c r="AD416" s="38">
        <f t="shared" si="364"/>
        <v>0</v>
      </c>
      <c r="AE416" s="38" t="str">
        <f t="shared" si="365"/>
        <v>-</v>
      </c>
      <c r="AP416" s="22"/>
      <c r="AQ416" s="46"/>
      <c r="AR416" s="28"/>
      <c r="AS416" s="28"/>
      <c r="AT416" s="28"/>
      <c r="AU416" s="28"/>
      <c r="AV416" s="28"/>
      <c r="AW416" s="28"/>
      <c r="AX416" s="28"/>
      <c r="AY416" s="28"/>
      <c r="AZ416" s="28"/>
      <c r="BA416" s="28"/>
      <c r="BB416" s="28"/>
      <c r="BC416" s="28"/>
      <c r="BD416" s="28"/>
      <c r="BE416" s="28"/>
      <c r="BF416" s="28"/>
      <c r="BG416" s="28"/>
      <c r="BH416" s="28"/>
      <c r="BI416" s="28"/>
      <c r="BJ416" s="28"/>
      <c r="BK416" s="51"/>
      <c r="BL416" s="158" t="s">
        <v>97</v>
      </c>
      <c r="BM416" s="159"/>
      <c r="BN416" s="41" t="s">
        <v>98</v>
      </c>
      <c r="BO416" s="204" t="s">
        <v>99</v>
      </c>
      <c r="BP416" s="205"/>
      <c r="BQ416" s="206"/>
      <c r="BR416" s="207" t="s">
        <v>100</v>
      </c>
      <c r="BS416" s="208"/>
      <c r="BT416" s="208"/>
      <c r="BU416" s="209"/>
      <c r="BV416" s="217"/>
      <c r="BW416" s="218"/>
      <c r="BX416" s="219"/>
      <c r="BY416" s="119"/>
      <c r="BZ416" s="120"/>
      <c r="CA416" s="120"/>
      <c r="CB416" s="121"/>
      <c r="CC416" s="119"/>
      <c r="CD416" s="120"/>
      <c r="CE416" s="120"/>
      <c r="CF416" s="214"/>
    </row>
    <row r="417" spans="22:84" ht="14.4" customHeight="1" x14ac:dyDescent="0.3">
      <c r="V417" s="49" t="str">
        <f t="shared" si="366"/>
        <v/>
      </c>
      <c r="W417" s="38" t="str" cm="1">
        <f t="array" ref="W417">IF(Y403="", "", IF(AND(Y403&lt;=MIN(AF403:AO403),Z403&gt;=MAX(AF403:AO403)),"ACCEPT",IF(AND(AF403:AO403="OK"),"ACCEPT","REJECT")))</f>
        <v/>
      </c>
      <c r="X417" s="38" t="str">
        <f t="shared" si="358"/>
        <v/>
      </c>
      <c r="Y417" s="38" t="str">
        <f t="shared" si="359"/>
        <v/>
      </c>
      <c r="Z417" s="38" t="str">
        <f t="shared" si="360"/>
        <v/>
      </c>
      <c r="AA417" s="38">
        <f t="shared" si="361"/>
        <v>1</v>
      </c>
      <c r="AB417" s="38">
        <f t="shared" si="362"/>
        <v>0</v>
      </c>
      <c r="AC417" s="38">
        <f t="shared" si="363"/>
        <v>0</v>
      </c>
      <c r="AD417" s="38">
        <f t="shared" si="364"/>
        <v>0</v>
      </c>
      <c r="AE417" s="38" t="str">
        <f t="shared" si="365"/>
        <v>-</v>
      </c>
      <c r="AP417" s="22"/>
      <c r="AQ417" s="46"/>
      <c r="AR417" s="28"/>
      <c r="AS417" s="28"/>
      <c r="AT417" s="28"/>
      <c r="AU417" s="28"/>
      <c r="AV417" s="28"/>
      <c r="AW417" s="28"/>
      <c r="AX417" s="28"/>
      <c r="AY417" s="28"/>
      <c r="AZ417" s="28"/>
      <c r="BA417" s="28"/>
      <c r="BB417" s="28"/>
      <c r="BC417" s="28"/>
      <c r="BD417" s="28"/>
      <c r="BE417" s="28"/>
      <c r="BF417" s="28"/>
      <c r="BG417" s="28"/>
      <c r="BH417" s="28"/>
      <c r="BI417" s="28"/>
      <c r="BJ417" s="28"/>
      <c r="BK417" s="51"/>
      <c r="BL417" s="158" t="s">
        <v>102</v>
      </c>
      <c r="BM417" s="159"/>
      <c r="BN417" s="42" t="s">
        <v>103</v>
      </c>
      <c r="BO417" s="119"/>
      <c r="BP417" s="120"/>
      <c r="BQ417" s="121"/>
      <c r="BR417" s="160" t="s">
        <v>124</v>
      </c>
      <c r="BS417" s="161"/>
      <c r="BT417" s="164"/>
      <c r="BU417" s="165"/>
      <c r="BV417" s="165"/>
      <c r="BW417" s="165"/>
      <c r="BX417" s="166"/>
      <c r="BY417" s="122"/>
      <c r="BZ417" s="123"/>
      <c r="CA417" s="123"/>
      <c r="CB417" s="124"/>
      <c r="CC417" s="122"/>
      <c r="CD417" s="123"/>
      <c r="CE417" s="123"/>
      <c r="CF417" s="215"/>
    </row>
    <row r="418" spans="22:84" ht="14.4" customHeight="1" x14ac:dyDescent="0.3">
      <c r="V418" s="49" t="str">
        <f t="shared" si="366"/>
        <v/>
      </c>
      <c r="W418" s="38" t="str" cm="1">
        <f t="array" ref="W418">IF(Y404="", "", IF(AND(Y404&lt;=MIN(AF404:AO404),Z404&gt;=MAX(AF404:AO404)),"ACCEPT",IF(AND(AF404:AO404="OK"),"ACCEPT","REJECT")))</f>
        <v/>
      </c>
      <c r="X418" s="38" t="str">
        <f t="shared" si="358"/>
        <v/>
      </c>
      <c r="Y418" s="38" t="str">
        <f t="shared" si="359"/>
        <v/>
      </c>
      <c r="Z418" s="38" t="str">
        <f t="shared" si="360"/>
        <v/>
      </c>
      <c r="AA418" s="38">
        <f t="shared" si="361"/>
        <v>1</v>
      </c>
      <c r="AB418" s="38">
        <f t="shared" si="362"/>
        <v>0</v>
      </c>
      <c r="AC418" s="38">
        <f t="shared" si="363"/>
        <v>0</v>
      </c>
      <c r="AD418" s="38">
        <f t="shared" si="364"/>
        <v>0</v>
      </c>
      <c r="AE418" s="38" t="str">
        <f t="shared" si="365"/>
        <v>-</v>
      </c>
      <c r="AP418" s="22"/>
      <c r="AQ418" s="46"/>
      <c r="AR418" s="28"/>
      <c r="AS418" s="28"/>
      <c r="AT418" s="28"/>
      <c r="AU418" s="28"/>
      <c r="AV418" s="28"/>
      <c r="AW418" s="28"/>
      <c r="AX418" s="28"/>
      <c r="AY418" s="28"/>
      <c r="AZ418" s="28"/>
      <c r="BA418" s="28"/>
      <c r="BB418" s="28"/>
      <c r="BC418" s="28"/>
      <c r="BD418" s="28"/>
      <c r="BE418" s="28"/>
      <c r="BF418" s="28"/>
      <c r="BG418" s="28"/>
      <c r="BH418" s="28"/>
      <c r="BI418" s="28"/>
      <c r="BJ418" s="28"/>
      <c r="BK418" s="51"/>
      <c r="BL418" s="210" t="s">
        <v>105</v>
      </c>
      <c r="BM418" s="211"/>
      <c r="BN418" s="28" t="s">
        <v>101</v>
      </c>
      <c r="BO418" s="125"/>
      <c r="BP418" s="126"/>
      <c r="BQ418" s="127"/>
      <c r="BR418" s="162"/>
      <c r="BS418" s="163"/>
      <c r="BT418" s="167"/>
      <c r="BU418" s="168"/>
      <c r="BV418" s="168"/>
      <c r="BW418" s="168"/>
      <c r="BX418" s="169"/>
      <c r="BY418" s="122"/>
      <c r="BZ418" s="123"/>
      <c r="CA418" s="123"/>
      <c r="CB418" s="124"/>
      <c r="CC418" s="122"/>
      <c r="CD418" s="123"/>
      <c r="CE418" s="123"/>
      <c r="CF418" s="215"/>
    </row>
    <row r="419" spans="22:84" ht="14.4" customHeight="1" x14ac:dyDescent="0.3">
      <c r="V419" s="49" t="str">
        <f t="shared" si="366"/>
        <v/>
      </c>
      <c r="W419" s="38" t="str" cm="1">
        <f t="array" ref="W419">IF(Y405="", "", IF(AND(Y405&lt;=MIN(AF405:AO405),Z405&gt;=MAX(AF405:AO405)),"ACCEPT",IF(AND(AF405:AO405="OK"),"ACCEPT","REJECT")))</f>
        <v/>
      </c>
      <c r="X419" s="38" t="str">
        <f t="shared" si="358"/>
        <v/>
      </c>
      <c r="Y419" s="38" t="str">
        <f t="shared" si="359"/>
        <v/>
      </c>
      <c r="Z419" s="38" t="str">
        <f t="shared" si="360"/>
        <v/>
      </c>
      <c r="AA419" s="38">
        <f t="shared" si="361"/>
        <v>1</v>
      </c>
      <c r="AB419" s="38">
        <f t="shared" si="362"/>
        <v>0</v>
      </c>
      <c r="AC419" s="38">
        <f t="shared" si="363"/>
        <v>0</v>
      </c>
      <c r="AD419" s="38">
        <f t="shared" si="364"/>
        <v>0</v>
      </c>
      <c r="AE419" s="38" t="str">
        <f t="shared" si="365"/>
        <v>-</v>
      </c>
      <c r="AP419" s="22"/>
      <c r="AQ419" s="46"/>
      <c r="AR419" s="28"/>
      <c r="AS419" s="28"/>
      <c r="AT419" s="28"/>
      <c r="AU419" s="28"/>
      <c r="AV419" s="28"/>
      <c r="AW419" s="28"/>
      <c r="AX419" s="28"/>
      <c r="AY419" s="28"/>
      <c r="AZ419" s="28"/>
      <c r="BA419" s="28"/>
      <c r="BB419" s="28"/>
      <c r="BC419" s="28"/>
      <c r="BD419" s="28"/>
      <c r="BE419" s="28"/>
      <c r="BF419" s="28"/>
      <c r="BG419" s="28"/>
      <c r="BH419" s="28"/>
      <c r="BI419" s="28"/>
      <c r="BJ419" s="28"/>
      <c r="BK419" s="51"/>
      <c r="BL419" s="212" t="s">
        <v>106</v>
      </c>
      <c r="BM419" s="205"/>
      <c r="BN419" s="206"/>
      <c r="BO419" s="213" t="s">
        <v>107</v>
      </c>
      <c r="BP419" s="159"/>
      <c r="BQ419" s="43"/>
      <c r="BR419" s="220" t="s">
        <v>108</v>
      </c>
      <c r="BS419" s="44" t="s">
        <v>109</v>
      </c>
      <c r="BT419" s="45"/>
      <c r="BU419" s="220" t="s">
        <v>110</v>
      </c>
      <c r="BV419" s="119"/>
      <c r="BW419" s="120"/>
      <c r="BX419" s="121"/>
      <c r="BY419" s="122"/>
      <c r="BZ419" s="123"/>
      <c r="CA419" s="123"/>
      <c r="CB419" s="124"/>
      <c r="CC419" s="122"/>
      <c r="CD419" s="123"/>
      <c r="CE419" s="123"/>
      <c r="CF419" s="215"/>
    </row>
    <row r="420" spans="22:84" ht="14.4" customHeight="1" x14ac:dyDescent="0.3">
      <c r="V420" s="49" t="str">
        <f t="shared" si="366"/>
        <v/>
      </c>
      <c r="W420" s="38" t="str" cm="1">
        <f t="array" ref="W420">IF(Y406="", "", IF(AND(Y406&lt;=MIN(AF406:AO406),Z406&gt;=MAX(AF406:AO406)),"ACCEPT",IF(AND(AF406:AO406="OK"),"ACCEPT","REJECT")))</f>
        <v/>
      </c>
      <c r="X420" s="38" t="str">
        <f t="shared" si="358"/>
        <v/>
      </c>
      <c r="Y420" s="38" t="str">
        <f t="shared" si="359"/>
        <v/>
      </c>
      <c r="Z420" s="38" t="str">
        <f t="shared" si="360"/>
        <v/>
      </c>
      <c r="AA420" s="38">
        <f t="shared" si="361"/>
        <v>1</v>
      </c>
      <c r="AB420" s="38">
        <f t="shared" si="362"/>
        <v>0</v>
      </c>
      <c r="AC420" s="38">
        <f t="shared" si="363"/>
        <v>0</v>
      </c>
      <c r="AD420" s="38">
        <f t="shared" si="364"/>
        <v>0</v>
      </c>
      <c r="AE420" s="38" t="str">
        <f t="shared" si="365"/>
        <v>-</v>
      </c>
      <c r="AP420" s="22"/>
      <c r="AQ420" s="46"/>
      <c r="AR420" s="28"/>
      <c r="AS420" s="28"/>
      <c r="AT420" s="28"/>
      <c r="AU420" s="28"/>
      <c r="AV420" s="28"/>
      <c r="AW420" s="28"/>
      <c r="AX420" s="28"/>
      <c r="AY420" s="28"/>
      <c r="AZ420" s="28"/>
      <c r="BA420" s="28"/>
      <c r="BB420" s="28"/>
      <c r="BC420" s="28"/>
      <c r="BD420" s="28"/>
      <c r="BE420" s="28"/>
      <c r="BF420" s="28"/>
      <c r="BG420" s="28"/>
      <c r="BH420" s="28"/>
      <c r="BI420" s="28"/>
      <c r="BJ420" s="28"/>
      <c r="BK420" s="51"/>
      <c r="BL420" s="199"/>
      <c r="BM420" s="154"/>
      <c r="BN420" s="200"/>
      <c r="BO420" s="201"/>
      <c r="BP420" s="202"/>
      <c r="BQ420" s="203"/>
      <c r="BR420" s="221"/>
      <c r="BS420" s="44" t="s">
        <v>112</v>
      </c>
      <c r="BT420" s="45"/>
      <c r="BU420" s="221"/>
      <c r="BV420" s="125"/>
      <c r="BW420" s="126"/>
      <c r="BX420" s="127"/>
      <c r="BY420" s="122"/>
      <c r="BZ420" s="123"/>
      <c r="CA420" s="123"/>
      <c r="CB420" s="124"/>
      <c r="CC420" s="122"/>
      <c r="CD420" s="123"/>
      <c r="CE420" s="123"/>
      <c r="CF420" s="215"/>
    </row>
    <row r="421" spans="22:84" ht="14.4" customHeight="1" x14ac:dyDescent="0.3">
      <c r="V421" s="49" t="str">
        <f t="shared" si="366"/>
        <v/>
      </c>
      <c r="W421" s="38" t="str" cm="1">
        <f t="array" ref="W421">IF(Y407="", "", IF(AND(Y407&lt;=MIN(AF407:AO407),Z407&gt;=MAX(AF407:AO407)),"ACCEPT",IF(AND(AF407:AO407="OK"),"ACCEPT","REJECT")))</f>
        <v/>
      </c>
      <c r="X421" s="38" t="str">
        <f t="shared" si="358"/>
        <v/>
      </c>
      <c r="Y421" s="38" t="str">
        <f t="shared" si="359"/>
        <v/>
      </c>
      <c r="Z421" s="38" t="str">
        <f t="shared" si="360"/>
        <v/>
      </c>
      <c r="AA421" s="38">
        <f t="shared" si="361"/>
        <v>1</v>
      </c>
      <c r="AB421" s="38">
        <f t="shared" si="362"/>
        <v>0</v>
      </c>
      <c r="AC421" s="38">
        <f t="shared" si="363"/>
        <v>0</v>
      </c>
      <c r="AD421" s="38">
        <f t="shared" si="364"/>
        <v>0</v>
      </c>
      <c r="AE421" s="38" t="str">
        <f t="shared" si="365"/>
        <v>-</v>
      </c>
      <c r="AP421" s="22"/>
      <c r="AQ421" s="46"/>
      <c r="AR421" s="28"/>
      <c r="AS421" s="28"/>
      <c r="AT421" s="28"/>
      <c r="AU421" s="28"/>
      <c r="AV421" s="28"/>
      <c r="AW421" s="28"/>
      <c r="AX421" s="28"/>
      <c r="AY421" s="28"/>
      <c r="AZ421" s="28"/>
      <c r="BA421" s="28"/>
      <c r="BB421" s="28"/>
      <c r="BC421" s="28"/>
      <c r="BD421" s="28"/>
      <c r="BE421" s="28"/>
      <c r="BF421" s="28"/>
      <c r="BG421" s="28"/>
      <c r="BH421" s="28"/>
      <c r="BI421" s="28"/>
      <c r="BJ421" s="28"/>
      <c r="BK421" s="51"/>
      <c r="BL421" s="170"/>
      <c r="BM421" s="171"/>
      <c r="BN421" s="172"/>
      <c r="BO421" s="179"/>
      <c r="BP421" s="171"/>
      <c r="BQ421" s="172"/>
      <c r="BR421" s="179"/>
      <c r="BS421" s="171"/>
      <c r="BT421" s="171"/>
      <c r="BU421" s="171"/>
      <c r="BV421" s="171"/>
      <c r="BW421" s="171"/>
      <c r="BX421" s="172"/>
      <c r="BY421" s="122"/>
      <c r="BZ421" s="123"/>
      <c r="CA421" s="123"/>
      <c r="CB421" s="124"/>
      <c r="CC421" s="122"/>
      <c r="CD421" s="123"/>
      <c r="CE421" s="123"/>
      <c r="CF421" s="215"/>
    </row>
    <row r="422" spans="22:84" ht="14.4" customHeight="1" x14ac:dyDescent="0.3">
      <c r="V422" s="49" t="str">
        <f t="shared" si="366"/>
        <v/>
      </c>
      <c r="W422" s="38" t="str" cm="1">
        <f t="array" ref="W422">IF(Y408="", "", IF(AND(Y408&lt;=MIN(AF408:AO408),Z408&gt;=MAX(AF408:AO408)),"ACCEPT",IF(AND(AF408:AO408="OK"),"ACCEPT","REJECT")))</f>
        <v/>
      </c>
      <c r="X422" s="38" t="str">
        <f t="shared" si="358"/>
        <v/>
      </c>
      <c r="Y422" s="38" t="str">
        <f t="shared" si="359"/>
        <v/>
      </c>
      <c r="Z422" s="38" t="str">
        <f t="shared" si="360"/>
        <v/>
      </c>
      <c r="AA422" s="38">
        <f t="shared" si="361"/>
        <v>1</v>
      </c>
      <c r="AB422" s="38">
        <f t="shared" si="362"/>
        <v>0</v>
      </c>
      <c r="AC422" s="38">
        <f t="shared" si="363"/>
        <v>0</v>
      </c>
      <c r="AD422" s="38">
        <f t="shared" si="364"/>
        <v>0</v>
      </c>
      <c r="AE422" s="38" t="str">
        <f t="shared" si="365"/>
        <v>-</v>
      </c>
      <c r="AP422" s="22"/>
      <c r="AQ422" s="46"/>
      <c r="AR422" s="28"/>
      <c r="AS422" s="28"/>
      <c r="AT422" s="28"/>
      <c r="AU422" s="28"/>
      <c r="AV422" s="28"/>
      <c r="AW422" s="28"/>
      <c r="AX422" s="28"/>
      <c r="AY422" s="28"/>
      <c r="AZ422" s="28"/>
      <c r="BA422" s="28"/>
      <c r="BB422" s="28"/>
      <c r="BC422" s="28"/>
      <c r="BD422" s="28"/>
      <c r="BE422" s="28"/>
      <c r="BF422" s="28"/>
      <c r="BG422" s="28"/>
      <c r="BH422" s="28"/>
      <c r="BI422" s="28"/>
      <c r="BJ422" s="28"/>
      <c r="BK422" s="51"/>
      <c r="BL422" s="173"/>
      <c r="BM422" s="174"/>
      <c r="BN422" s="175"/>
      <c r="BO422" s="180"/>
      <c r="BP422" s="174"/>
      <c r="BQ422" s="175"/>
      <c r="BR422" s="180"/>
      <c r="BS422" s="174"/>
      <c r="BT422" s="174"/>
      <c r="BU422" s="174"/>
      <c r="BV422" s="174"/>
      <c r="BW422" s="174"/>
      <c r="BX422" s="175"/>
      <c r="BY422" s="122"/>
      <c r="BZ422" s="123"/>
      <c r="CA422" s="123"/>
      <c r="CB422" s="124"/>
      <c r="CC422" s="122"/>
      <c r="CD422" s="123"/>
      <c r="CE422" s="123"/>
      <c r="CF422" s="215"/>
    </row>
    <row r="423" spans="22:84" ht="14.4" customHeight="1" thickBot="1" x14ac:dyDescent="0.35">
      <c r="V423" s="49" t="str">
        <f t="shared" si="366"/>
        <v/>
      </c>
      <c r="W423" s="38" t="str" cm="1">
        <f t="array" ref="W423">IF(Y409="", "", IF(AND(Y409&lt;=MIN(AF409:AO409),Z409&gt;=MAX(AF409:AO409)),"ACCEPT",IF(AND(AF409:AO409="OK"),"ACCEPT","REJECT")))</f>
        <v/>
      </c>
      <c r="X423" s="38" t="str">
        <f t="shared" si="358"/>
        <v/>
      </c>
      <c r="Y423" s="38" t="str">
        <f t="shared" si="359"/>
        <v/>
      </c>
      <c r="Z423" s="38" t="str">
        <f t="shared" si="360"/>
        <v/>
      </c>
      <c r="AA423" s="38">
        <f t="shared" si="361"/>
        <v>1</v>
      </c>
      <c r="AB423" s="38">
        <f t="shared" si="362"/>
        <v>0</v>
      </c>
      <c r="AC423" s="38">
        <f t="shared" si="363"/>
        <v>0</v>
      </c>
      <c r="AD423" s="38">
        <f t="shared" si="364"/>
        <v>0</v>
      </c>
      <c r="AE423" s="38" t="str">
        <f t="shared" si="365"/>
        <v>-</v>
      </c>
      <c r="AP423" s="22"/>
      <c r="AQ423" s="358" t="s">
        <v>113</v>
      </c>
      <c r="AR423" s="145"/>
      <c r="AS423" s="145"/>
      <c r="AT423" s="145"/>
      <c r="AU423" s="145"/>
      <c r="AV423" s="145"/>
      <c r="AW423" s="145"/>
      <c r="AX423" s="145"/>
      <c r="AY423" s="285"/>
      <c r="AZ423" s="285"/>
      <c r="BA423" s="285"/>
      <c r="BB423" s="285"/>
      <c r="BC423" s="285"/>
      <c r="BD423" s="285"/>
      <c r="BE423" s="285"/>
      <c r="BF423" s="286"/>
      <c r="BK423" s="22"/>
      <c r="BL423" s="173"/>
      <c r="BM423" s="174"/>
      <c r="BN423" s="175"/>
      <c r="BO423" s="180"/>
      <c r="BP423" s="174"/>
      <c r="BQ423" s="175"/>
      <c r="BR423" s="180"/>
      <c r="BS423" s="174"/>
      <c r="BT423" s="174"/>
      <c r="BU423" s="174"/>
      <c r="BV423" s="174"/>
      <c r="BW423" s="174"/>
      <c r="BX423" s="175"/>
      <c r="BY423" s="122"/>
      <c r="BZ423" s="123"/>
      <c r="CA423" s="123"/>
      <c r="CB423" s="124"/>
      <c r="CC423" s="122"/>
      <c r="CD423" s="123"/>
      <c r="CE423" s="123"/>
      <c r="CF423" s="215"/>
    </row>
    <row r="424" spans="22:84" ht="14.4" customHeight="1" x14ac:dyDescent="0.3">
      <c r="V424" s="49" t="str">
        <f>IF(ISBLANK(V410),"",V410)</f>
        <v/>
      </c>
      <c r="W424" s="38" t="str" cm="1">
        <f t="array" ref="W424">IF(Y410="", "", IF(AND(Y410&lt;=MIN(AF410:AO410),Z410&gt;=MAX(AF410:AO410)),"ACCEPT",IF(AND(AF410:AO410="OK"),"ACCEPT","REJECT")))</f>
        <v/>
      </c>
      <c r="X424" s="38" t="str">
        <f t="shared" si="358"/>
        <v/>
      </c>
      <c r="Y424" s="38" t="str">
        <f t="shared" si="359"/>
        <v/>
      </c>
      <c r="Z424" s="38" t="str">
        <f t="shared" si="360"/>
        <v/>
      </c>
      <c r="AA424" s="38">
        <f t="shared" si="361"/>
        <v>1</v>
      </c>
      <c r="AB424" s="38">
        <f t="shared" si="362"/>
        <v>0</v>
      </c>
      <c r="AC424" s="38">
        <f t="shared" si="363"/>
        <v>0</v>
      </c>
      <c r="AD424" s="38">
        <f t="shared" si="364"/>
        <v>0</v>
      </c>
      <c r="AE424" s="38" t="str">
        <f t="shared" si="365"/>
        <v>-</v>
      </c>
      <c r="AP424" s="22"/>
      <c r="AQ424" s="52"/>
      <c r="AR424" s="53" t="s">
        <v>114</v>
      </c>
      <c r="AS424" s="53" t="s">
        <v>115</v>
      </c>
      <c r="AT424" s="53" t="s">
        <v>116</v>
      </c>
      <c r="AU424" s="53" t="s">
        <v>119</v>
      </c>
      <c r="AV424" s="53" t="s">
        <v>120</v>
      </c>
      <c r="AW424" s="53" t="s">
        <v>121</v>
      </c>
      <c r="AX424" s="54" t="s">
        <v>122</v>
      </c>
      <c r="AY424" s="52"/>
      <c r="AZ424" s="53" t="s">
        <v>114</v>
      </c>
      <c r="BA424" s="53" t="s">
        <v>115</v>
      </c>
      <c r="BB424" s="53" t="s">
        <v>116</v>
      </c>
      <c r="BC424" s="53" t="s">
        <v>119</v>
      </c>
      <c r="BD424" s="53" t="s">
        <v>120</v>
      </c>
      <c r="BE424" s="53" t="s">
        <v>121</v>
      </c>
      <c r="BF424" s="54" t="s">
        <v>122</v>
      </c>
      <c r="BK424" s="22"/>
      <c r="BL424" s="173"/>
      <c r="BM424" s="174"/>
      <c r="BN424" s="175"/>
      <c r="BO424" s="180"/>
      <c r="BP424" s="174"/>
      <c r="BQ424" s="175"/>
      <c r="BR424" s="180"/>
      <c r="BS424" s="174"/>
      <c r="BT424" s="174"/>
      <c r="BU424" s="174"/>
      <c r="BV424" s="174"/>
      <c r="BW424" s="174"/>
      <c r="BX424" s="175"/>
      <c r="BY424" s="122"/>
      <c r="BZ424" s="123"/>
      <c r="CA424" s="123"/>
      <c r="CB424" s="124"/>
      <c r="CC424" s="122"/>
      <c r="CD424" s="123"/>
      <c r="CE424" s="123"/>
      <c r="CF424" s="215"/>
    </row>
    <row r="425" spans="22:84" ht="14.4" customHeight="1" x14ac:dyDescent="0.3">
      <c r="V425" s="55"/>
      <c r="W425" s="56"/>
      <c r="X425" s="56"/>
      <c r="Y425" s="56"/>
      <c r="Z425" s="56"/>
      <c r="AP425" s="22"/>
      <c r="AQ425" s="49" t="str">
        <f>IF(ISBLANK(V399),"",V399)</f>
        <v/>
      </c>
      <c r="AR425" s="38" t="str" cm="1">
        <f t="array" ref="AR425">IF(AT398="", "", IF(AND(AT398&lt;=MIN(AZ398:BK398,AQ411:BK411),AU398&gt;=MAX(AZ398:BK398,AQ411:BK411)),"ACCEPT",IF(AND(AZ398:BK398,AQ411:BK411="OK"),"ACCEPT","REJECT")))</f>
        <v/>
      </c>
      <c r="AS425" s="38" t="str">
        <f>IF(TRIM(AR425)="", "", MAX(AZ398:BK398,AQ411:BK411))</f>
        <v/>
      </c>
      <c r="AT425" s="38" t="str">
        <f>IF(TRIM(AR425)="", "", MIN(AZ398:BK398,AQ411:BK411))</f>
        <v/>
      </c>
      <c r="AU425" s="38">
        <f>IF(COUNT(AZ398:BK398,AQ411:BK411)=0,0,AVERAGE(AZ398:BK398,AQ411:BK411))</f>
        <v>0</v>
      </c>
      <c r="AV425" s="38">
        <f t="shared" ref="AV425:AV430" si="367">MAX(AZ398:BK398,AQ411:BK411)-MIN(AZ398:BK398,AQ411:BK411)</f>
        <v>0</v>
      </c>
      <c r="AW425" s="38">
        <f>IF(COUNT(AZ398:BK398,AQ411:BK411)=0,0,_xlfn.STDEV.S(AZ398:BK398,AQ411:BK411))</f>
        <v>0</v>
      </c>
      <c r="AX425" s="57" t="str">
        <f>IF(AU425=0,"-",IF(AU425-AT398&lt;AU398-AU425,AU425-AT398,AU398-AU425)/(AW425*3))</f>
        <v>-</v>
      </c>
      <c r="AY425" s="49" t="str">
        <f>IF(ISBLANK(V405),"",V405)</f>
        <v/>
      </c>
      <c r="AZ425" s="38" t="str" cm="1">
        <f t="array" ref="AZ425">IF(AT404="", "", IF(AND(Y405&lt;=MIN(AZ404:BK404,AQ417:BK417),AU404&gt;=MAX(AZ404:BK404,AQ417:BK417)),"ACCEPT",IF(AND(AZ404:BK404,AQ417:BK417="OK"),"ACCEPT","REJECT")))</f>
        <v/>
      </c>
      <c r="BA425" s="38" t="str">
        <f>IF(TRIM(AZ425)="", "", MAX(AZ404:BK404,AQ417:BK417))</f>
        <v/>
      </c>
      <c r="BB425" s="38" t="str">
        <f t="shared" ref="BB425:BB430" si="368">IF(TRIM(AZ425)="", "", MIN(AZ404:BK404,AQ417:BK417))</f>
        <v/>
      </c>
      <c r="BC425" s="38">
        <f>IF(COUNT(AZ404:BK404,AQ417:BK417)=0,0,AVERAGE(AZ404:BK404,AQ417:BK417))</f>
        <v>0</v>
      </c>
      <c r="BD425" s="38">
        <f>MAX(AZ404:BK404,AQ417:BK417)-MIN(AZ404:BK404,AQ417:BK417)</f>
        <v>0</v>
      </c>
      <c r="BE425" s="38">
        <f>IF(COUNT(AZ404:BK404,AQ417:BK417)=0,0,_xlfn.STDEV.S(AZ404:BK404,AQ417:BK417))</f>
        <v>0</v>
      </c>
      <c r="BF425" s="57" t="str">
        <f>IF(BC425=0,"-",IF(BC425-AT404&lt;AU404-BC425,BC425-AT404,AU404-BC425)/(BE425*3))</f>
        <v>-</v>
      </c>
      <c r="BK425" s="22"/>
      <c r="BL425" s="173"/>
      <c r="BM425" s="174"/>
      <c r="BN425" s="175"/>
      <c r="BO425" s="180"/>
      <c r="BP425" s="174"/>
      <c r="BQ425" s="175"/>
      <c r="BR425" s="180"/>
      <c r="BS425" s="174"/>
      <c r="BT425" s="174"/>
      <c r="BU425" s="174"/>
      <c r="BV425" s="174"/>
      <c r="BW425" s="174"/>
      <c r="BX425" s="175"/>
      <c r="BY425" s="122"/>
      <c r="BZ425" s="123"/>
      <c r="CA425" s="123"/>
      <c r="CB425" s="124"/>
      <c r="CC425" s="122"/>
      <c r="CD425" s="123"/>
      <c r="CE425" s="123"/>
      <c r="CF425" s="215"/>
    </row>
    <row r="426" spans="22:84" ht="14.4" customHeight="1" x14ac:dyDescent="0.3">
      <c r="V426" s="58" t="s">
        <v>35</v>
      </c>
      <c r="W426" s="247"/>
      <c r="X426" s="248"/>
      <c r="Y426" s="277" t="s">
        <v>37</v>
      </c>
      <c r="Z426" s="278"/>
      <c r="AB426" s="253" t="s">
        <v>125</v>
      </c>
      <c r="AC426" s="171"/>
      <c r="AD426" s="171"/>
      <c r="AE426" s="172"/>
      <c r="AG426" s="249" t="s">
        <v>126</v>
      </c>
      <c r="AH426" s="250"/>
      <c r="AI426" s="249" t="s">
        <v>9</v>
      </c>
      <c r="AJ426" s="250"/>
      <c r="AL426" s="249" t="s">
        <v>126</v>
      </c>
      <c r="AM426" s="250"/>
      <c r="AN426" s="249" t="s">
        <v>9</v>
      </c>
      <c r="AO426" s="250"/>
      <c r="AP426" s="22"/>
      <c r="AQ426" s="49" t="str">
        <f t="shared" ref="AQ426:AQ430" si="369">IF(ISBLANK(V400),"",V400)</f>
        <v/>
      </c>
      <c r="AR426" s="38" t="str" cm="1">
        <f t="array" ref="AR426">IF(AT399="", "", IF(AND(AT399&lt;=MIN(AZ399:BK399,AQ412:BK412),AU399&gt;=MAX(AZ399:BK399,AQ412:BK412)),"ACCEPT",IF(AND(AZ399:BK399,AQ412:BK412="OK"),"ACCEPT","REJECT")))</f>
        <v/>
      </c>
      <c r="AS426" s="38" t="str">
        <f t="shared" ref="AS426:AS430" si="370">IF(TRIM(AR426)="", "", MAX(AZ399:BK399,AQ412:BK412))</f>
        <v/>
      </c>
      <c r="AT426" s="38" t="str">
        <f t="shared" ref="AT426:AT430" si="371">IF(TRIM(AR426)="", "", MIN(AZ399:BK399,AQ412:BK412))</f>
        <v/>
      </c>
      <c r="AU426" s="38">
        <f t="shared" ref="AU426:AU430" si="372">IF(COUNT(AZ399:BK399,AQ412:BK412)=0,0,AVERAGE(AZ399:BK399,AQ412:BK412))</f>
        <v>0</v>
      </c>
      <c r="AV426" s="38">
        <f t="shared" si="367"/>
        <v>0</v>
      </c>
      <c r="AW426" s="38">
        <f t="shared" ref="AW426:AW430" si="373">IF(COUNT(AZ399:BK399,AQ412:BK412)=0,0,_xlfn.STDEV.S(AZ399:BK399,AQ412:BK412))</f>
        <v>0</v>
      </c>
      <c r="AX426" s="57" t="str">
        <f t="shared" ref="AX426:AX430" si="374">IF(AU426=0,"-",IF(AU426-AT399&lt;AU399-AU426,AU426-AT399,AU399-AU426)/(AW426*3))</f>
        <v>-</v>
      </c>
      <c r="AY426" s="49" t="str">
        <f t="shared" ref="AY426:AY430" si="375">IF(ISBLANK(V406),"",V406)</f>
        <v/>
      </c>
      <c r="AZ426" s="38" t="str" cm="1">
        <f t="array" ref="AZ426">IF(AT405="", "", IF(AND(Y406&lt;=MIN(AZ405:BK405,AQ418:BK418),AU405&gt;=MAX(AZ405:BK405,AQ418:BK418)),"ACCEPT",IF(AND(AZ405:BK405,AQ418:BK418="OK"),"ACCEPT","REJECT")))</f>
        <v/>
      </c>
      <c r="BA426" s="38" t="str">
        <f t="shared" ref="BA426:BA430" si="376">IF(TRIM(AZ426)="", "", MAX(AZ405:BK405,AQ418:BK418))</f>
        <v/>
      </c>
      <c r="BB426" s="38" t="str">
        <f t="shared" si="368"/>
        <v/>
      </c>
      <c r="BC426" s="38">
        <f t="shared" ref="BC426:BC430" si="377">IF(COUNT(AZ405:BK405,AQ418:BK418)=0,0,AVERAGE(AZ405:BK405,AQ418:BK418))</f>
        <v>0</v>
      </c>
      <c r="BD426" s="38">
        <f t="shared" ref="BD426:BD430" si="378">MAX(AZ405:BK405,AQ418:BK418)-MIN(AZ405:BK405,AQ418:BK418)</f>
        <v>0</v>
      </c>
      <c r="BE426" s="38">
        <f t="shared" ref="BE426:BE430" si="379">IF(COUNT(AZ405:BK405,AQ418:BK418)=0,0,_xlfn.STDEV.S(AZ405:BK405,AQ418:BK418))</f>
        <v>0</v>
      </c>
      <c r="BF426" s="57" t="str">
        <f t="shared" ref="BF426:BF430" si="380">IF(BC426=0,"-",IF(BC426-AT405&lt;AU405-BC426,BC426-AT405,AU405-BC426)/(BE426*3))</f>
        <v>-</v>
      </c>
      <c r="BG426" s="61" t="s">
        <v>126</v>
      </c>
      <c r="BH426" s="60"/>
      <c r="BI426" s="59" t="s">
        <v>9</v>
      </c>
      <c r="BJ426" s="60"/>
      <c r="BK426" s="22"/>
      <c r="BL426" s="173"/>
      <c r="BM426" s="174"/>
      <c r="BN426" s="175"/>
      <c r="BO426" s="180"/>
      <c r="BP426" s="174"/>
      <c r="BQ426" s="175"/>
      <c r="BR426" s="180"/>
      <c r="BS426" s="174"/>
      <c r="BT426" s="174"/>
      <c r="BU426" s="174"/>
      <c r="BV426" s="174"/>
      <c r="BW426" s="174"/>
      <c r="BX426" s="175"/>
      <c r="BY426" s="122"/>
      <c r="BZ426" s="123"/>
      <c r="CA426" s="123"/>
      <c r="CB426" s="124"/>
      <c r="CC426" s="122"/>
      <c r="CD426" s="123"/>
      <c r="CE426" s="123"/>
      <c r="CF426" s="215"/>
    </row>
    <row r="427" spans="22:84" ht="14.4" customHeight="1" x14ac:dyDescent="0.3">
      <c r="V427" s="33"/>
      <c r="Y427" s="279"/>
      <c r="Z427" s="280"/>
      <c r="AB427" s="259"/>
      <c r="AC427" s="177"/>
      <c r="AD427" s="177"/>
      <c r="AE427" s="178"/>
      <c r="AG427" s="179"/>
      <c r="AH427" s="172"/>
      <c r="AI427" s="179"/>
      <c r="AJ427" s="172"/>
      <c r="AL427" s="179"/>
      <c r="AM427" s="172"/>
      <c r="AN427" s="179"/>
      <c r="AO427" s="172"/>
      <c r="AP427" s="22"/>
      <c r="AQ427" s="49" t="str">
        <f t="shared" si="369"/>
        <v/>
      </c>
      <c r="AR427" s="38" t="str" cm="1">
        <f t="array" ref="AR427">IF(AT400="", "", IF(AND(AT400&lt;=MIN(AZ400:BK400,AQ413:BK413),AU400&gt;=MAX(AZ400:BK400,AQ413:BK413)),"ACCEPT",IF(AND(AZ400:BK400,AQ413:BK413="OK"),"ACCEPT","REJECT")))</f>
        <v/>
      </c>
      <c r="AS427" s="38" t="str">
        <f t="shared" si="370"/>
        <v/>
      </c>
      <c r="AT427" s="38" t="str">
        <f t="shared" si="371"/>
        <v/>
      </c>
      <c r="AU427" s="38">
        <f t="shared" si="372"/>
        <v>0</v>
      </c>
      <c r="AV427" s="38">
        <f t="shared" si="367"/>
        <v>0</v>
      </c>
      <c r="AW427" s="38">
        <f t="shared" si="373"/>
        <v>0</v>
      </c>
      <c r="AX427" s="57" t="str">
        <f t="shared" si="374"/>
        <v>-</v>
      </c>
      <c r="AY427" s="49" t="str">
        <f t="shared" si="375"/>
        <v/>
      </c>
      <c r="AZ427" s="38" t="str" cm="1">
        <f t="array" ref="AZ427">IF(AT406="", "", IF(AND(Y407&lt;=MIN(AZ406:BK406,AQ419:BK419),AU406&gt;=MAX(AZ406:BK406,AQ419:BK419)),"ACCEPT",IF(AND(AZ406:BK406,AQ419:BK419="OK"),"ACCEPT","REJECT")))</f>
        <v/>
      </c>
      <c r="BA427" s="38" t="str">
        <f t="shared" si="376"/>
        <v/>
      </c>
      <c r="BB427" s="38" t="str">
        <f t="shared" si="368"/>
        <v/>
      </c>
      <c r="BC427" s="38">
        <f t="shared" si="377"/>
        <v>0</v>
      </c>
      <c r="BD427" s="38">
        <f t="shared" si="378"/>
        <v>0</v>
      </c>
      <c r="BE427" s="38">
        <f t="shared" si="379"/>
        <v>0</v>
      </c>
      <c r="BF427" s="57" t="str">
        <f t="shared" si="380"/>
        <v>-</v>
      </c>
      <c r="BG427" s="170"/>
      <c r="BH427" s="172"/>
      <c r="BI427" s="179"/>
      <c r="BJ427" s="172"/>
      <c r="BK427" s="22"/>
      <c r="BL427" s="173"/>
      <c r="BM427" s="174"/>
      <c r="BN427" s="175"/>
      <c r="BO427" s="180"/>
      <c r="BP427" s="174"/>
      <c r="BQ427" s="175"/>
      <c r="BR427" s="180"/>
      <c r="BS427" s="174"/>
      <c r="BT427" s="174"/>
      <c r="BU427" s="174"/>
      <c r="BV427" s="174"/>
      <c r="BW427" s="174"/>
      <c r="BX427" s="175"/>
      <c r="BY427" s="122"/>
      <c r="BZ427" s="123"/>
      <c r="CA427" s="123"/>
      <c r="CB427" s="124"/>
      <c r="CC427" s="122"/>
      <c r="CD427" s="123"/>
      <c r="CE427" s="123"/>
      <c r="CF427" s="215"/>
    </row>
    <row r="428" spans="22:84" ht="14.4" customHeight="1" x14ac:dyDescent="0.3">
      <c r="V428" s="33" t="s">
        <v>36</v>
      </c>
      <c r="W428" s="247"/>
      <c r="X428" s="248"/>
      <c r="Y428" s="281"/>
      <c r="Z428" s="282"/>
      <c r="AB428" s="273" t="s">
        <v>141</v>
      </c>
      <c r="AC428" s="48" t="s">
        <v>127</v>
      </c>
      <c r="AD428" s="276" t="s">
        <v>128</v>
      </c>
      <c r="AE428" s="276"/>
      <c r="AG428" s="180"/>
      <c r="AH428" s="175"/>
      <c r="AI428" s="180"/>
      <c r="AJ428" s="175"/>
      <c r="AL428" s="180"/>
      <c r="AM428" s="175"/>
      <c r="AN428" s="180"/>
      <c r="AO428" s="175"/>
      <c r="AP428" s="22"/>
      <c r="AQ428" s="49" t="str">
        <f t="shared" si="369"/>
        <v/>
      </c>
      <c r="AR428" s="38" t="str" cm="1">
        <f t="array" ref="AR428">IF(AT401="", "", IF(AND(AT401&lt;=MIN(AZ401:BK401,AQ414:BK414),AU401&gt;=MAX(AZ401:BK401,AQ414:BK414)),"ACCEPT",IF(AND(AZ401:BK401,AQ414:BK414="OK"),"ACCEPT","REJECT")))</f>
        <v/>
      </c>
      <c r="AS428" s="38" t="str">
        <f t="shared" si="370"/>
        <v/>
      </c>
      <c r="AT428" s="38" t="str">
        <f t="shared" si="371"/>
        <v/>
      </c>
      <c r="AU428" s="38">
        <f t="shared" si="372"/>
        <v>0</v>
      </c>
      <c r="AV428" s="38">
        <f t="shared" si="367"/>
        <v>0</v>
      </c>
      <c r="AW428" s="38">
        <f t="shared" si="373"/>
        <v>0</v>
      </c>
      <c r="AX428" s="57" t="str">
        <f t="shared" si="374"/>
        <v>-</v>
      </c>
      <c r="AY428" s="49" t="str">
        <f t="shared" si="375"/>
        <v/>
      </c>
      <c r="AZ428" s="38" t="str" cm="1">
        <f t="array" ref="AZ428">IF(AT407="", "", IF(AND(Y408&lt;=MIN(AZ407:BK407,AQ420:BK420),AU407&gt;=MAX(AZ407:BK407,AQ420:BK420)),"ACCEPT",IF(AND(AZ407:BK407,AQ420:BK420="OK"),"ACCEPT","REJECT")))</f>
        <v/>
      </c>
      <c r="BA428" s="38" t="str">
        <f t="shared" si="376"/>
        <v/>
      </c>
      <c r="BB428" s="38" t="str">
        <f t="shared" si="368"/>
        <v/>
      </c>
      <c r="BC428" s="38">
        <f t="shared" si="377"/>
        <v>0</v>
      </c>
      <c r="BD428" s="38">
        <f t="shared" si="378"/>
        <v>0</v>
      </c>
      <c r="BE428" s="38">
        <f t="shared" si="379"/>
        <v>0</v>
      </c>
      <c r="BF428" s="57" t="str">
        <f t="shared" si="380"/>
        <v>-</v>
      </c>
      <c r="BG428" s="173"/>
      <c r="BH428" s="175"/>
      <c r="BI428" s="180"/>
      <c r="BJ428" s="175"/>
      <c r="BK428" s="22"/>
      <c r="BL428" s="173"/>
      <c r="BM428" s="174"/>
      <c r="BN428" s="175"/>
      <c r="BO428" s="180"/>
      <c r="BP428" s="174"/>
      <c r="BQ428" s="175"/>
      <c r="BR428" s="180"/>
      <c r="BS428" s="174"/>
      <c r="BT428" s="174"/>
      <c r="BU428" s="174"/>
      <c r="BV428" s="174"/>
      <c r="BW428" s="174"/>
      <c r="BX428" s="175"/>
      <c r="BY428" s="122"/>
      <c r="BZ428" s="123"/>
      <c r="CA428" s="123"/>
      <c r="CB428" s="124"/>
      <c r="CC428" s="122"/>
      <c r="CD428" s="123"/>
      <c r="CE428" s="123"/>
      <c r="CF428" s="215"/>
    </row>
    <row r="429" spans="22:84" ht="14.4" customHeight="1" x14ac:dyDescent="0.3">
      <c r="V429" s="33"/>
      <c r="Y429" s="283"/>
      <c r="Z429" s="284"/>
      <c r="AB429" s="274"/>
      <c r="AC429" s="48" t="s">
        <v>129</v>
      </c>
      <c r="AD429" s="276" t="s">
        <v>130</v>
      </c>
      <c r="AE429" s="276"/>
      <c r="AG429" s="181"/>
      <c r="AH429" s="178"/>
      <c r="AI429" s="181"/>
      <c r="AJ429" s="178"/>
      <c r="AL429" s="181"/>
      <c r="AM429" s="178"/>
      <c r="AN429" s="181"/>
      <c r="AO429" s="178"/>
      <c r="AP429" s="22"/>
      <c r="AQ429" s="49" t="str">
        <f t="shared" si="369"/>
        <v/>
      </c>
      <c r="AR429" s="38" t="str" cm="1">
        <f t="array" ref="AR429">IF(AT402="", "", IF(AND(AT402&lt;=MIN(AZ402:BK402,AQ415:BK415),AU402&gt;=MAX(AZ402:BK402,AQ415:BK415)),"ACCEPT",IF(AND(AZ402:BK402,AQ415:BK415="OK"),"ACCEPT","REJECT")))</f>
        <v/>
      </c>
      <c r="AS429" s="38" t="str">
        <f t="shared" si="370"/>
        <v/>
      </c>
      <c r="AT429" s="38" t="str">
        <f t="shared" si="371"/>
        <v/>
      </c>
      <c r="AU429" s="38">
        <f t="shared" si="372"/>
        <v>0</v>
      </c>
      <c r="AV429" s="38">
        <f t="shared" si="367"/>
        <v>0</v>
      </c>
      <c r="AW429" s="38">
        <f t="shared" si="373"/>
        <v>0</v>
      </c>
      <c r="AX429" s="57" t="str">
        <f t="shared" si="374"/>
        <v>-</v>
      </c>
      <c r="AY429" s="49" t="str">
        <f t="shared" si="375"/>
        <v/>
      </c>
      <c r="AZ429" s="38" t="str" cm="1">
        <f t="array" ref="AZ429">IF(AT408="", "", IF(AND(Y409&lt;=MIN(AZ408:BK408,AQ421:BK421),AU408&gt;=MAX(AZ408:BK408,AQ421:BK421)),"ACCEPT",IF(AND(AZ408:BK408,AQ421:BK421="OK"),"ACCEPT","REJECT")))</f>
        <v/>
      </c>
      <c r="BA429" s="38" t="str">
        <f t="shared" si="376"/>
        <v/>
      </c>
      <c r="BB429" s="38" t="str">
        <f t="shared" si="368"/>
        <v/>
      </c>
      <c r="BC429" s="38">
        <f t="shared" si="377"/>
        <v>0</v>
      </c>
      <c r="BD429" s="38">
        <f t="shared" si="378"/>
        <v>0</v>
      </c>
      <c r="BE429" s="38">
        <f t="shared" si="379"/>
        <v>0</v>
      </c>
      <c r="BF429" s="57" t="str">
        <f t="shared" si="380"/>
        <v>-</v>
      </c>
      <c r="BG429" s="176"/>
      <c r="BH429" s="178"/>
      <c r="BI429" s="181"/>
      <c r="BJ429" s="178"/>
      <c r="BK429" s="22"/>
      <c r="BL429" s="173"/>
      <c r="BM429" s="174"/>
      <c r="BN429" s="175"/>
      <c r="BO429" s="180"/>
      <c r="BP429" s="174"/>
      <c r="BQ429" s="175"/>
      <c r="BR429" s="180"/>
      <c r="BS429" s="174"/>
      <c r="BT429" s="174"/>
      <c r="BU429" s="174"/>
      <c r="BV429" s="174"/>
      <c r="BW429" s="174"/>
      <c r="BX429" s="175"/>
      <c r="BY429" s="122"/>
      <c r="BZ429" s="123"/>
      <c r="CA429" s="123"/>
      <c r="CB429" s="124"/>
      <c r="CC429" s="125"/>
      <c r="CD429" s="126"/>
      <c r="CE429" s="126"/>
      <c r="CF429" s="216"/>
    </row>
    <row r="430" spans="22:84" ht="14.4" customHeight="1" x14ac:dyDescent="0.3">
      <c r="V430" s="55"/>
      <c r="W430" s="56"/>
      <c r="X430" s="56"/>
      <c r="Y430" s="75" t="s">
        <v>48</v>
      </c>
      <c r="Z430" s="62"/>
      <c r="AB430" s="275"/>
      <c r="AC430" s="48" t="s">
        <v>131</v>
      </c>
      <c r="AD430" s="276" t="s">
        <v>132</v>
      </c>
      <c r="AE430" s="276"/>
      <c r="AG430" s="83" t="s">
        <v>48</v>
      </c>
      <c r="AH430" s="35"/>
      <c r="AI430" s="83" t="s">
        <v>48</v>
      </c>
      <c r="AJ430" s="35"/>
      <c r="AL430" s="83" t="s">
        <v>48</v>
      </c>
      <c r="AM430" s="35"/>
      <c r="AN430" s="83" t="s">
        <v>48</v>
      </c>
      <c r="AO430" s="35"/>
      <c r="AP430" s="22"/>
      <c r="AQ430" s="49" t="str">
        <f t="shared" si="369"/>
        <v/>
      </c>
      <c r="AR430" s="38" t="str" cm="1">
        <f t="array" ref="AR430">IF(AT403="", "", IF(AND(AT403&lt;=MIN(AZ403:BK403,AQ416:BK416),AU403&gt;=MAX(AZ403:BK403,AQ416:BK416)),"ACCEPT",IF(AND(AZ403:BK403,AQ416:BK416="OK"),"ACCEPT","REJECT")))</f>
        <v/>
      </c>
      <c r="AS430" s="38" t="str">
        <f t="shared" si="370"/>
        <v/>
      </c>
      <c r="AT430" s="38" t="str">
        <f t="shared" si="371"/>
        <v/>
      </c>
      <c r="AU430" s="38">
        <f t="shared" si="372"/>
        <v>0</v>
      </c>
      <c r="AV430" s="38">
        <f t="shared" si="367"/>
        <v>0</v>
      </c>
      <c r="AW430" s="38">
        <f t="shared" si="373"/>
        <v>0</v>
      </c>
      <c r="AX430" s="57" t="str">
        <f t="shared" si="374"/>
        <v>-</v>
      </c>
      <c r="AY430" s="49" t="str">
        <f t="shared" si="375"/>
        <v/>
      </c>
      <c r="AZ430" s="38" t="str" cm="1">
        <f t="array" ref="AZ430">IF(AT409="", "", IF(AND(Y410&lt;=MIN(AZ409:BK409,AQ422:BK422),AU409&gt;=MAX(AZ409:BK409,AQ422:BK422)),"ACCEPT",IF(AND(AZ409:BK409,AQ422:BK422="OK"),"ACCEPT","REJECT")))</f>
        <v/>
      </c>
      <c r="BA430" s="38" t="str">
        <f t="shared" si="376"/>
        <v/>
      </c>
      <c r="BB430" s="38" t="str">
        <f t="shared" si="368"/>
        <v/>
      </c>
      <c r="BC430" s="38">
        <f t="shared" si="377"/>
        <v>0</v>
      </c>
      <c r="BD430" s="38">
        <f t="shared" si="378"/>
        <v>0</v>
      </c>
      <c r="BE430" s="38">
        <f t="shared" si="379"/>
        <v>0</v>
      </c>
      <c r="BF430" s="57" t="str">
        <f t="shared" si="380"/>
        <v>-</v>
      </c>
      <c r="BG430" s="61" t="s">
        <v>48</v>
      </c>
      <c r="BH430" s="35"/>
      <c r="BI430" s="59" t="s">
        <v>48</v>
      </c>
      <c r="BJ430" s="35"/>
      <c r="BK430" s="22"/>
      <c r="BL430" s="173"/>
      <c r="BM430" s="174"/>
      <c r="BN430" s="175"/>
      <c r="BO430" s="180"/>
      <c r="BP430" s="174"/>
      <c r="BQ430" s="175"/>
      <c r="BR430" s="180"/>
      <c r="BS430" s="174"/>
      <c r="BT430" s="174"/>
      <c r="BU430" s="174"/>
      <c r="BV430" s="174"/>
      <c r="BW430" s="174"/>
      <c r="BX430" s="175"/>
      <c r="BY430" s="122"/>
      <c r="BZ430" s="123"/>
      <c r="CA430" s="123"/>
      <c r="CB430" s="124"/>
      <c r="CC430" s="150" t="s">
        <v>123</v>
      </c>
      <c r="CD430" s="151"/>
      <c r="CE430" s="151"/>
      <c r="CF430" s="152"/>
    </row>
    <row r="431" spans="22:84" ht="14.4" customHeight="1" thickBot="1" x14ac:dyDescent="0.35">
      <c r="V431" s="55"/>
      <c r="W431" s="56"/>
      <c r="X431" s="56"/>
      <c r="Y431" s="56"/>
      <c r="Z431" s="56"/>
      <c r="AA431" s="56"/>
      <c r="AB431" s="56"/>
      <c r="AC431" s="56"/>
      <c r="AD431" s="56"/>
      <c r="AE431" s="56"/>
      <c r="AF431" s="56"/>
      <c r="AG431" s="56"/>
      <c r="AH431" s="56"/>
      <c r="AI431" s="56"/>
      <c r="AJ431" s="56"/>
      <c r="AK431" s="56"/>
      <c r="AL431" s="56"/>
      <c r="AM431" s="56"/>
      <c r="AN431" s="56"/>
      <c r="AO431" s="56"/>
      <c r="AP431" s="65"/>
      <c r="AQ431" s="55"/>
      <c r="AR431" s="66"/>
      <c r="AS431" s="56"/>
      <c r="AT431" s="56"/>
      <c r="AU431" s="56"/>
      <c r="AV431" s="56"/>
      <c r="AW431" s="56"/>
      <c r="AX431" s="56"/>
      <c r="AY431" s="56"/>
      <c r="AZ431" s="56"/>
      <c r="BA431" s="56"/>
      <c r="BB431" s="56"/>
      <c r="BC431" s="56"/>
      <c r="BD431" s="56"/>
      <c r="BE431" s="56"/>
      <c r="BF431" s="56"/>
      <c r="BG431" s="56"/>
      <c r="BH431" s="56"/>
      <c r="BI431" s="56"/>
      <c r="BJ431" s="56"/>
      <c r="BK431" s="65"/>
      <c r="BL431" s="176"/>
      <c r="BM431" s="177"/>
      <c r="BN431" s="178"/>
      <c r="BO431" s="181"/>
      <c r="BP431" s="177"/>
      <c r="BQ431" s="178"/>
      <c r="BR431" s="181"/>
      <c r="BS431" s="177"/>
      <c r="BT431" s="177"/>
      <c r="BU431" s="177"/>
      <c r="BV431" s="177"/>
      <c r="BW431" s="177"/>
      <c r="BX431" s="178"/>
      <c r="BY431" s="125"/>
      <c r="BZ431" s="126"/>
      <c r="CA431" s="126"/>
      <c r="CB431" s="127"/>
      <c r="CC431" s="153"/>
      <c r="CD431" s="154"/>
      <c r="CE431" s="154"/>
      <c r="CF431" s="155"/>
    </row>
    <row r="432" spans="22:84" ht="14.4" customHeight="1" thickBot="1" x14ac:dyDescent="0.35">
      <c r="V432" s="67"/>
      <c r="W432" s="68"/>
      <c r="X432" s="68"/>
      <c r="Y432" s="68"/>
      <c r="Z432" s="68"/>
      <c r="AA432" s="68"/>
      <c r="AB432" s="68"/>
      <c r="AC432" s="68"/>
      <c r="AD432" s="68"/>
      <c r="AE432" s="68"/>
      <c r="AF432" s="68"/>
      <c r="AG432" s="233" t="s">
        <v>140</v>
      </c>
      <c r="AH432" s="233"/>
      <c r="AI432" s="233"/>
      <c r="AJ432" s="234" t="s">
        <v>139</v>
      </c>
      <c r="AK432" s="234"/>
      <c r="AL432" s="234"/>
      <c r="AM432" s="234"/>
      <c r="AN432" s="234" t="s">
        <v>138</v>
      </c>
      <c r="AO432" s="234"/>
      <c r="AP432" s="235"/>
      <c r="AQ432" s="67"/>
      <c r="AR432" s="68"/>
      <c r="AS432" s="68"/>
      <c r="AT432" s="68"/>
      <c r="AU432" s="68"/>
      <c r="AV432" s="68"/>
      <c r="AW432" s="68"/>
      <c r="AX432" s="68"/>
      <c r="AY432" s="68"/>
      <c r="AZ432" s="68"/>
      <c r="BA432" s="68"/>
      <c r="BB432" s="233" t="s">
        <v>140</v>
      </c>
      <c r="BC432" s="233"/>
      <c r="BD432" s="233"/>
      <c r="BE432" s="234" t="s">
        <v>139</v>
      </c>
      <c r="BF432" s="234"/>
      <c r="BG432" s="234"/>
      <c r="BH432" s="234"/>
      <c r="BI432" s="234" t="s">
        <v>142</v>
      </c>
      <c r="BJ432" s="234"/>
      <c r="BK432" s="235"/>
      <c r="BL432" s="67"/>
      <c r="BM432" s="68"/>
      <c r="BN432" s="68"/>
      <c r="BO432" s="68"/>
      <c r="BP432" s="68"/>
      <c r="BQ432" s="68"/>
      <c r="BR432" s="68"/>
      <c r="BS432" s="68"/>
      <c r="BT432" s="68"/>
      <c r="BU432" s="68"/>
      <c r="BV432" s="68"/>
      <c r="BW432" s="68"/>
      <c r="BX432" s="68"/>
      <c r="BY432" s="68"/>
      <c r="BZ432" s="71" t="s">
        <v>133</v>
      </c>
      <c r="CA432" s="68"/>
      <c r="CB432" s="68"/>
      <c r="CC432" s="68"/>
      <c r="CD432" s="68"/>
      <c r="CE432" s="68"/>
      <c r="CF432" s="69"/>
    </row>
    <row r="433" spans="22:84" ht="14.4" customHeight="1" x14ac:dyDescent="0.3">
      <c r="V433" s="183" t="e" vm="1">
        <v>#VALUE!</v>
      </c>
      <c r="W433" s="184"/>
      <c r="X433" s="189" t="s">
        <v>1</v>
      </c>
      <c r="Y433" s="189"/>
      <c r="Z433" s="189"/>
      <c r="AA433" s="189"/>
      <c r="AB433" s="189"/>
      <c r="AC433" s="189"/>
      <c r="AD433" s="189"/>
      <c r="AE433" s="189"/>
      <c r="AF433" s="291" t="s">
        <v>2</v>
      </c>
      <c r="AG433" s="191"/>
      <c r="AH433" s="191"/>
      <c r="AI433" s="191"/>
      <c r="AJ433" s="191"/>
      <c r="AK433" s="191"/>
      <c r="AL433" s="191"/>
      <c r="AM433" s="191"/>
      <c r="AN433" s="191" t="e" vm="4">
        <v>#VALUE!</v>
      </c>
      <c r="AO433" s="191"/>
      <c r="AP433" s="192"/>
      <c r="AQ433" s="183" t="e" vm="1">
        <v>#VALUE!</v>
      </c>
      <c r="AR433" s="184"/>
      <c r="AS433" s="190" t="s">
        <v>1</v>
      </c>
      <c r="AT433" s="190"/>
      <c r="AU433" s="190"/>
      <c r="AV433" s="190"/>
      <c r="AW433" s="190"/>
      <c r="AX433" s="190"/>
      <c r="AY433" s="190"/>
      <c r="AZ433" s="190"/>
      <c r="BA433" s="190" t="s">
        <v>3</v>
      </c>
      <c r="BB433" s="190"/>
      <c r="BC433" s="190"/>
      <c r="BD433" s="190"/>
      <c r="BE433" s="190"/>
      <c r="BF433" s="190"/>
      <c r="BG433" s="190"/>
      <c r="BH433" s="190"/>
      <c r="BI433" s="191" t="e" vm="4">
        <v>#VALUE!</v>
      </c>
      <c r="BJ433" s="191"/>
      <c r="BK433" s="192"/>
      <c r="BL433" s="183" t="e" vm="1">
        <v>#VALUE!</v>
      </c>
      <c r="BM433" s="184"/>
      <c r="BN433" s="189" t="s">
        <v>1</v>
      </c>
      <c r="BO433" s="189"/>
      <c r="BP433" s="189"/>
      <c r="BQ433" s="189"/>
      <c r="BR433" s="189"/>
      <c r="BS433" s="189"/>
      <c r="BT433" s="189"/>
      <c r="BU433" s="189"/>
      <c r="BV433" s="189" t="s">
        <v>4</v>
      </c>
      <c r="BW433" s="189"/>
      <c r="BX433" s="189"/>
      <c r="BY433" s="189"/>
      <c r="BZ433" s="189"/>
      <c r="CA433" s="189"/>
      <c r="CB433" s="189"/>
      <c r="CC433" s="189"/>
      <c r="CD433" s="191" t="e" vm="3">
        <v>#VALUE!</v>
      </c>
      <c r="CE433" s="191"/>
      <c r="CF433" s="192"/>
    </row>
    <row r="434" spans="22:84" ht="14.4" customHeight="1" x14ac:dyDescent="0.3">
      <c r="V434" s="185"/>
      <c r="W434" s="186"/>
      <c r="X434" s="190"/>
      <c r="Y434" s="190"/>
      <c r="Z434" s="190"/>
      <c r="AA434" s="190"/>
      <c r="AB434" s="190"/>
      <c r="AC434" s="190"/>
      <c r="AD434" s="190"/>
      <c r="AE434" s="190"/>
      <c r="AF434" s="293"/>
      <c r="AG434" s="193"/>
      <c r="AH434" s="193"/>
      <c r="AI434" s="193"/>
      <c r="AJ434" s="193"/>
      <c r="AK434" s="193"/>
      <c r="AL434" s="193"/>
      <c r="AM434" s="193"/>
      <c r="AN434" s="193"/>
      <c r="AO434" s="193"/>
      <c r="AP434" s="194"/>
      <c r="AQ434" s="185"/>
      <c r="AR434" s="186"/>
      <c r="AS434" s="190"/>
      <c r="AT434" s="190"/>
      <c r="AU434" s="190"/>
      <c r="AV434" s="190"/>
      <c r="AW434" s="190"/>
      <c r="AX434" s="190"/>
      <c r="AY434" s="190"/>
      <c r="AZ434" s="190"/>
      <c r="BA434" s="190"/>
      <c r="BB434" s="190"/>
      <c r="BC434" s="190"/>
      <c r="BD434" s="190"/>
      <c r="BE434" s="190"/>
      <c r="BF434" s="190"/>
      <c r="BG434" s="190"/>
      <c r="BH434" s="190"/>
      <c r="BI434" s="193"/>
      <c r="BJ434" s="193"/>
      <c r="BK434" s="194"/>
      <c r="BL434" s="185"/>
      <c r="BM434" s="186"/>
      <c r="BN434" s="190"/>
      <c r="BO434" s="190"/>
      <c r="BP434" s="190"/>
      <c r="BQ434" s="190"/>
      <c r="BR434" s="190"/>
      <c r="BS434" s="190"/>
      <c r="BT434" s="190"/>
      <c r="BU434" s="190"/>
      <c r="BV434" s="190"/>
      <c r="BW434" s="190"/>
      <c r="BX434" s="190"/>
      <c r="BY434" s="190"/>
      <c r="BZ434" s="190"/>
      <c r="CA434" s="190"/>
      <c r="CB434" s="190"/>
      <c r="CC434" s="190"/>
      <c r="CD434" s="193"/>
      <c r="CE434" s="193"/>
      <c r="CF434" s="194"/>
    </row>
    <row r="435" spans="22:84" ht="14.4" customHeight="1" x14ac:dyDescent="0.3">
      <c r="V435" s="187"/>
      <c r="W435" s="188"/>
      <c r="X435" s="190"/>
      <c r="Y435" s="190"/>
      <c r="Z435" s="190"/>
      <c r="AA435" s="190"/>
      <c r="AB435" s="190"/>
      <c r="AC435" s="190"/>
      <c r="AD435" s="190"/>
      <c r="AE435" s="190"/>
      <c r="AF435" s="295"/>
      <c r="AG435" s="195"/>
      <c r="AH435" s="195"/>
      <c r="AI435" s="195"/>
      <c r="AJ435" s="195"/>
      <c r="AK435" s="195"/>
      <c r="AL435" s="195"/>
      <c r="AM435" s="195"/>
      <c r="AN435" s="193"/>
      <c r="AO435" s="193"/>
      <c r="AP435" s="194"/>
      <c r="AQ435" s="187"/>
      <c r="AR435" s="188"/>
      <c r="AS435" s="190"/>
      <c r="AT435" s="190"/>
      <c r="AU435" s="190"/>
      <c r="AV435" s="190"/>
      <c r="AW435" s="190"/>
      <c r="AX435" s="190"/>
      <c r="AY435" s="190"/>
      <c r="AZ435" s="190"/>
      <c r="BA435" s="190"/>
      <c r="BB435" s="190"/>
      <c r="BC435" s="190"/>
      <c r="BD435" s="190"/>
      <c r="BE435" s="190"/>
      <c r="BF435" s="190"/>
      <c r="BG435" s="190"/>
      <c r="BH435" s="190"/>
      <c r="BI435" s="195"/>
      <c r="BJ435" s="195"/>
      <c r="BK435" s="196"/>
      <c r="BL435" s="187"/>
      <c r="BM435" s="188"/>
      <c r="BN435" s="190"/>
      <c r="BO435" s="190"/>
      <c r="BP435" s="190"/>
      <c r="BQ435" s="190"/>
      <c r="BR435" s="190"/>
      <c r="BS435" s="190"/>
      <c r="BT435" s="190"/>
      <c r="BU435" s="190"/>
      <c r="BV435" s="190"/>
      <c r="BW435" s="190"/>
      <c r="BX435" s="190"/>
      <c r="BY435" s="190"/>
      <c r="BZ435" s="190"/>
      <c r="CA435" s="190"/>
      <c r="CB435" s="190"/>
      <c r="CC435" s="190"/>
      <c r="CD435" s="195"/>
      <c r="CE435" s="195"/>
      <c r="CF435" s="196"/>
    </row>
    <row r="436" spans="22:84" ht="14.4" customHeight="1" x14ac:dyDescent="0.3">
      <c r="V436" s="107" t="s">
        <v>7</v>
      </c>
      <c r="W436" s="106"/>
      <c r="X436" s="182" t="str">
        <f>IF(ISBLANK($C$4),"",$C$4)</f>
        <v/>
      </c>
      <c r="Y436" s="182"/>
      <c r="Z436" s="182"/>
      <c r="AA436" s="182"/>
      <c r="AB436" s="182"/>
      <c r="AC436" s="108" t="s">
        <v>8</v>
      </c>
      <c r="AD436" s="109"/>
      <c r="AE436" s="110"/>
      <c r="AF436" s="108" t="s">
        <v>9</v>
      </c>
      <c r="AG436" s="109"/>
      <c r="AH436" s="110"/>
      <c r="AI436" s="108" t="s">
        <v>10</v>
      </c>
      <c r="AJ436" s="109"/>
      <c r="AK436" s="110"/>
      <c r="AL436" s="113" t="s">
        <v>11</v>
      </c>
      <c r="AM436" s="117"/>
      <c r="AN436" s="113" t="str">
        <f>IF(ISBLANK($S$4),"",$S$4)</f>
        <v/>
      </c>
      <c r="AO436" s="117"/>
      <c r="AP436" s="114"/>
      <c r="AQ436" s="112" t="s">
        <v>7</v>
      </c>
      <c r="AR436" s="106"/>
      <c r="AS436" s="182" t="str">
        <f>IF(ISBLANK($C$4),"",$C$4)</f>
        <v/>
      </c>
      <c r="AT436" s="182"/>
      <c r="AU436" s="182"/>
      <c r="AV436" s="182"/>
      <c r="AW436" s="182"/>
      <c r="AX436" s="108" t="s">
        <v>8</v>
      </c>
      <c r="AY436" s="109"/>
      <c r="AZ436" s="110"/>
      <c r="BA436" s="108" t="s">
        <v>9</v>
      </c>
      <c r="BB436" s="109"/>
      <c r="BC436" s="110"/>
      <c r="BD436" s="108" t="s">
        <v>10</v>
      </c>
      <c r="BE436" s="109"/>
      <c r="BF436" s="110"/>
      <c r="BG436" s="113" t="s">
        <v>11</v>
      </c>
      <c r="BH436" s="114"/>
      <c r="BI436" s="113" t="str">
        <f>IF(ISBLANK($S$4),"",$S$4)</f>
        <v/>
      </c>
      <c r="BJ436" s="117"/>
      <c r="BK436" s="114"/>
      <c r="BL436" s="112" t="s">
        <v>7</v>
      </c>
      <c r="BM436" s="106"/>
      <c r="BN436" s="182" t="str">
        <f>IF(ISBLANK($C$4),"",$C$4)</f>
        <v/>
      </c>
      <c r="BO436" s="182"/>
      <c r="BP436" s="182"/>
      <c r="BQ436" s="182"/>
      <c r="BR436" s="182"/>
      <c r="BS436" s="108" t="s">
        <v>8</v>
      </c>
      <c r="BT436" s="109"/>
      <c r="BU436" s="110"/>
      <c r="BV436" s="108" t="s">
        <v>9</v>
      </c>
      <c r="BW436" s="109"/>
      <c r="BX436" s="110"/>
      <c r="BY436" s="108" t="s">
        <v>10</v>
      </c>
      <c r="BZ436" s="109"/>
      <c r="CA436" s="110"/>
      <c r="CB436" s="113" t="s">
        <v>11</v>
      </c>
      <c r="CC436" s="114"/>
      <c r="CD436" s="113" t="str">
        <f>IF(ISBLANK($S$4),"",$S$4)</f>
        <v/>
      </c>
      <c r="CE436" s="117"/>
      <c r="CF436" s="114"/>
    </row>
    <row r="437" spans="22:84" ht="14.4" customHeight="1" x14ac:dyDescent="0.3">
      <c r="V437" s="107" t="s">
        <v>12</v>
      </c>
      <c r="W437" s="106"/>
      <c r="X437" s="182" t="str">
        <f>IF(ISBLANK($C$5),"",$C$5)</f>
        <v/>
      </c>
      <c r="Y437" s="182"/>
      <c r="Z437" s="182"/>
      <c r="AA437" s="182"/>
      <c r="AB437" s="182"/>
      <c r="AC437" s="108" t="s">
        <v>13</v>
      </c>
      <c r="AD437" s="109"/>
      <c r="AE437" s="110"/>
      <c r="AF437" s="108" t="s">
        <v>14</v>
      </c>
      <c r="AG437" s="109"/>
      <c r="AH437" s="110"/>
      <c r="AI437" s="108" t="s">
        <v>15</v>
      </c>
      <c r="AJ437" s="109"/>
      <c r="AK437" s="110"/>
      <c r="AL437" s="115"/>
      <c r="AM437" s="118"/>
      <c r="AN437" s="115" t="str">
        <f>IF(ISBLANK($S$5),"",$S$5)</f>
        <v/>
      </c>
      <c r="AO437" s="118"/>
      <c r="AP437" s="116"/>
      <c r="AQ437" s="112" t="s">
        <v>12</v>
      </c>
      <c r="AR437" s="106"/>
      <c r="AS437" s="182" t="str">
        <f>IF(ISBLANK($C$5),"",$C$5)</f>
        <v/>
      </c>
      <c r="AT437" s="182"/>
      <c r="AU437" s="182"/>
      <c r="AV437" s="182"/>
      <c r="AW437" s="182"/>
      <c r="AX437" s="108" t="s">
        <v>13</v>
      </c>
      <c r="AY437" s="109"/>
      <c r="AZ437" s="110"/>
      <c r="BA437" s="108" t="s">
        <v>14</v>
      </c>
      <c r="BB437" s="109"/>
      <c r="BC437" s="110"/>
      <c r="BD437" s="108" t="s">
        <v>15</v>
      </c>
      <c r="BE437" s="109"/>
      <c r="BF437" s="110"/>
      <c r="BG437" s="115"/>
      <c r="BH437" s="116"/>
      <c r="BI437" s="115" t="str">
        <f>IF(ISBLANK($S$5),"",$S$5)</f>
        <v/>
      </c>
      <c r="BJ437" s="118"/>
      <c r="BK437" s="116"/>
      <c r="BL437" s="112" t="s">
        <v>12</v>
      </c>
      <c r="BM437" s="106"/>
      <c r="BN437" s="182" t="str">
        <f>IF(ISBLANK($C$5),"",$C$5)</f>
        <v/>
      </c>
      <c r="BO437" s="182"/>
      <c r="BP437" s="182"/>
      <c r="BQ437" s="182"/>
      <c r="BR437" s="182"/>
      <c r="BS437" s="108" t="s">
        <v>143</v>
      </c>
      <c r="BT437" s="109"/>
      <c r="BU437" s="110"/>
      <c r="BV437" s="108" t="s">
        <v>144</v>
      </c>
      <c r="BW437" s="109"/>
      <c r="BX437" s="110"/>
      <c r="BY437" s="108" t="s">
        <v>15</v>
      </c>
      <c r="BZ437" s="109"/>
      <c r="CA437" s="110"/>
      <c r="CB437" s="115"/>
      <c r="CC437" s="116"/>
      <c r="CD437" s="115" t="str">
        <f>IF(ISBLANK($S$5),"",$S$5)</f>
        <v/>
      </c>
      <c r="CE437" s="118"/>
      <c r="CF437" s="116"/>
    </row>
    <row r="438" spans="22:84" ht="14.4" customHeight="1" x14ac:dyDescent="0.3">
      <c r="V438" s="107" t="s">
        <v>42</v>
      </c>
      <c r="W438" s="106"/>
      <c r="X438" s="182" t="str">
        <f>IF(ISBLANK($C$6),"",$C$6)</f>
        <v/>
      </c>
      <c r="Y438" s="182"/>
      <c r="Z438" s="182"/>
      <c r="AA438" s="182"/>
      <c r="AB438" s="182"/>
      <c r="AC438" s="253"/>
      <c r="AD438" s="254"/>
      <c r="AE438" s="255"/>
      <c r="AF438" s="253"/>
      <c r="AG438" s="254"/>
      <c r="AH438" s="255"/>
      <c r="AI438" s="253"/>
      <c r="AJ438" s="254"/>
      <c r="AK438" s="255"/>
      <c r="AL438" s="105" t="s">
        <v>43</v>
      </c>
      <c r="AM438" s="106"/>
      <c r="AN438" s="115" t="str">
        <f>IF(ISBLANK($S$6),"",$S$6)</f>
        <v/>
      </c>
      <c r="AO438" s="118"/>
      <c r="AP438" s="252"/>
      <c r="AQ438" s="107" t="s">
        <v>42</v>
      </c>
      <c r="AR438" s="106"/>
      <c r="AS438" s="182" t="str">
        <f>IF(ISBLANK($C$6),"",$C$6)</f>
        <v/>
      </c>
      <c r="AT438" s="182"/>
      <c r="AU438" s="182"/>
      <c r="AV438" s="182"/>
      <c r="AW438" s="182"/>
      <c r="AX438" s="359"/>
      <c r="AY438" s="359"/>
      <c r="AZ438" s="359"/>
      <c r="BA438" s="359"/>
      <c r="BB438" s="359"/>
      <c r="BC438" s="359"/>
      <c r="BD438" s="253"/>
      <c r="BE438" s="254"/>
      <c r="BF438" s="255"/>
      <c r="BG438" s="105" t="s">
        <v>43</v>
      </c>
      <c r="BH438" s="106"/>
      <c r="BI438" s="115" t="str">
        <f>IF(ISBLANK($S$6),"",$S$6)</f>
        <v/>
      </c>
      <c r="BJ438" s="118"/>
      <c r="BK438" s="252"/>
      <c r="BL438" s="107" t="s">
        <v>42</v>
      </c>
      <c r="BM438" s="106"/>
      <c r="BN438" s="182" t="str">
        <f>IF(ISBLANK($C$6),"",$C$6)</f>
        <v/>
      </c>
      <c r="BO438" s="182"/>
      <c r="BP438" s="182"/>
      <c r="BQ438" s="182"/>
      <c r="BR438" s="182"/>
      <c r="BS438" s="141"/>
      <c r="BT438" s="142"/>
      <c r="BU438" s="143"/>
      <c r="BV438" s="141"/>
      <c r="BW438" s="142"/>
      <c r="BX438" s="143"/>
      <c r="BY438" s="141"/>
      <c r="BZ438" s="142"/>
      <c r="CA438" s="143"/>
      <c r="CB438" s="105" t="s">
        <v>43</v>
      </c>
      <c r="CC438" s="106"/>
      <c r="CD438" s="115" t="str">
        <f>IF(ISBLANK($S$6),"",$S$6)</f>
        <v/>
      </c>
      <c r="CE438" s="118"/>
      <c r="CF438" s="252"/>
    </row>
    <row r="439" spans="22:84" ht="14.4" customHeight="1" x14ac:dyDescent="0.3">
      <c r="V439" s="107" t="s">
        <v>16</v>
      </c>
      <c r="W439" s="106"/>
      <c r="X439" s="182" t="str">
        <f>IF(ISBLANK($C$7),"",$C$7)</f>
        <v/>
      </c>
      <c r="Y439" s="182"/>
      <c r="Z439" s="182"/>
      <c r="AA439" s="182"/>
      <c r="AB439" s="182"/>
      <c r="AC439" s="256"/>
      <c r="AD439" s="257"/>
      <c r="AE439" s="258"/>
      <c r="AF439" s="256"/>
      <c r="AG439" s="257"/>
      <c r="AH439" s="258"/>
      <c r="AI439" s="256"/>
      <c r="AJ439" s="257"/>
      <c r="AK439" s="258"/>
      <c r="AL439" s="105" t="s">
        <v>44</v>
      </c>
      <c r="AM439" s="106"/>
      <c r="AN439" s="313" t="str">
        <f>IF(AJ441&lt;&gt;"", AJ441+7, "")</f>
        <v/>
      </c>
      <c r="AO439" s="314"/>
      <c r="AP439" s="315"/>
      <c r="AQ439" s="107" t="s">
        <v>16</v>
      </c>
      <c r="AR439" s="106"/>
      <c r="AS439" s="182" t="str">
        <f>IF(ISBLANK($C$7),"",$C$7)</f>
        <v/>
      </c>
      <c r="AT439" s="182"/>
      <c r="AU439" s="182"/>
      <c r="AV439" s="182"/>
      <c r="AW439" s="182"/>
      <c r="AX439" s="359"/>
      <c r="AY439" s="359"/>
      <c r="AZ439" s="359"/>
      <c r="BA439" s="359"/>
      <c r="BB439" s="359"/>
      <c r="BC439" s="359"/>
      <c r="BD439" s="256"/>
      <c r="BE439" s="257"/>
      <c r="BF439" s="258"/>
      <c r="BG439" s="105" t="s">
        <v>44</v>
      </c>
      <c r="BH439" s="106"/>
      <c r="BI439" s="313" t="str">
        <f>IF(BE441&lt;&gt;"", BE441+7, "")</f>
        <v/>
      </c>
      <c r="BJ439" s="314"/>
      <c r="BK439" s="315"/>
      <c r="BL439" s="107" t="s">
        <v>16</v>
      </c>
      <c r="BM439" s="106"/>
      <c r="BN439" s="182" t="str">
        <f>IF(ISBLANK($C$7),"",$C$7)</f>
        <v/>
      </c>
      <c r="BO439" s="182"/>
      <c r="BP439" s="182"/>
      <c r="BQ439" s="182"/>
      <c r="BR439" s="182"/>
      <c r="BS439" s="144"/>
      <c r="BT439" s="145"/>
      <c r="BU439" s="146"/>
      <c r="BV439" s="144"/>
      <c r="BW439" s="145"/>
      <c r="BX439" s="146"/>
      <c r="BY439" s="144"/>
      <c r="BZ439" s="145"/>
      <c r="CA439" s="146"/>
      <c r="CB439" s="105" t="s">
        <v>44</v>
      </c>
      <c r="CC439" s="106"/>
      <c r="CD439" s="105" t="str">
        <f>IF(ISBLANK($S$7),"",$S$7)</f>
        <v/>
      </c>
      <c r="CE439" s="112"/>
      <c r="CF439" s="311"/>
    </row>
    <row r="440" spans="22:84" ht="14.4" customHeight="1" x14ac:dyDescent="0.3">
      <c r="V440" s="107" t="s">
        <v>17</v>
      </c>
      <c r="W440" s="106"/>
      <c r="X440" s="182" t="str">
        <f>IF(ISBLANK($C$8),"",$C$8)</f>
        <v/>
      </c>
      <c r="Y440" s="182"/>
      <c r="Z440" s="182"/>
      <c r="AA440" s="182"/>
      <c r="AB440" s="182"/>
      <c r="AC440" s="259"/>
      <c r="AD440" s="257"/>
      <c r="AE440" s="260"/>
      <c r="AF440" s="259"/>
      <c r="AG440" s="261"/>
      <c r="AH440" s="260"/>
      <c r="AI440" s="259"/>
      <c r="AJ440" s="261"/>
      <c r="AK440" s="260"/>
      <c r="AL440" s="105" t="s">
        <v>46</v>
      </c>
      <c r="AM440" s="106"/>
      <c r="AN440" s="78">
        <v>10</v>
      </c>
      <c r="AO440" s="78" t="s">
        <v>47</v>
      </c>
      <c r="AP440" s="82">
        <f>COUNTA(V15,V63,V111,V159,V207,V255,V303,V351,V399,V447)</f>
        <v>0</v>
      </c>
      <c r="AQ440" s="107" t="s">
        <v>17</v>
      </c>
      <c r="AR440" s="106"/>
      <c r="AS440" s="182" t="str">
        <f>IF(ISBLANK($C$8),"",$C$8)</f>
        <v/>
      </c>
      <c r="AT440" s="182"/>
      <c r="AU440" s="182"/>
      <c r="AV440" s="182"/>
      <c r="AW440" s="182"/>
      <c r="AX440" s="359"/>
      <c r="AY440" s="359"/>
      <c r="AZ440" s="359"/>
      <c r="BA440" s="359"/>
      <c r="BB440" s="359"/>
      <c r="BC440" s="359"/>
      <c r="BD440" s="259"/>
      <c r="BE440" s="261"/>
      <c r="BF440" s="260"/>
      <c r="BG440" s="105" t="s">
        <v>46</v>
      </c>
      <c r="BH440" s="106"/>
      <c r="BI440" s="78">
        <v>10</v>
      </c>
      <c r="BJ440" s="78" t="s">
        <v>47</v>
      </c>
      <c r="BK440" s="82">
        <f>IF(ISBLANK(AP8),"",AP8)</f>
        <v>0</v>
      </c>
      <c r="BL440" s="107" t="s">
        <v>17</v>
      </c>
      <c r="BM440" s="106"/>
      <c r="BN440" s="182" t="str">
        <f>IF(ISBLANK($C$8),"",$C$8)</f>
        <v/>
      </c>
      <c r="BO440" s="182"/>
      <c r="BP440" s="182"/>
      <c r="BQ440" s="182"/>
      <c r="BR440" s="182"/>
      <c r="BS440" s="147"/>
      <c r="BT440" s="148"/>
      <c r="BU440" s="149"/>
      <c r="BV440" s="147"/>
      <c r="BW440" s="148"/>
      <c r="BX440" s="149"/>
      <c r="BY440" s="147"/>
      <c r="BZ440" s="148"/>
      <c r="CA440" s="149"/>
      <c r="CB440" s="18" t="s">
        <v>46</v>
      </c>
      <c r="CC440" s="11"/>
      <c r="CD440" s="14">
        <v>10</v>
      </c>
      <c r="CE440" s="14" t="s">
        <v>47</v>
      </c>
      <c r="CF440" s="19">
        <f>COUNT(BN445,BN493,BN541,BN589,BN637,BN685,BN733,BN781,BN829,BN877)</f>
        <v>0</v>
      </c>
    </row>
    <row r="441" spans="22:84" ht="14.4" customHeight="1" x14ac:dyDescent="0.3">
      <c r="V441" s="107" t="s">
        <v>18</v>
      </c>
      <c r="W441" s="106"/>
      <c r="X441" s="108" t="e">
        <f>IF(ISBLANK($S$10),"",$S$10)</f>
        <v>#N/A</v>
      </c>
      <c r="Y441" s="109"/>
      <c r="Z441" s="110"/>
      <c r="AA441" s="20"/>
      <c r="AB441" s="74"/>
      <c r="AC441" s="103" t="s">
        <v>48</v>
      </c>
      <c r="AD441" s="244"/>
      <c r="AE441" s="236"/>
      <c r="AF441" s="103" t="s">
        <v>48</v>
      </c>
      <c r="AG441" s="236"/>
      <c r="AH441" s="236"/>
      <c r="AI441" s="103" t="s">
        <v>48</v>
      </c>
      <c r="AJ441" s="237"/>
      <c r="AK441" s="238"/>
      <c r="AL441" s="85"/>
      <c r="AM441" s="85"/>
      <c r="AN441" s="85"/>
      <c r="AO441" s="85"/>
      <c r="AP441" s="22"/>
      <c r="AQ441" s="107" t="s">
        <v>18</v>
      </c>
      <c r="AR441" s="106"/>
      <c r="AS441" s="108" t="e">
        <f>IF(ISBLANK($S$10),"",$S$10)</f>
        <v>#N/A</v>
      </c>
      <c r="AT441" s="109"/>
      <c r="AU441" s="110"/>
      <c r="AV441" s="20"/>
      <c r="AW441" s="4"/>
      <c r="AX441" s="104" t="s">
        <v>48</v>
      </c>
      <c r="AY441" s="244"/>
      <c r="AZ441" s="236"/>
      <c r="BA441" s="104" t="s">
        <v>48</v>
      </c>
      <c r="BB441" s="236"/>
      <c r="BC441" s="236"/>
      <c r="BD441" s="104" t="s">
        <v>48</v>
      </c>
      <c r="BE441" s="237"/>
      <c r="BF441" s="238"/>
      <c r="BJ441" s="20"/>
      <c r="BK441" s="23"/>
      <c r="BL441" s="107" t="s">
        <v>18</v>
      </c>
      <c r="BM441" s="106"/>
      <c r="BN441" s="108" t="e">
        <f>IF(ISBLANK($S$10),"",$S$10)</f>
        <v>#N/A</v>
      </c>
      <c r="BO441" s="109"/>
      <c r="BP441" s="110"/>
      <c r="BQ441" s="20"/>
      <c r="BR441" s="4"/>
      <c r="BS441" s="78" t="s">
        <v>48</v>
      </c>
      <c r="BT441" s="197" t="str">
        <f>IF(ISBLANK($I$9),"",$I$9)</f>
        <v/>
      </c>
      <c r="BU441" s="198"/>
      <c r="BV441" s="78" t="s">
        <v>48</v>
      </c>
      <c r="BW441" s="197" t="str">
        <f>IF(ISBLANK($L$9),"",$L$9)</f>
        <v/>
      </c>
      <c r="BX441" s="198"/>
      <c r="BY441" s="78" t="s">
        <v>48</v>
      </c>
      <c r="BZ441" s="197" t="str">
        <f>IF(ISBLANK($O$9),"",$O$9)</f>
        <v/>
      </c>
      <c r="CA441" s="198"/>
      <c r="CB441" s="24"/>
      <c r="CC441" s="24"/>
      <c r="CD441" s="24"/>
      <c r="CE441" s="20"/>
      <c r="CF441" s="23"/>
    </row>
    <row r="442" spans="22:84" ht="14.4" customHeight="1" x14ac:dyDescent="0.3">
      <c r="V442" s="107" t="s">
        <v>19</v>
      </c>
      <c r="W442" s="106"/>
      <c r="X442" s="14" t="str">
        <f>IF(ISBLANK($S$11),"",$S$11)</f>
        <v/>
      </c>
      <c r="Y442" s="14" t="s">
        <v>47</v>
      </c>
      <c r="Z442" s="14">
        <f>IF(ISBLANK($U$11),"",$U$11)</f>
        <v>0</v>
      </c>
      <c r="AB442" s="269" t="s">
        <v>58</v>
      </c>
      <c r="AC442" s="87" t="s">
        <v>59</v>
      </c>
      <c r="AD442" s="270"/>
      <c r="AE442" s="271"/>
      <c r="AF442" s="84" t="s">
        <v>60</v>
      </c>
      <c r="AG442" s="88"/>
      <c r="AH442" s="85"/>
      <c r="AI442" s="335" t="s">
        <v>61</v>
      </c>
      <c r="AJ442" s="78" t="s">
        <v>62</v>
      </c>
      <c r="AK442" s="81"/>
      <c r="AL442" s="85"/>
      <c r="AM442" s="85"/>
      <c r="AN442" s="85"/>
      <c r="AO442" s="85"/>
      <c r="AP442" s="22"/>
      <c r="AQ442" s="107" t="s">
        <v>19</v>
      </c>
      <c r="AR442" s="106"/>
      <c r="AS442" s="14" t="str">
        <f>IF(ISBLANK($S$11),"",$S$11)</f>
        <v/>
      </c>
      <c r="AT442" s="14" t="s">
        <v>47</v>
      </c>
      <c r="AU442" s="14">
        <f>IF(ISBLANK($U$11),"",$U$11)</f>
        <v>0</v>
      </c>
      <c r="AW442" s="20"/>
      <c r="AX442" s="30"/>
      <c r="AY442" s="30"/>
      <c r="BC442" s="30"/>
      <c r="BD442" s="335" t="s">
        <v>61</v>
      </c>
      <c r="BE442" s="29" t="s">
        <v>62</v>
      </c>
      <c r="BF442" s="29" t="str">
        <f>IF(ISBLANK($BF$10),"",$BF$10)</f>
        <v/>
      </c>
      <c r="BG442" s="266" t="s">
        <v>63</v>
      </c>
      <c r="BH442" s="266"/>
      <c r="BI442" s="14" t="str">
        <f>IF(ISBLANK($BI$10),"",BI394)</f>
        <v/>
      </c>
      <c r="BJ442" s="20"/>
      <c r="BK442" s="23"/>
      <c r="BL442" s="111" t="s">
        <v>19</v>
      </c>
      <c r="BM442" s="110"/>
      <c r="BN442" s="14" t="str">
        <f>IF(ISBLANK($S$11),"",$S$11)</f>
        <v/>
      </c>
      <c r="BO442" s="14" t="s">
        <v>47</v>
      </c>
      <c r="BP442" s="14">
        <f>IF(ISBLANK($U$11),"",$U$11)</f>
        <v>0</v>
      </c>
      <c r="BR442" s="20"/>
      <c r="BS442" s="30"/>
      <c r="BT442" s="30"/>
      <c r="BU442" s="30"/>
      <c r="BV442" s="30"/>
      <c r="BW442" s="30"/>
      <c r="BX442" s="30"/>
      <c r="BY442" s="30"/>
      <c r="BZ442" s="30"/>
      <c r="CA442" s="30"/>
      <c r="CB442" s="30"/>
      <c r="CC442" s="30"/>
      <c r="CD442" s="30"/>
      <c r="CE442" s="20"/>
      <c r="CF442" s="23"/>
    </row>
    <row r="443" spans="22:84" ht="14.4" customHeight="1" x14ac:dyDescent="0.3">
      <c r="V443" s="33"/>
      <c r="AB443" s="269"/>
      <c r="AC443" s="87" t="s">
        <v>80</v>
      </c>
      <c r="AD443" s="245"/>
      <c r="AE443" s="246"/>
      <c r="AF443" s="90" t="s">
        <v>81</v>
      </c>
      <c r="AG443" s="88"/>
      <c r="AH443" s="85"/>
      <c r="AI443" s="335"/>
      <c r="AJ443" s="78" t="s">
        <v>82</v>
      </c>
      <c r="AK443" s="88"/>
      <c r="AL443" s="267" t="s">
        <v>83</v>
      </c>
      <c r="AM443" s="268"/>
      <c r="AN443" s="81"/>
      <c r="AO443" s="85"/>
      <c r="AP443" s="22"/>
      <c r="AQ443" s="34"/>
      <c r="AR443" s="20"/>
      <c r="AS443" s="20"/>
      <c r="AT443" s="20"/>
      <c r="AU443" s="20"/>
      <c r="AV443" s="20"/>
      <c r="AW443" s="20"/>
      <c r="AX443" s="20"/>
      <c r="AY443" s="20"/>
      <c r="BC443" s="20"/>
      <c r="BD443" s="335"/>
      <c r="BE443" s="29" t="s">
        <v>82</v>
      </c>
      <c r="BF443" s="29" t="str">
        <f>IF(ISBLANK($BF$11),"",$BF$11)</f>
        <v/>
      </c>
      <c r="BG443" s="20"/>
      <c r="BH443" s="20"/>
      <c r="BI443" s="20"/>
      <c r="BJ443" s="20"/>
      <c r="BK443" s="23"/>
      <c r="BL443" s="33"/>
      <c r="CF443" s="22"/>
    </row>
    <row r="444" spans="22:84" ht="14.4" customHeight="1" x14ac:dyDescent="0.3">
      <c r="V444" s="33"/>
      <c r="AP444" s="22"/>
      <c r="AQ444" s="356" t="s">
        <v>49</v>
      </c>
      <c r="AR444" s="342" t="s">
        <v>85</v>
      </c>
      <c r="AS444" s="342"/>
      <c r="AT444" s="14" t="s">
        <v>51</v>
      </c>
      <c r="AU444" s="14" t="s">
        <v>86</v>
      </c>
      <c r="AV444" s="10"/>
      <c r="AW444" s="14" t="s">
        <v>87</v>
      </c>
      <c r="AX444" s="272" t="s">
        <v>54</v>
      </c>
      <c r="AY444" s="272"/>
      <c r="AZ444" s="20"/>
      <c r="BA444" s="20"/>
      <c r="BB444" s="20"/>
      <c r="BC444" s="20"/>
      <c r="BD444" s="20"/>
      <c r="BE444" s="20"/>
      <c r="BF444" s="20"/>
      <c r="BG444" s="20"/>
      <c r="BH444" s="20"/>
      <c r="BI444" s="20"/>
      <c r="BJ444" s="20"/>
      <c r="BK444" s="23"/>
      <c r="BL444" s="128" t="s">
        <v>88</v>
      </c>
      <c r="BM444" s="129"/>
      <c r="BN444" s="130"/>
      <c r="BO444" s="131" t="s">
        <v>89</v>
      </c>
      <c r="BP444" s="132"/>
      <c r="BQ444" s="133"/>
      <c r="BR444" s="131" t="s">
        <v>90</v>
      </c>
      <c r="BS444" s="132"/>
      <c r="BT444" s="132"/>
      <c r="BU444" s="132"/>
      <c r="BV444" s="132"/>
      <c r="BW444" s="132"/>
      <c r="BX444" s="133"/>
      <c r="BY444" s="131" t="s">
        <v>91</v>
      </c>
      <c r="BZ444" s="132"/>
      <c r="CA444" s="132"/>
      <c r="CB444" s="133"/>
      <c r="CC444" s="131" t="s">
        <v>92</v>
      </c>
      <c r="CD444" s="132"/>
      <c r="CE444" s="132"/>
      <c r="CF444" s="156"/>
    </row>
    <row r="445" spans="22:84" ht="14.4" customHeight="1" x14ac:dyDescent="0.3">
      <c r="V445" s="262" t="s">
        <v>49</v>
      </c>
      <c r="W445" s="264" t="s">
        <v>94</v>
      </c>
      <c r="X445" s="264"/>
      <c r="Y445" s="31" t="s">
        <v>51</v>
      </c>
      <c r="Z445" s="14" t="s">
        <v>52</v>
      </c>
      <c r="AA445" s="14" t="s">
        <v>53</v>
      </c>
      <c r="AB445" s="108" t="s">
        <v>54</v>
      </c>
      <c r="AC445" s="110"/>
      <c r="AD445" s="363" t="s">
        <v>145</v>
      </c>
      <c r="AE445" s="364"/>
      <c r="AF445" s="108" t="s">
        <v>56</v>
      </c>
      <c r="AG445" s="109"/>
      <c r="AH445" s="109"/>
      <c r="AI445" s="109"/>
      <c r="AJ445" s="110"/>
      <c r="AK445" s="108" t="s">
        <v>57</v>
      </c>
      <c r="AL445" s="109"/>
      <c r="AM445" s="109"/>
      <c r="AN445" s="109"/>
      <c r="AO445" s="110"/>
      <c r="AP445" s="22"/>
      <c r="AQ445" s="357"/>
      <c r="AR445" s="342"/>
      <c r="AS445" s="342"/>
      <c r="AT445" s="14" t="s">
        <v>64</v>
      </c>
      <c r="AU445" s="14" t="s">
        <v>65</v>
      </c>
      <c r="AV445" s="14" t="s">
        <v>95</v>
      </c>
      <c r="AW445" s="14" t="s">
        <v>66</v>
      </c>
      <c r="AX445" s="14" t="s">
        <v>67</v>
      </c>
      <c r="AY445" s="14" t="s">
        <v>68</v>
      </c>
      <c r="AZ445" s="239" t="s">
        <v>69</v>
      </c>
      <c r="BA445" s="239"/>
      <c r="BB445" s="239"/>
      <c r="BC445" s="239" t="s">
        <v>70</v>
      </c>
      <c r="BD445" s="239"/>
      <c r="BE445" s="239"/>
      <c r="BF445" s="239" t="s">
        <v>71</v>
      </c>
      <c r="BG445" s="239"/>
      <c r="BH445" s="239"/>
      <c r="BI445" s="239" t="s">
        <v>72</v>
      </c>
      <c r="BJ445" s="239"/>
      <c r="BK445" s="240"/>
      <c r="BL445" s="158" t="s">
        <v>96</v>
      </c>
      <c r="BM445" s="159"/>
      <c r="BN445" s="35"/>
      <c r="BO445" s="134"/>
      <c r="BP445" s="135"/>
      <c r="BQ445" s="136"/>
      <c r="BR445" s="134"/>
      <c r="BS445" s="135"/>
      <c r="BT445" s="135"/>
      <c r="BU445" s="135"/>
      <c r="BV445" s="135"/>
      <c r="BW445" s="135"/>
      <c r="BX445" s="136"/>
      <c r="BY445" s="134"/>
      <c r="BZ445" s="135"/>
      <c r="CA445" s="135"/>
      <c r="CB445" s="136"/>
      <c r="CC445" s="134"/>
      <c r="CD445" s="135"/>
      <c r="CE445" s="135"/>
      <c r="CF445" s="157"/>
    </row>
    <row r="446" spans="22:84" ht="14.4" customHeight="1" x14ac:dyDescent="0.3">
      <c r="V446" s="263"/>
      <c r="W446" s="264"/>
      <c r="X446" s="264"/>
      <c r="Y446" s="31" t="s">
        <v>64</v>
      </c>
      <c r="Z446" s="14" t="s">
        <v>65</v>
      </c>
      <c r="AA446" s="14" t="s">
        <v>66</v>
      </c>
      <c r="AB446" s="14" t="s">
        <v>67</v>
      </c>
      <c r="AC446" s="14" t="s">
        <v>68</v>
      </c>
      <c r="AD446" s="365"/>
      <c r="AE446" s="366"/>
      <c r="AF446" s="14">
        <v>1</v>
      </c>
      <c r="AG446" s="14">
        <v>2</v>
      </c>
      <c r="AH446" s="14">
        <v>3</v>
      </c>
      <c r="AI446" s="14">
        <v>4</v>
      </c>
      <c r="AJ446" s="14">
        <v>5</v>
      </c>
      <c r="AK446" s="14">
        <v>1</v>
      </c>
      <c r="AL446" s="14">
        <v>2</v>
      </c>
      <c r="AM446" s="14">
        <v>3</v>
      </c>
      <c r="AN446" s="14">
        <v>4</v>
      </c>
      <c r="AO446" s="14">
        <v>5</v>
      </c>
      <c r="AP446" s="22"/>
      <c r="AQ446" s="36" t="str">
        <f>IF(ISBLANK(V447),"",V447)</f>
        <v/>
      </c>
      <c r="AR446" s="287" t="str">
        <f>IF(OR(AW446="QC",ISTEXT(Y447)), W447, "")</f>
        <v/>
      </c>
      <c r="AS446" s="288"/>
      <c r="AT446" s="37" t="str">
        <f>IF(OR(AW446="QC",ISTEXT(Y447)), Y447, "")</f>
        <v/>
      </c>
      <c r="AU446" s="37" t="str">
        <f>IF(OR(AW446="QC",ISTEXT(Y447)), Z447, "")</f>
        <v/>
      </c>
      <c r="AV446" s="37" t="str">
        <f>IF(ISBLANK(Z461),"",Z461)</f>
        <v/>
      </c>
      <c r="AW446" s="38" t="str">
        <f>IF(ISBLANK(AA447),"",AA447)</f>
        <v/>
      </c>
      <c r="AX446" s="38" t="str">
        <f>IF(OR(AW446="QC",ISTEXT(Y447)), AB447, "")</f>
        <v/>
      </c>
      <c r="AY446" s="38" t="str">
        <f>IF(OR(AW446="QC",ISTEXT(Y447)), AC447, "")</f>
        <v/>
      </c>
      <c r="AZ446" s="39"/>
      <c r="BA446" s="39"/>
      <c r="BB446" s="39"/>
      <c r="BC446" s="39"/>
      <c r="BD446" s="39"/>
      <c r="BE446" s="39"/>
      <c r="BF446" s="39"/>
      <c r="BG446" s="39"/>
      <c r="BH446" s="39"/>
      <c r="BI446" s="39"/>
      <c r="BJ446" s="39"/>
      <c r="BK446" s="40"/>
      <c r="BL446" s="158" t="s">
        <v>97</v>
      </c>
      <c r="BM446" s="159"/>
      <c r="BN446" s="41" t="s">
        <v>98</v>
      </c>
      <c r="BO446" s="204" t="s">
        <v>99</v>
      </c>
      <c r="BP446" s="205"/>
      <c r="BQ446" s="206"/>
      <c r="BR446" s="207" t="s">
        <v>100</v>
      </c>
      <c r="BS446" s="208"/>
      <c r="BT446" s="208"/>
      <c r="BU446" s="209"/>
      <c r="BV446" s="217"/>
      <c r="BW446" s="218"/>
      <c r="BX446" s="219"/>
      <c r="BY446" s="119"/>
      <c r="BZ446" s="120"/>
      <c r="CA446" s="120"/>
      <c r="CB446" s="121"/>
      <c r="CC446" s="119"/>
      <c r="CD446" s="120"/>
      <c r="CE446" s="120"/>
      <c r="CF446" s="214"/>
    </row>
    <row r="447" spans="22:84" ht="14.4" customHeight="1" x14ac:dyDescent="0.3">
      <c r="V447" s="36"/>
      <c r="W447" s="249"/>
      <c r="X447" s="250"/>
      <c r="Y447" s="37"/>
      <c r="Z447" s="38"/>
      <c r="AA447" s="38"/>
      <c r="AB447" s="38" t="str">
        <f t="shared" ref="AB447:AB458" si="381">IF(ISNUMBER(Y447),(Y447+Z447)/2-3*(Z447 - (Y447+Z447)/2) / (3 * AA461),"")</f>
        <v/>
      </c>
      <c r="AC447" s="38" t="str">
        <f t="shared" ref="AC447:AC458" si="382">IF(ISNUMBER(Z447),(Y447+Z447)/2+3*(Z447 - (Y447+Z447)/2) / (3 * AA461),"")</f>
        <v/>
      </c>
      <c r="AD447" s="247"/>
      <c r="AE447" s="248"/>
      <c r="AF447" s="39"/>
      <c r="AG447" s="39"/>
      <c r="AH447" s="39"/>
      <c r="AI447" s="39"/>
      <c r="AJ447" s="39"/>
      <c r="AK447" s="39"/>
      <c r="AL447" s="39"/>
      <c r="AM447" s="39"/>
      <c r="AN447" s="39"/>
      <c r="AO447" s="39"/>
      <c r="AP447" s="22"/>
      <c r="AQ447" s="36" t="str">
        <f t="shared" ref="AQ447:AQ457" si="383">IF(ISBLANK(V448),"",V448)</f>
        <v/>
      </c>
      <c r="AR447" s="287" t="str">
        <f t="shared" ref="AR447:AR457" si="384">IF(OR(AW447="QC",ISTEXT(Y448)), W448, "")</f>
        <v/>
      </c>
      <c r="AS447" s="288"/>
      <c r="AT447" s="37" t="str">
        <f t="shared" ref="AT447:AT457" si="385">IF(OR(AW447="QC",ISTEXT(Y448)), Y448, "")</f>
        <v/>
      </c>
      <c r="AU447" s="37" t="str">
        <f t="shared" ref="AU447:AU457" si="386">IF(OR(AW447="QC",ISTEXT(Y448)), Z448, "")</f>
        <v/>
      </c>
      <c r="AV447" s="37" t="str">
        <f t="shared" ref="AV447:AV457" si="387">IF(ISBLANK(Z462),"",Z462)</f>
        <v/>
      </c>
      <c r="AW447" s="38" t="str">
        <f t="shared" ref="AW447:AW457" si="388">IF(ISBLANK(AA448),"",AA448)</f>
        <v/>
      </c>
      <c r="AX447" s="38" t="str">
        <f t="shared" ref="AX447:AX457" si="389">IF(OR(AW447="QC",ISTEXT(Y448)), AB448, "")</f>
        <v/>
      </c>
      <c r="AY447" s="38" t="str">
        <f t="shared" ref="AY447:AY457" si="390">IF(OR(AW447="QC",ISTEXT(Y448)), AC448, "")</f>
        <v/>
      </c>
      <c r="AZ447" s="39"/>
      <c r="BA447" s="39"/>
      <c r="BB447" s="39"/>
      <c r="BC447" s="39"/>
      <c r="BD447" s="39"/>
      <c r="BE447" s="39"/>
      <c r="BF447" s="39"/>
      <c r="BG447" s="39"/>
      <c r="BH447" s="39"/>
      <c r="BI447" s="39"/>
      <c r="BJ447" s="39"/>
      <c r="BK447" s="40"/>
      <c r="BL447" s="158" t="s">
        <v>102</v>
      </c>
      <c r="BM447" s="159"/>
      <c r="BN447" s="42" t="s">
        <v>103</v>
      </c>
      <c r="BO447" s="119"/>
      <c r="BP447" s="120"/>
      <c r="BQ447" s="121"/>
      <c r="BR447" s="137" t="s">
        <v>104</v>
      </c>
      <c r="BS447" s="138"/>
      <c r="BT447" s="164"/>
      <c r="BU447" s="165"/>
      <c r="BV447" s="165"/>
      <c r="BW447" s="165"/>
      <c r="BX447" s="166"/>
      <c r="BY447" s="122"/>
      <c r="BZ447" s="123"/>
      <c r="CA447" s="123"/>
      <c r="CB447" s="124"/>
      <c r="CC447" s="122"/>
      <c r="CD447" s="123"/>
      <c r="CE447" s="123"/>
      <c r="CF447" s="215"/>
    </row>
    <row r="448" spans="22:84" ht="14.4" customHeight="1" x14ac:dyDescent="0.3">
      <c r="V448" s="36"/>
      <c r="W448" s="249"/>
      <c r="X448" s="250"/>
      <c r="Y448" s="37"/>
      <c r="Z448" s="38"/>
      <c r="AA448" s="38"/>
      <c r="AB448" s="38" t="str">
        <f t="shared" si="381"/>
        <v/>
      </c>
      <c r="AC448" s="38" t="str">
        <f t="shared" si="382"/>
        <v/>
      </c>
      <c r="AD448" s="247"/>
      <c r="AE448" s="248"/>
      <c r="AF448" s="39"/>
      <c r="AG448" s="39"/>
      <c r="AH448" s="39"/>
      <c r="AI448" s="39"/>
      <c r="AJ448" s="39"/>
      <c r="AK448" s="39"/>
      <c r="AL448" s="39"/>
      <c r="AM448" s="39"/>
      <c r="AN448" s="39"/>
      <c r="AO448" s="39"/>
      <c r="AP448" s="22"/>
      <c r="AQ448" s="36" t="str">
        <f t="shared" si="383"/>
        <v/>
      </c>
      <c r="AR448" s="287" t="str">
        <f t="shared" si="384"/>
        <v/>
      </c>
      <c r="AS448" s="288"/>
      <c r="AT448" s="37" t="str">
        <f t="shared" si="385"/>
        <v/>
      </c>
      <c r="AU448" s="37" t="str">
        <f t="shared" si="386"/>
        <v/>
      </c>
      <c r="AV448" s="37" t="str">
        <f t="shared" si="387"/>
        <v/>
      </c>
      <c r="AW448" s="38" t="str">
        <f t="shared" si="388"/>
        <v/>
      </c>
      <c r="AX448" s="38" t="str">
        <f t="shared" si="389"/>
        <v/>
      </c>
      <c r="AY448" s="38" t="str">
        <f t="shared" si="390"/>
        <v/>
      </c>
      <c r="AZ448" s="39"/>
      <c r="BA448" s="39"/>
      <c r="BB448" s="39"/>
      <c r="BC448" s="39"/>
      <c r="BD448" s="39"/>
      <c r="BE448" s="39"/>
      <c r="BF448" s="39"/>
      <c r="BG448" s="39"/>
      <c r="BH448" s="39"/>
      <c r="BI448" s="39"/>
      <c r="BJ448" s="39"/>
      <c r="BK448" s="40"/>
      <c r="BL448" s="210" t="s">
        <v>105</v>
      </c>
      <c r="BM448" s="211"/>
      <c r="BN448" s="28" t="s">
        <v>101</v>
      </c>
      <c r="BO448" s="125"/>
      <c r="BP448" s="126"/>
      <c r="BQ448" s="127"/>
      <c r="BR448" s="139"/>
      <c r="BS448" s="140"/>
      <c r="BT448" s="167"/>
      <c r="BU448" s="168"/>
      <c r="BV448" s="168"/>
      <c r="BW448" s="168"/>
      <c r="BX448" s="169"/>
      <c r="BY448" s="122"/>
      <c r="BZ448" s="123"/>
      <c r="CA448" s="123"/>
      <c r="CB448" s="124"/>
      <c r="CC448" s="122"/>
      <c r="CD448" s="123"/>
      <c r="CE448" s="123"/>
      <c r="CF448" s="215"/>
    </row>
    <row r="449" spans="22:84" ht="14.4" customHeight="1" x14ac:dyDescent="0.3">
      <c r="V449" s="36"/>
      <c r="W449" s="249"/>
      <c r="X449" s="250"/>
      <c r="Y449" s="37"/>
      <c r="Z449" s="38"/>
      <c r="AA449" s="38"/>
      <c r="AB449" s="38" t="str">
        <f t="shared" si="381"/>
        <v/>
      </c>
      <c r="AC449" s="38" t="str">
        <f t="shared" si="382"/>
        <v/>
      </c>
      <c r="AD449" s="247"/>
      <c r="AE449" s="248"/>
      <c r="AF449" s="39"/>
      <c r="AG449" s="39"/>
      <c r="AH449" s="39"/>
      <c r="AI449" s="39"/>
      <c r="AJ449" s="39"/>
      <c r="AK449" s="39"/>
      <c r="AL449" s="39"/>
      <c r="AM449" s="39"/>
      <c r="AN449" s="39"/>
      <c r="AO449" s="39"/>
      <c r="AP449" s="22"/>
      <c r="AQ449" s="36" t="str">
        <f t="shared" si="383"/>
        <v/>
      </c>
      <c r="AR449" s="287" t="str">
        <f t="shared" si="384"/>
        <v/>
      </c>
      <c r="AS449" s="288"/>
      <c r="AT449" s="37" t="str">
        <f t="shared" si="385"/>
        <v/>
      </c>
      <c r="AU449" s="37" t="str">
        <f t="shared" si="386"/>
        <v/>
      </c>
      <c r="AV449" s="37" t="str">
        <f t="shared" si="387"/>
        <v/>
      </c>
      <c r="AW449" s="38" t="str">
        <f t="shared" si="388"/>
        <v/>
      </c>
      <c r="AX449" s="38" t="str">
        <f t="shared" si="389"/>
        <v/>
      </c>
      <c r="AY449" s="38" t="str">
        <f t="shared" si="390"/>
        <v/>
      </c>
      <c r="AZ449" s="39"/>
      <c r="BA449" s="39"/>
      <c r="BB449" s="39"/>
      <c r="BC449" s="39"/>
      <c r="BD449" s="39"/>
      <c r="BE449" s="39"/>
      <c r="BF449" s="39"/>
      <c r="BG449" s="39"/>
      <c r="BH449" s="39"/>
      <c r="BI449" s="39"/>
      <c r="BJ449" s="39"/>
      <c r="BK449" s="40"/>
      <c r="BL449" s="212" t="s">
        <v>106</v>
      </c>
      <c r="BM449" s="205"/>
      <c r="BN449" s="206"/>
      <c r="BO449" s="213" t="s">
        <v>107</v>
      </c>
      <c r="BP449" s="159"/>
      <c r="BQ449" s="43"/>
      <c r="BR449" s="220" t="s">
        <v>108</v>
      </c>
      <c r="BS449" s="44" t="s">
        <v>109</v>
      </c>
      <c r="BT449" s="45"/>
      <c r="BU449" s="220" t="s">
        <v>110</v>
      </c>
      <c r="BV449" s="119"/>
      <c r="BW449" s="120"/>
      <c r="BX449" s="121"/>
      <c r="BY449" s="122"/>
      <c r="BZ449" s="123"/>
      <c r="CA449" s="123"/>
      <c r="CB449" s="124"/>
      <c r="CC449" s="122"/>
      <c r="CD449" s="123"/>
      <c r="CE449" s="123"/>
      <c r="CF449" s="215"/>
    </row>
    <row r="450" spans="22:84" ht="14.4" customHeight="1" x14ac:dyDescent="0.3">
      <c r="V450" s="36"/>
      <c r="W450" s="249"/>
      <c r="X450" s="250"/>
      <c r="Y450" s="37"/>
      <c r="Z450" s="38"/>
      <c r="AA450" s="38"/>
      <c r="AB450" s="38" t="str">
        <f t="shared" si="381"/>
        <v/>
      </c>
      <c r="AC450" s="38" t="str">
        <f t="shared" si="382"/>
        <v/>
      </c>
      <c r="AD450" s="247"/>
      <c r="AE450" s="248"/>
      <c r="AF450" s="39"/>
      <c r="AG450" s="39"/>
      <c r="AH450" s="39"/>
      <c r="AI450" s="39"/>
      <c r="AJ450" s="39"/>
      <c r="AK450" s="39"/>
      <c r="AL450" s="39"/>
      <c r="AM450" s="39"/>
      <c r="AN450" s="39"/>
      <c r="AO450" s="39"/>
      <c r="AP450" s="22"/>
      <c r="AQ450" s="36" t="str">
        <f t="shared" si="383"/>
        <v/>
      </c>
      <c r="AR450" s="287" t="str">
        <f t="shared" si="384"/>
        <v/>
      </c>
      <c r="AS450" s="288"/>
      <c r="AT450" s="37" t="str">
        <f t="shared" si="385"/>
        <v/>
      </c>
      <c r="AU450" s="37" t="str">
        <f t="shared" si="386"/>
        <v/>
      </c>
      <c r="AV450" s="37" t="str">
        <f t="shared" si="387"/>
        <v/>
      </c>
      <c r="AW450" s="38" t="str">
        <f t="shared" si="388"/>
        <v/>
      </c>
      <c r="AX450" s="38" t="str">
        <f t="shared" si="389"/>
        <v/>
      </c>
      <c r="AY450" s="38" t="str">
        <f t="shared" si="390"/>
        <v/>
      </c>
      <c r="AZ450" s="39"/>
      <c r="BA450" s="39"/>
      <c r="BB450" s="39"/>
      <c r="BC450" s="39"/>
      <c r="BD450" s="39"/>
      <c r="BE450" s="39"/>
      <c r="BF450" s="39"/>
      <c r="BG450" s="39"/>
      <c r="BH450" s="39"/>
      <c r="BI450" s="39"/>
      <c r="BJ450" s="39"/>
      <c r="BK450" s="40"/>
      <c r="BL450" s="199"/>
      <c r="BM450" s="154"/>
      <c r="BN450" s="200"/>
      <c r="BO450" s="201"/>
      <c r="BP450" s="202"/>
      <c r="BQ450" s="203"/>
      <c r="BR450" s="221"/>
      <c r="BS450" s="44" t="s">
        <v>112</v>
      </c>
      <c r="BT450" s="45"/>
      <c r="BU450" s="221"/>
      <c r="BV450" s="125"/>
      <c r="BW450" s="126"/>
      <c r="BX450" s="127"/>
      <c r="BY450" s="122"/>
      <c r="BZ450" s="123"/>
      <c r="CA450" s="123"/>
      <c r="CB450" s="124"/>
      <c r="CC450" s="122"/>
      <c r="CD450" s="123"/>
      <c r="CE450" s="123"/>
      <c r="CF450" s="215"/>
    </row>
    <row r="451" spans="22:84" ht="14.4" customHeight="1" x14ac:dyDescent="0.3">
      <c r="V451" s="36"/>
      <c r="W451" s="249"/>
      <c r="X451" s="250"/>
      <c r="Y451" s="37"/>
      <c r="Z451" s="38"/>
      <c r="AA451" s="38"/>
      <c r="AB451" s="38" t="str">
        <f t="shared" si="381"/>
        <v/>
      </c>
      <c r="AC451" s="38" t="str">
        <f t="shared" si="382"/>
        <v/>
      </c>
      <c r="AD451" s="247"/>
      <c r="AE451" s="248"/>
      <c r="AF451" s="39"/>
      <c r="AG451" s="39"/>
      <c r="AH451" s="39"/>
      <c r="AI451" s="39"/>
      <c r="AJ451" s="39"/>
      <c r="AK451" s="39"/>
      <c r="AL451" s="39"/>
      <c r="AM451" s="39"/>
      <c r="AN451" s="39"/>
      <c r="AO451" s="39"/>
      <c r="AP451" s="22"/>
      <c r="AQ451" s="36" t="str">
        <f t="shared" si="383"/>
        <v/>
      </c>
      <c r="AR451" s="287" t="str">
        <f t="shared" si="384"/>
        <v/>
      </c>
      <c r="AS451" s="288"/>
      <c r="AT451" s="37" t="str">
        <f t="shared" si="385"/>
        <v/>
      </c>
      <c r="AU451" s="37" t="str">
        <f t="shared" si="386"/>
        <v/>
      </c>
      <c r="AV451" s="37" t="str">
        <f t="shared" si="387"/>
        <v/>
      </c>
      <c r="AW451" s="38" t="str">
        <f t="shared" si="388"/>
        <v/>
      </c>
      <c r="AX451" s="38" t="str">
        <f t="shared" si="389"/>
        <v/>
      </c>
      <c r="AY451" s="38" t="str">
        <f t="shared" si="390"/>
        <v/>
      </c>
      <c r="AZ451" s="39"/>
      <c r="BA451" s="39"/>
      <c r="BB451" s="39"/>
      <c r="BC451" s="39"/>
      <c r="BD451" s="39"/>
      <c r="BE451" s="39"/>
      <c r="BF451" s="39"/>
      <c r="BG451" s="39"/>
      <c r="BH451" s="39"/>
      <c r="BI451" s="39"/>
      <c r="BJ451" s="39"/>
      <c r="BK451" s="40"/>
      <c r="BL451" s="170"/>
      <c r="BM451" s="171"/>
      <c r="BN451" s="172"/>
      <c r="BO451" s="179"/>
      <c r="BP451" s="171"/>
      <c r="BQ451" s="172"/>
      <c r="BR451" s="179"/>
      <c r="BS451" s="171"/>
      <c r="BT451" s="171"/>
      <c r="BU451" s="171"/>
      <c r="BV451" s="171"/>
      <c r="BW451" s="171"/>
      <c r="BX451" s="172"/>
      <c r="BY451" s="122"/>
      <c r="BZ451" s="123"/>
      <c r="CA451" s="123"/>
      <c r="CB451" s="124"/>
      <c r="CC451" s="122"/>
      <c r="CD451" s="123"/>
      <c r="CE451" s="123"/>
      <c r="CF451" s="215"/>
    </row>
    <row r="452" spans="22:84" ht="14.4" customHeight="1" x14ac:dyDescent="0.3">
      <c r="V452" s="36"/>
      <c r="W452" s="249"/>
      <c r="X452" s="250"/>
      <c r="Y452" s="37"/>
      <c r="Z452" s="38"/>
      <c r="AA452" s="38"/>
      <c r="AB452" s="38" t="str">
        <f t="shared" si="381"/>
        <v/>
      </c>
      <c r="AC452" s="38" t="str">
        <f t="shared" si="382"/>
        <v/>
      </c>
      <c r="AD452" s="247"/>
      <c r="AE452" s="248"/>
      <c r="AF452" s="39"/>
      <c r="AG452" s="39"/>
      <c r="AH452" s="39"/>
      <c r="AI452" s="39"/>
      <c r="AJ452" s="39"/>
      <c r="AK452" s="39"/>
      <c r="AL452" s="39"/>
      <c r="AM452" s="39"/>
      <c r="AN452" s="39"/>
      <c r="AO452" s="39"/>
      <c r="AP452" s="22"/>
      <c r="AQ452" s="36" t="str">
        <f t="shared" si="383"/>
        <v/>
      </c>
      <c r="AR452" s="287" t="str">
        <f t="shared" si="384"/>
        <v/>
      </c>
      <c r="AS452" s="288"/>
      <c r="AT452" s="37" t="str">
        <f t="shared" si="385"/>
        <v/>
      </c>
      <c r="AU452" s="37" t="str">
        <f t="shared" si="386"/>
        <v/>
      </c>
      <c r="AV452" s="37" t="str">
        <f t="shared" si="387"/>
        <v/>
      </c>
      <c r="AW452" s="38" t="str">
        <f t="shared" si="388"/>
        <v/>
      </c>
      <c r="AX452" s="38" t="str">
        <f t="shared" si="389"/>
        <v/>
      </c>
      <c r="AY452" s="38" t="str">
        <f t="shared" si="390"/>
        <v/>
      </c>
      <c r="AZ452" s="39"/>
      <c r="BA452" s="39"/>
      <c r="BB452" s="39"/>
      <c r="BC452" s="39"/>
      <c r="BD452" s="39"/>
      <c r="BE452" s="39"/>
      <c r="BF452" s="39"/>
      <c r="BG452" s="39"/>
      <c r="BH452" s="39"/>
      <c r="BI452" s="39"/>
      <c r="BJ452" s="39"/>
      <c r="BK452" s="40"/>
      <c r="BL452" s="173"/>
      <c r="BM452" s="174"/>
      <c r="BN452" s="175"/>
      <c r="BO452" s="180"/>
      <c r="BP452" s="174"/>
      <c r="BQ452" s="175"/>
      <c r="BR452" s="180"/>
      <c r="BS452" s="174"/>
      <c r="BT452" s="174"/>
      <c r="BU452" s="174"/>
      <c r="BV452" s="174"/>
      <c r="BW452" s="174"/>
      <c r="BX452" s="175"/>
      <c r="BY452" s="122"/>
      <c r="BZ452" s="123"/>
      <c r="CA452" s="123"/>
      <c r="CB452" s="124"/>
      <c r="CC452" s="122"/>
      <c r="CD452" s="123"/>
      <c r="CE452" s="123"/>
      <c r="CF452" s="215"/>
    </row>
    <row r="453" spans="22:84" ht="14.4" customHeight="1" x14ac:dyDescent="0.3">
      <c r="V453" s="36"/>
      <c r="W453" s="249"/>
      <c r="X453" s="250"/>
      <c r="Y453" s="37"/>
      <c r="Z453" s="38"/>
      <c r="AA453" s="38"/>
      <c r="AB453" s="38" t="str">
        <f t="shared" si="381"/>
        <v/>
      </c>
      <c r="AC453" s="38" t="str">
        <f t="shared" si="382"/>
        <v/>
      </c>
      <c r="AD453" s="247"/>
      <c r="AE453" s="248"/>
      <c r="AF453" s="39"/>
      <c r="AG453" s="39"/>
      <c r="AH453" s="39"/>
      <c r="AI453" s="39"/>
      <c r="AJ453" s="39"/>
      <c r="AK453" s="39"/>
      <c r="AL453" s="39"/>
      <c r="AM453" s="39"/>
      <c r="AN453" s="39"/>
      <c r="AO453" s="39"/>
      <c r="AP453" s="22"/>
      <c r="AQ453" s="36" t="str">
        <f t="shared" si="383"/>
        <v/>
      </c>
      <c r="AR453" s="287" t="str">
        <f t="shared" si="384"/>
        <v/>
      </c>
      <c r="AS453" s="288"/>
      <c r="AT453" s="37" t="str">
        <f t="shared" si="385"/>
        <v/>
      </c>
      <c r="AU453" s="37" t="str">
        <f t="shared" si="386"/>
        <v/>
      </c>
      <c r="AV453" s="37" t="str">
        <f t="shared" si="387"/>
        <v/>
      </c>
      <c r="AW453" s="38" t="str">
        <f t="shared" si="388"/>
        <v/>
      </c>
      <c r="AX453" s="38" t="str">
        <f t="shared" si="389"/>
        <v/>
      </c>
      <c r="AY453" s="38" t="str">
        <f t="shared" si="390"/>
        <v/>
      </c>
      <c r="AZ453" s="39"/>
      <c r="BA453" s="39"/>
      <c r="BB453" s="39"/>
      <c r="BC453" s="39"/>
      <c r="BD453" s="39"/>
      <c r="BE453" s="39"/>
      <c r="BF453" s="39"/>
      <c r="BG453" s="39"/>
      <c r="BH453" s="39"/>
      <c r="BI453" s="39"/>
      <c r="BJ453" s="39"/>
      <c r="BK453" s="40"/>
      <c r="BL453" s="173"/>
      <c r="BM453" s="174"/>
      <c r="BN453" s="175"/>
      <c r="BO453" s="180"/>
      <c r="BP453" s="174"/>
      <c r="BQ453" s="175"/>
      <c r="BR453" s="180"/>
      <c r="BS453" s="174"/>
      <c r="BT453" s="174"/>
      <c r="BU453" s="174"/>
      <c r="BV453" s="174"/>
      <c r="BW453" s="174"/>
      <c r="BX453" s="175"/>
      <c r="BY453" s="122"/>
      <c r="BZ453" s="123"/>
      <c r="CA453" s="123"/>
      <c r="CB453" s="124"/>
      <c r="CC453" s="122"/>
      <c r="CD453" s="123"/>
      <c r="CE453" s="123"/>
      <c r="CF453" s="215"/>
    </row>
    <row r="454" spans="22:84" ht="14.4" customHeight="1" x14ac:dyDescent="0.3">
      <c r="V454" s="36"/>
      <c r="W454" s="249"/>
      <c r="X454" s="250"/>
      <c r="Y454" s="37"/>
      <c r="Z454" s="38"/>
      <c r="AA454" s="38"/>
      <c r="AB454" s="38" t="str">
        <f t="shared" si="381"/>
        <v/>
      </c>
      <c r="AC454" s="38" t="str">
        <f t="shared" si="382"/>
        <v/>
      </c>
      <c r="AD454" s="247"/>
      <c r="AE454" s="248"/>
      <c r="AF454" s="39"/>
      <c r="AG454" s="39"/>
      <c r="AH454" s="39"/>
      <c r="AI454" s="39"/>
      <c r="AJ454" s="39"/>
      <c r="AK454" s="39"/>
      <c r="AL454" s="39"/>
      <c r="AM454" s="39"/>
      <c r="AN454" s="39"/>
      <c r="AO454" s="39"/>
      <c r="AP454" s="22"/>
      <c r="AQ454" s="36" t="str">
        <f t="shared" si="383"/>
        <v/>
      </c>
      <c r="AR454" s="287" t="str">
        <f t="shared" si="384"/>
        <v/>
      </c>
      <c r="AS454" s="288"/>
      <c r="AT454" s="37" t="str">
        <f t="shared" si="385"/>
        <v/>
      </c>
      <c r="AU454" s="37" t="str">
        <f t="shared" si="386"/>
        <v/>
      </c>
      <c r="AV454" s="37" t="str">
        <f t="shared" si="387"/>
        <v/>
      </c>
      <c r="AW454" s="38" t="str">
        <f t="shared" si="388"/>
        <v/>
      </c>
      <c r="AX454" s="38" t="str">
        <f t="shared" si="389"/>
        <v/>
      </c>
      <c r="AY454" s="38" t="str">
        <f t="shared" si="390"/>
        <v/>
      </c>
      <c r="AZ454" s="39"/>
      <c r="BA454" s="39"/>
      <c r="BB454" s="39"/>
      <c r="BC454" s="39"/>
      <c r="BD454" s="39"/>
      <c r="BE454" s="39"/>
      <c r="BF454" s="39"/>
      <c r="BG454" s="39"/>
      <c r="BH454" s="39"/>
      <c r="BI454" s="39"/>
      <c r="BJ454" s="39"/>
      <c r="BK454" s="40"/>
      <c r="BL454" s="173"/>
      <c r="BM454" s="174"/>
      <c r="BN454" s="175"/>
      <c r="BO454" s="180"/>
      <c r="BP454" s="174"/>
      <c r="BQ454" s="175"/>
      <c r="BR454" s="180"/>
      <c r="BS454" s="174"/>
      <c r="BT454" s="174"/>
      <c r="BU454" s="174"/>
      <c r="BV454" s="174"/>
      <c r="BW454" s="174"/>
      <c r="BX454" s="175"/>
      <c r="BY454" s="122"/>
      <c r="BZ454" s="123"/>
      <c r="CA454" s="123"/>
      <c r="CB454" s="124"/>
      <c r="CC454" s="122"/>
      <c r="CD454" s="123"/>
      <c r="CE454" s="123"/>
      <c r="CF454" s="215"/>
    </row>
    <row r="455" spans="22:84" ht="14.4" customHeight="1" x14ac:dyDescent="0.3">
      <c r="V455" s="36"/>
      <c r="W455" s="249"/>
      <c r="X455" s="250"/>
      <c r="Y455" s="37"/>
      <c r="Z455" s="38"/>
      <c r="AA455" s="38"/>
      <c r="AB455" s="38" t="str">
        <f t="shared" si="381"/>
        <v/>
      </c>
      <c r="AC455" s="38" t="str">
        <f t="shared" si="382"/>
        <v/>
      </c>
      <c r="AD455" s="247"/>
      <c r="AE455" s="248"/>
      <c r="AF455" s="39"/>
      <c r="AG455" s="39"/>
      <c r="AH455" s="39"/>
      <c r="AI455" s="39"/>
      <c r="AJ455" s="39"/>
      <c r="AK455" s="39"/>
      <c r="AL455" s="39"/>
      <c r="AM455" s="39"/>
      <c r="AN455" s="39"/>
      <c r="AO455" s="39"/>
      <c r="AP455" s="22"/>
      <c r="AQ455" s="36" t="str">
        <f t="shared" si="383"/>
        <v/>
      </c>
      <c r="AR455" s="287" t="str">
        <f t="shared" si="384"/>
        <v/>
      </c>
      <c r="AS455" s="288"/>
      <c r="AT455" s="37" t="str">
        <f t="shared" si="385"/>
        <v/>
      </c>
      <c r="AU455" s="37" t="str">
        <f t="shared" si="386"/>
        <v/>
      </c>
      <c r="AV455" s="37" t="str">
        <f t="shared" si="387"/>
        <v/>
      </c>
      <c r="AW455" s="38" t="str">
        <f t="shared" si="388"/>
        <v/>
      </c>
      <c r="AX455" s="38" t="str">
        <f t="shared" si="389"/>
        <v/>
      </c>
      <c r="AY455" s="38" t="str">
        <f t="shared" si="390"/>
        <v/>
      </c>
      <c r="AZ455" s="39"/>
      <c r="BA455" s="39"/>
      <c r="BB455" s="39"/>
      <c r="BC455" s="39"/>
      <c r="BD455" s="39"/>
      <c r="BE455" s="39"/>
      <c r="BF455" s="39"/>
      <c r="BG455" s="39"/>
      <c r="BH455" s="39"/>
      <c r="BI455" s="39"/>
      <c r="BJ455" s="39"/>
      <c r="BK455" s="40"/>
      <c r="BL455" s="173"/>
      <c r="BM455" s="174"/>
      <c r="BN455" s="175"/>
      <c r="BO455" s="180"/>
      <c r="BP455" s="174"/>
      <c r="BQ455" s="175"/>
      <c r="BR455" s="180"/>
      <c r="BS455" s="174"/>
      <c r="BT455" s="174"/>
      <c r="BU455" s="174"/>
      <c r="BV455" s="174"/>
      <c r="BW455" s="174"/>
      <c r="BX455" s="175"/>
      <c r="BY455" s="122"/>
      <c r="BZ455" s="123"/>
      <c r="CA455" s="123"/>
      <c r="CB455" s="124"/>
      <c r="CC455" s="122"/>
      <c r="CD455" s="123"/>
      <c r="CE455" s="123"/>
      <c r="CF455" s="215"/>
    </row>
    <row r="456" spans="22:84" ht="14.4" customHeight="1" x14ac:dyDescent="0.3">
      <c r="V456" s="36"/>
      <c r="W456" s="249"/>
      <c r="X456" s="250"/>
      <c r="Y456" s="37"/>
      <c r="Z456" s="38"/>
      <c r="AA456" s="38"/>
      <c r="AB456" s="38" t="str">
        <f t="shared" si="381"/>
        <v/>
      </c>
      <c r="AC456" s="38" t="str">
        <f t="shared" si="382"/>
        <v/>
      </c>
      <c r="AD456" s="247"/>
      <c r="AE456" s="248"/>
      <c r="AF456" s="39"/>
      <c r="AG456" s="39"/>
      <c r="AH456" s="39"/>
      <c r="AI456" s="39"/>
      <c r="AJ456" s="39"/>
      <c r="AK456" s="39"/>
      <c r="AL456" s="39"/>
      <c r="AM456" s="39"/>
      <c r="AN456" s="39"/>
      <c r="AO456" s="39"/>
      <c r="AP456" s="22"/>
      <c r="AQ456" s="36" t="str">
        <f t="shared" si="383"/>
        <v/>
      </c>
      <c r="AR456" s="287" t="str">
        <f t="shared" si="384"/>
        <v/>
      </c>
      <c r="AS456" s="288"/>
      <c r="AT456" s="37" t="str">
        <f t="shared" si="385"/>
        <v/>
      </c>
      <c r="AU456" s="37" t="str">
        <f t="shared" si="386"/>
        <v/>
      </c>
      <c r="AV456" s="37" t="str">
        <f t="shared" si="387"/>
        <v/>
      </c>
      <c r="AW456" s="38" t="str">
        <f t="shared" si="388"/>
        <v/>
      </c>
      <c r="AX456" s="38" t="str">
        <f t="shared" si="389"/>
        <v/>
      </c>
      <c r="AY456" s="38" t="str">
        <f t="shared" si="390"/>
        <v/>
      </c>
      <c r="AZ456" s="39"/>
      <c r="BA456" s="39"/>
      <c r="BB456" s="39"/>
      <c r="BC456" s="39"/>
      <c r="BD456" s="39"/>
      <c r="BE456" s="39"/>
      <c r="BF456" s="39"/>
      <c r="BG456" s="39"/>
      <c r="BH456" s="39"/>
      <c r="BI456" s="39"/>
      <c r="BJ456" s="39"/>
      <c r="BK456" s="40"/>
      <c r="BL456" s="173"/>
      <c r="BM456" s="174"/>
      <c r="BN456" s="175"/>
      <c r="BO456" s="180"/>
      <c r="BP456" s="174"/>
      <c r="BQ456" s="175"/>
      <c r="BR456" s="180"/>
      <c r="BS456" s="174"/>
      <c r="BT456" s="174"/>
      <c r="BU456" s="174"/>
      <c r="BV456" s="174"/>
      <c r="BW456" s="174"/>
      <c r="BX456" s="175"/>
      <c r="BY456" s="122"/>
      <c r="BZ456" s="123"/>
      <c r="CA456" s="123"/>
      <c r="CB456" s="124"/>
      <c r="CC456" s="122"/>
      <c r="CD456" s="123"/>
      <c r="CE456" s="123"/>
      <c r="CF456" s="215"/>
    </row>
    <row r="457" spans="22:84" ht="14.4" customHeight="1" x14ac:dyDescent="0.3">
      <c r="V457" s="36"/>
      <c r="W457" s="249"/>
      <c r="X457" s="250"/>
      <c r="Y457" s="37"/>
      <c r="Z457" s="38"/>
      <c r="AA457" s="38"/>
      <c r="AB457" s="38" t="str">
        <f t="shared" si="381"/>
        <v/>
      </c>
      <c r="AC457" s="38" t="str">
        <f t="shared" si="382"/>
        <v/>
      </c>
      <c r="AD457" s="247"/>
      <c r="AE457" s="248"/>
      <c r="AF457" s="39"/>
      <c r="AG457" s="39"/>
      <c r="AH457" s="39"/>
      <c r="AI457" s="39"/>
      <c r="AJ457" s="39"/>
      <c r="AK457" s="39"/>
      <c r="AL457" s="39"/>
      <c r="AM457" s="39"/>
      <c r="AN457" s="39"/>
      <c r="AO457" s="39"/>
      <c r="AP457" s="22"/>
      <c r="AQ457" s="36" t="str">
        <f t="shared" si="383"/>
        <v/>
      </c>
      <c r="AR457" s="287" t="str">
        <f t="shared" si="384"/>
        <v/>
      </c>
      <c r="AS457" s="288"/>
      <c r="AT457" s="37" t="str">
        <f t="shared" si="385"/>
        <v/>
      </c>
      <c r="AU457" s="37" t="str">
        <f t="shared" si="386"/>
        <v/>
      </c>
      <c r="AV457" s="37" t="str">
        <f t="shared" si="387"/>
        <v/>
      </c>
      <c r="AW457" s="38" t="str">
        <f t="shared" si="388"/>
        <v/>
      </c>
      <c r="AX457" s="38" t="str">
        <f t="shared" si="389"/>
        <v/>
      </c>
      <c r="AY457" s="38" t="str">
        <f t="shared" si="390"/>
        <v/>
      </c>
      <c r="AZ457" s="39"/>
      <c r="BA457" s="39"/>
      <c r="BB457" s="39"/>
      <c r="BC457" s="39"/>
      <c r="BD457" s="39"/>
      <c r="BE457" s="39"/>
      <c r="BF457" s="39"/>
      <c r="BG457" s="39"/>
      <c r="BH457" s="39"/>
      <c r="BI457" s="39"/>
      <c r="BJ457" s="39"/>
      <c r="BK457" s="40"/>
      <c r="BL457" s="173"/>
      <c r="BM457" s="174"/>
      <c r="BN457" s="175"/>
      <c r="BO457" s="180"/>
      <c r="BP457" s="174"/>
      <c r="BQ457" s="175"/>
      <c r="BR457" s="180"/>
      <c r="BS457" s="174"/>
      <c r="BT457" s="174"/>
      <c r="BU457" s="174"/>
      <c r="BV457" s="174"/>
      <c r="BW457" s="174"/>
      <c r="BX457" s="175"/>
      <c r="BY457" s="122"/>
      <c r="BZ457" s="123"/>
      <c r="CA457" s="123"/>
      <c r="CB457" s="124"/>
      <c r="CC457" s="122"/>
      <c r="CD457" s="123"/>
      <c r="CE457" s="123"/>
      <c r="CF457" s="215"/>
    </row>
    <row r="458" spans="22:84" ht="14.4" customHeight="1" x14ac:dyDescent="0.3">
      <c r="V458" s="36"/>
      <c r="W458" s="249"/>
      <c r="X458" s="250"/>
      <c r="Y458" s="37"/>
      <c r="Z458" s="38"/>
      <c r="AA458" s="38"/>
      <c r="AB458" s="38" t="str">
        <f t="shared" si="381"/>
        <v/>
      </c>
      <c r="AC458" s="38" t="str">
        <f t="shared" si="382"/>
        <v/>
      </c>
      <c r="AD458" s="247"/>
      <c r="AE458" s="248"/>
      <c r="AF458" s="39"/>
      <c r="AG458" s="39"/>
      <c r="AH458" s="39"/>
      <c r="AI458" s="39"/>
      <c r="AJ458" s="39"/>
      <c r="AK458" s="39"/>
      <c r="AL458" s="39"/>
      <c r="AM458" s="39"/>
      <c r="AN458" s="39"/>
      <c r="AO458" s="39"/>
      <c r="AP458" s="22"/>
      <c r="AQ458" s="325" t="s">
        <v>73</v>
      </c>
      <c r="AR458" s="318"/>
      <c r="AS458" s="318"/>
      <c r="AT458" s="317" t="s">
        <v>74</v>
      </c>
      <c r="AU458" s="318"/>
      <c r="AV458" s="318"/>
      <c r="AW458" s="317" t="s">
        <v>75</v>
      </c>
      <c r="AX458" s="318"/>
      <c r="AY458" s="319"/>
      <c r="AZ458" s="241" t="s">
        <v>76</v>
      </c>
      <c r="BA458" s="242"/>
      <c r="BB458" s="242"/>
      <c r="BC458" s="241" t="s">
        <v>77</v>
      </c>
      <c r="BD458" s="242"/>
      <c r="BE458" s="242"/>
      <c r="BF458" s="241" t="s">
        <v>78</v>
      </c>
      <c r="BG458" s="242"/>
      <c r="BH458" s="242"/>
      <c r="BI458" s="241" t="s">
        <v>79</v>
      </c>
      <c r="BJ458" s="242"/>
      <c r="BK458" s="243"/>
      <c r="BL458" s="173"/>
      <c r="BM458" s="174"/>
      <c r="BN458" s="175"/>
      <c r="BO458" s="180"/>
      <c r="BP458" s="174"/>
      <c r="BQ458" s="175"/>
      <c r="BR458" s="180"/>
      <c r="BS458" s="174"/>
      <c r="BT458" s="174"/>
      <c r="BU458" s="174"/>
      <c r="BV458" s="174"/>
      <c r="BW458" s="174"/>
      <c r="BX458" s="175"/>
      <c r="BY458" s="122"/>
      <c r="BZ458" s="123"/>
      <c r="CA458" s="123"/>
      <c r="CB458" s="124"/>
      <c r="CC458" s="122"/>
      <c r="CD458" s="123"/>
      <c r="CE458" s="123"/>
      <c r="CF458" s="215"/>
    </row>
    <row r="459" spans="22:84" ht="14.4" customHeight="1" x14ac:dyDescent="0.3">
      <c r="V459" s="353" t="s">
        <v>113</v>
      </c>
      <c r="W459" s="222"/>
      <c r="X459" s="222"/>
      <c r="Y459" s="222"/>
      <c r="Z459" s="222"/>
      <c r="AA459" s="222"/>
      <c r="AB459" s="222"/>
      <c r="AC459" s="222"/>
      <c r="AD459" s="222"/>
      <c r="AE459" s="250"/>
      <c r="AP459" s="22"/>
      <c r="AQ459" s="46"/>
      <c r="AR459" s="39"/>
      <c r="AS459" s="39"/>
      <c r="AT459" s="39"/>
      <c r="AU459" s="39"/>
      <c r="AV459" s="39"/>
      <c r="AW459" s="39"/>
      <c r="AX459" s="39"/>
      <c r="AY459" s="39"/>
      <c r="AZ459" s="39"/>
      <c r="BA459" s="39"/>
      <c r="BB459" s="39"/>
      <c r="BC459" s="39"/>
      <c r="BD459" s="39"/>
      <c r="BE459" s="39"/>
      <c r="BF459" s="39"/>
      <c r="BG459" s="39"/>
      <c r="BH459" s="39"/>
      <c r="BI459" s="39"/>
      <c r="BJ459" s="39"/>
      <c r="BK459" s="40"/>
      <c r="BL459" s="173"/>
      <c r="BM459" s="174"/>
      <c r="BN459" s="175"/>
      <c r="BO459" s="180"/>
      <c r="BP459" s="174"/>
      <c r="BQ459" s="175"/>
      <c r="BR459" s="180"/>
      <c r="BS459" s="174"/>
      <c r="BT459" s="174"/>
      <c r="BU459" s="174"/>
      <c r="BV459" s="174"/>
      <c r="BW459" s="174"/>
      <c r="BX459" s="175"/>
      <c r="BY459" s="122"/>
      <c r="BZ459" s="123"/>
      <c r="CA459" s="123"/>
      <c r="CB459" s="124"/>
      <c r="CC459" s="125"/>
      <c r="CD459" s="126"/>
      <c r="CE459" s="126"/>
      <c r="CF459" s="216"/>
    </row>
    <row r="460" spans="22:84" ht="14.4" customHeight="1" x14ac:dyDescent="0.3">
      <c r="V460" s="47"/>
      <c r="W460" s="10" t="s">
        <v>114</v>
      </c>
      <c r="X460" s="10" t="s">
        <v>115</v>
      </c>
      <c r="Y460" s="10" t="s">
        <v>116</v>
      </c>
      <c r="Z460" s="48" t="s">
        <v>117</v>
      </c>
      <c r="AA460" s="14" t="s">
        <v>118</v>
      </c>
      <c r="AB460" s="10" t="s">
        <v>119</v>
      </c>
      <c r="AC460" s="10" t="s">
        <v>120</v>
      </c>
      <c r="AD460" s="10" t="s">
        <v>121</v>
      </c>
      <c r="AE460" s="10" t="s">
        <v>122</v>
      </c>
      <c r="AP460" s="22"/>
      <c r="AQ460" s="46"/>
      <c r="AR460" s="28"/>
      <c r="AS460" s="28"/>
      <c r="AT460" s="28"/>
      <c r="AU460" s="28"/>
      <c r="AV460" s="28"/>
      <c r="AW460" s="28"/>
      <c r="AX460" s="28"/>
      <c r="AY460" s="28"/>
      <c r="AZ460" s="28"/>
      <c r="BA460" s="28"/>
      <c r="BB460" s="28"/>
      <c r="BC460" s="28"/>
      <c r="BD460" s="28"/>
      <c r="BE460" s="28"/>
      <c r="BF460" s="28"/>
      <c r="BG460" s="28"/>
      <c r="BH460" s="28"/>
      <c r="BI460" s="28"/>
      <c r="BJ460" s="28"/>
      <c r="BK460" s="51"/>
      <c r="BL460" s="173"/>
      <c r="BM460" s="174"/>
      <c r="BN460" s="175"/>
      <c r="BO460" s="180"/>
      <c r="BP460" s="174"/>
      <c r="BQ460" s="175"/>
      <c r="BR460" s="180"/>
      <c r="BS460" s="174"/>
      <c r="BT460" s="174"/>
      <c r="BU460" s="174"/>
      <c r="BV460" s="174"/>
      <c r="BW460" s="174"/>
      <c r="BX460" s="175"/>
      <c r="BY460" s="122"/>
      <c r="BZ460" s="123"/>
      <c r="CA460" s="123"/>
      <c r="CB460" s="124"/>
      <c r="CC460" s="150" t="s">
        <v>123</v>
      </c>
      <c r="CD460" s="151"/>
      <c r="CE460" s="151"/>
      <c r="CF460" s="152"/>
    </row>
    <row r="461" spans="22:84" ht="14.4" customHeight="1" x14ac:dyDescent="0.3">
      <c r="V461" s="49" t="str">
        <f>IF(ISBLANK(V447),"",V447)</f>
        <v/>
      </c>
      <c r="W461" s="38" t="str" cm="1">
        <f t="array" ref="W461">IF(Y447="", "", IF(AND(Y447&lt;=MIN(AF447:AO447),Z447&gt;=MAX(AF447:AO447)),"ACCEPT",IF(AND(AF447:AO447="OK"),"ACCEPT","REJECT")))</f>
        <v/>
      </c>
      <c r="X461" s="38" t="str">
        <f t="shared" ref="X461:X472" si="391">IF(TRIM(W461)="", "", MAX(AF447:AO447))</f>
        <v/>
      </c>
      <c r="Y461" s="38" t="str">
        <f t="shared" ref="Y461:Y472" si="392">IF(TRIM(W461)="", "", MIN(AF447:AO447))</f>
        <v/>
      </c>
      <c r="Z461" s="38" t="str">
        <f t="shared" ref="Z461:Z472" si="393">IF(ISNUMBER(Y447),"VARIABLE",IF(ISBLANK(Y447),"","ATTRIBUTE"))</f>
        <v/>
      </c>
      <c r="AA461" s="38">
        <f t="shared" ref="AA461:AA472" si="394">IF((AA447="QC"),1.33,1)</f>
        <v>1</v>
      </c>
      <c r="AB461" s="38">
        <f t="shared" ref="AB461:AB472" si="395">IF(COUNT(AF447:AO447)=0,0,AVERAGE(AF447:AO447))</f>
        <v>0</v>
      </c>
      <c r="AC461" s="38">
        <f t="shared" ref="AC461:AC472" si="396">MAX(AF447:AO447)-MIN(AF447:AO447)</f>
        <v>0</v>
      </c>
      <c r="AD461" s="38">
        <f t="shared" ref="AD461:AD472" si="397">IF(COUNT(AF447:AO447)=0,0,_xlfn.STDEV.S(AF447:AO447))</f>
        <v>0</v>
      </c>
      <c r="AE461" s="38" t="str">
        <f t="shared" ref="AE461:AE472" si="398">IF(AB461=0,"-",IF(AB461-Y447&lt;Z447-AB461,AB461-Y447,Z447-AB461)/(AD461*3))</f>
        <v>-</v>
      </c>
      <c r="AP461" s="22"/>
      <c r="AQ461" s="46"/>
      <c r="AR461" s="39"/>
      <c r="AS461" s="39"/>
      <c r="AT461" s="39"/>
      <c r="AU461" s="39"/>
      <c r="AV461" s="39"/>
      <c r="AW461" s="39"/>
      <c r="AX461" s="39"/>
      <c r="AY461" s="39"/>
      <c r="AZ461" s="39"/>
      <c r="BA461" s="39"/>
      <c r="BB461" s="39"/>
      <c r="BC461" s="39"/>
      <c r="BD461" s="39"/>
      <c r="BE461" s="39"/>
      <c r="BF461" s="39"/>
      <c r="BG461" s="39"/>
      <c r="BH461" s="39"/>
      <c r="BI461" s="39"/>
      <c r="BJ461" s="39"/>
      <c r="BK461" s="40"/>
      <c r="BL461" s="176"/>
      <c r="BM461" s="177"/>
      <c r="BN461" s="178"/>
      <c r="BO461" s="181"/>
      <c r="BP461" s="177"/>
      <c r="BQ461" s="178"/>
      <c r="BR461" s="181"/>
      <c r="BS461" s="177"/>
      <c r="BT461" s="177"/>
      <c r="BU461" s="177"/>
      <c r="BV461" s="177"/>
      <c r="BW461" s="177"/>
      <c r="BX461" s="178"/>
      <c r="BY461" s="125"/>
      <c r="BZ461" s="126"/>
      <c r="CA461" s="126"/>
      <c r="CB461" s="127"/>
      <c r="CC461" s="153"/>
      <c r="CD461" s="154"/>
      <c r="CE461" s="154"/>
      <c r="CF461" s="155"/>
    </row>
    <row r="462" spans="22:84" ht="14.4" customHeight="1" x14ac:dyDescent="0.3">
      <c r="V462" s="49" t="str">
        <f t="shared" ref="V462:V471" si="399">IF(ISBLANK(V448),"",V448)</f>
        <v/>
      </c>
      <c r="W462" s="38" t="str" cm="1">
        <f t="array" ref="W462">IF(Y448="", "", IF(AND(Y448&lt;=MIN(AF448:AO448),Z448&gt;=MAX(AF448:AO448)),"ACCEPT",IF(AND(AF448:AO448="OK"),"ACCEPT","REJECT")))</f>
        <v/>
      </c>
      <c r="X462" s="38" t="str">
        <f t="shared" si="391"/>
        <v/>
      </c>
      <c r="Y462" s="38" t="str">
        <f t="shared" si="392"/>
        <v/>
      </c>
      <c r="Z462" s="38" t="str">
        <f t="shared" si="393"/>
        <v/>
      </c>
      <c r="AA462" s="38">
        <f t="shared" si="394"/>
        <v>1</v>
      </c>
      <c r="AB462" s="38">
        <f t="shared" si="395"/>
        <v>0</v>
      </c>
      <c r="AC462" s="38">
        <f t="shared" si="396"/>
        <v>0</v>
      </c>
      <c r="AD462" s="38">
        <f t="shared" si="397"/>
        <v>0</v>
      </c>
      <c r="AE462" s="38" t="str">
        <f t="shared" si="398"/>
        <v>-</v>
      </c>
      <c r="AP462" s="22"/>
      <c r="AQ462" s="50"/>
      <c r="AR462" s="28"/>
      <c r="AS462" s="28"/>
      <c r="AT462" s="28"/>
      <c r="AU462" s="28"/>
      <c r="AV462" s="28"/>
      <c r="AW462" s="28"/>
      <c r="AX462" s="28"/>
      <c r="AY462" s="28"/>
      <c r="AZ462" s="28"/>
      <c r="BA462" s="28"/>
      <c r="BB462" s="28"/>
      <c r="BC462" s="28"/>
      <c r="BD462" s="28"/>
      <c r="BE462" s="28"/>
      <c r="BF462" s="28"/>
      <c r="BG462" s="28"/>
      <c r="BH462" s="28"/>
      <c r="BI462" s="28"/>
      <c r="BJ462" s="28"/>
      <c r="BK462" s="51"/>
      <c r="BL462" s="128" t="s">
        <v>88</v>
      </c>
      <c r="BM462" s="129"/>
      <c r="BN462" s="130"/>
      <c r="BO462" s="131" t="s">
        <v>89</v>
      </c>
      <c r="BP462" s="132"/>
      <c r="BQ462" s="133"/>
      <c r="BR462" s="131" t="s">
        <v>90</v>
      </c>
      <c r="BS462" s="132"/>
      <c r="BT462" s="132"/>
      <c r="BU462" s="132"/>
      <c r="BV462" s="132"/>
      <c r="BW462" s="132"/>
      <c r="BX462" s="133"/>
      <c r="BY462" s="131" t="s">
        <v>91</v>
      </c>
      <c r="BZ462" s="132"/>
      <c r="CA462" s="132"/>
      <c r="CB462" s="133"/>
      <c r="CC462" s="131" t="s">
        <v>92</v>
      </c>
      <c r="CD462" s="132"/>
      <c r="CE462" s="132"/>
      <c r="CF462" s="156"/>
    </row>
    <row r="463" spans="22:84" ht="14.4" customHeight="1" x14ac:dyDescent="0.3">
      <c r="V463" s="49" t="str">
        <f t="shared" si="399"/>
        <v/>
      </c>
      <c r="W463" s="38" t="str" cm="1">
        <f t="array" ref="W463">IF(Y449="", "", IF(AND(Y449&lt;=MIN(AF449:AO449),Z449&gt;=MAX(AF449:AO449)),"ACCEPT",IF(AND(AF449:AO449="OK"),"ACCEPT","REJECT")))</f>
        <v/>
      </c>
      <c r="X463" s="38" t="str">
        <f t="shared" si="391"/>
        <v/>
      </c>
      <c r="Y463" s="38" t="str">
        <f t="shared" si="392"/>
        <v/>
      </c>
      <c r="Z463" s="38" t="str">
        <f t="shared" si="393"/>
        <v/>
      </c>
      <c r="AA463" s="38">
        <f t="shared" si="394"/>
        <v>1</v>
      </c>
      <c r="AB463" s="38">
        <f t="shared" si="395"/>
        <v>0</v>
      </c>
      <c r="AC463" s="38">
        <f t="shared" si="396"/>
        <v>0</v>
      </c>
      <c r="AD463" s="38">
        <f t="shared" si="397"/>
        <v>0</v>
      </c>
      <c r="AE463" s="38" t="str">
        <f t="shared" si="398"/>
        <v>-</v>
      </c>
      <c r="AP463" s="22"/>
      <c r="AQ463" s="50"/>
      <c r="AR463" s="28"/>
      <c r="AS463" s="28"/>
      <c r="AT463" s="28"/>
      <c r="AU463" s="28"/>
      <c r="AV463" s="28"/>
      <c r="AW463" s="28"/>
      <c r="AX463" s="28"/>
      <c r="AY463" s="28"/>
      <c r="AZ463" s="28"/>
      <c r="BA463" s="28"/>
      <c r="BB463" s="28"/>
      <c r="BC463" s="28"/>
      <c r="BD463" s="28"/>
      <c r="BE463" s="28"/>
      <c r="BF463" s="28"/>
      <c r="BG463" s="28"/>
      <c r="BH463" s="28"/>
      <c r="BI463" s="28"/>
      <c r="BJ463" s="28"/>
      <c r="BK463" s="51"/>
      <c r="BL463" s="158" t="s">
        <v>96</v>
      </c>
      <c r="BM463" s="159"/>
      <c r="BN463" s="35"/>
      <c r="BO463" s="134"/>
      <c r="BP463" s="135"/>
      <c r="BQ463" s="136"/>
      <c r="BR463" s="134"/>
      <c r="BS463" s="135"/>
      <c r="BT463" s="135"/>
      <c r="BU463" s="135"/>
      <c r="BV463" s="135"/>
      <c r="BW463" s="135"/>
      <c r="BX463" s="136"/>
      <c r="BY463" s="134"/>
      <c r="BZ463" s="135"/>
      <c r="CA463" s="135"/>
      <c r="CB463" s="136"/>
      <c r="CC463" s="134"/>
      <c r="CD463" s="135"/>
      <c r="CE463" s="135"/>
      <c r="CF463" s="157"/>
    </row>
    <row r="464" spans="22:84" ht="14.4" customHeight="1" x14ac:dyDescent="0.3">
      <c r="V464" s="49" t="str">
        <f t="shared" si="399"/>
        <v/>
      </c>
      <c r="W464" s="38" t="str" cm="1">
        <f t="array" ref="W464">IF(Y450="", "", IF(AND(Y450&lt;=MIN(AF450:AO450),Z450&gt;=MAX(AF450:AO450)),"ACCEPT",IF(AND(AF450:AO450="OK"),"ACCEPT","REJECT")))</f>
        <v/>
      </c>
      <c r="X464" s="38" t="str">
        <f t="shared" si="391"/>
        <v/>
      </c>
      <c r="Y464" s="38" t="str">
        <f t="shared" si="392"/>
        <v/>
      </c>
      <c r="Z464" s="38" t="str">
        <f t="shared" si="393"/>
        <v/>
      </c>
      <c r="AA464" s="38">
        <f t="shared" si="394"/>
        <v>1</v>
      </c>
      <c r="AB464" s="38">
        <f t="shared" si="395"/>
        <v>0</v>
      </c>
      <c r="AC464" s="38">
        <f t="shared" si="396"/>
        <v>0</v>
      </c>
      <c r="AD464" s="38">
        <f t="shared" si="397"/>
        <v>0</v>
      </c>
      <c r="AE464" s="38" t="str">
        <f t="shared" si="398"/>
        <v>-</v>
      </c>
      <c r="AP464" s="22"/>
      <c r="AQ464" s="46"/>
      <c r="AR464" s="28"/>
      <c r="AS464" s="28"/>
      <c r="AT464" s="28"/>
      <c r="AU464" s="28"/>
      <c r="AV464" s="28"/>
      <c r="AW464" s="28"/>
      <c r="AX464" s="28"/>
      <c r="AY464" s="28"/>
      <c r="AZ464" s="28"/>
      <c r="BA464" s="28"/>
      <c r="BB464" s="28"/>
      <c r="BC464" s="28"/>
      <c r="BD464" s="28"/>
      <c r="BE464" s="28"/>
      <c r="BF464" s="28"/>
      <c r="BG464" s="28"/>
      <c r="BH464" s="28"/>
      <c r="BI464" s="28"/>
      <c r="BJ464" s="28"/>
      <c r="BK464" s="51"/>
      <c r="BL464" s="158" t="s">
        <v>97</v>
      </c>
      <c r="BM464" s="159"/>
      <c r="BN464" s="41" t="s">
        <v>98</v>
      </c>
      <c r="BO464" s="204" t="s">
        <v>99</v>
      </c>
      <c r="BP464" s="205"/>
      <c r="BQ464" s="206"/>
      <c r="BR464" s="207" t="s">
        <v>100</v>
      </c>
      <c r="BS464" s="208"/>
      <c r="BT464" s="208"/>
      <c r="BU464" s="209"/>
      <c r="BV464" s="217"/>
      <c r="BW464" s="218"/>
      <c r="BX464" s="219"/>
      <c r="BY464" s="119"/>
      <c r="BZ464" s="120"/>
      <c r="CA464" s="120"/>
      <c r="CB464" s="121"/>
      <c r="CC464" s="119"/>
      <c r="CD464" s="120"/>
      <c r="CE464" s="120"/>
      <c r="CF464" s="214"/>
    </row>
    <row r="465" spans="22:84" ht="14.4" customHeight="1" x14ac:dyDescent="0.3">
      <c r="V465" s="49" t="str">
        <f t="shared" si="399"/>
        <v/>
      </c>
      <c r="W465" s="38" t="str" cm="1">
        <f t="array" ref="W465">IF(Y451="", "", IF(AND(Y451&lt;=MIN(AF451:AO451),Z451&gt;=MAX(AF451:AO451)),"ACCEPT",IF(AND(AF451:AO451="OK"),"ACCEPT","REJECT")))</f>
        <v/>
      </c>
      <c r="X465" s="38" t="str">
        <f t="shared" si="391"/>
        <v/>
      </c>
      <c r="Y465" s="38" t="str">
        <f t="shared" si="392"/>
        <v/>
      </c>
      <c r="Z465" s="38" t="str">
        <f t="shared" si="393"/>
        <v/>
      </c>
      <c r="AA465" s="38">
        <f t="shared" si="394"/>
        <v>1</v>
      </c>
      <c r="AB465" s="38">
        <f t="shared" si="395"/>
        <v>0</v>
      </c>
      <c r="AC465" s="38">
        <f t="shared" si="396"/>
        <v>0</v>
      </c>
      <c r="AD465" s="38">
        <f t="shared" si="397"/>
        <v>0</v>
      </c>
      <c r="AE465" s="38" t="str">
        <f t="shared" si="398"/>
        <v>-</v>
      </c>
      <c r="AP465" s="22"/>
      <c r="AQ465" s="46"/>
      <c r="AR465" s="28"/>
      <c r="AS465" s="28"/>
      <c r="AT465" s="28"/>
      <c r="AU465" s="28"/>
      <c r="AV465" s="28"/>
      <c r="AW465" s="28"/>
      <c r="AX465" s="28"/>
      <c r="AY465" s="28"/>
      <c r="AZ465" s="28"/>
      <c r="BA465" s="28"/>
      <c r="BB465" s="28"/>
      <c r="BC465" s="28"/>
      <c r="BD465" s="28"/>
      <c r="BE465" s="28"/>
      <c r="BF465" s="28"/>
      <c r="BG465" s="28"/>
      <c r="BH465" s="28"/>
      <c r="BI465" s="28"/>
      <c r="BJ465" s="28"/>
      <c r="BK465" s="51"/>
      <c r="BL465" s="158" t="s">
        <v>102</v>
      </c>
      <c r="BM465" s="159"/>
      <c r="BN465" s="42" t="s">
        <v>103</v>
      </c>
      <c r="BO465" s="119"/>
      <c r="BP465" s="120"/>
      <c r="BQ465" s="121"/>
      <c r="BR465" s="160" t="s">
        <v>124</v>
      </c>
      <c r="BS465" s="161"/>
      <c r="BT465" s="164"/>
      <c r="BU465" s="165"/>
      <c r="BV465" s="165"/>
      <c r="BW465" s="165"/>
      <c r="BX465" s="166"/>
      <c r="BY465" s="122"/>
      <c r="BZ465" s="123"/>
      <c r="CA465" s="123"/>
      <c r="CB465" s="124"/>
      <c r="CC465" s="122"/>
      <c r="CD465" s="123"/>
      <c r="CE465" s="123"/>
      <c r="CF465" s="215"/>
    </row>
    <row r="466" spans="22:84" ht="14.4" customHeight="1" x14ac:dyDescent="0.3">
      <c r="V466" s="49" t="str">
        <f t="shared" si="399"/>
        <v/>
      </c>
      <c r="W466" s="38" t="str" cm="1">
        <f t="array" ref="W466">IF(Y452="", "", IF(AND(Y452&lt;=MIN(AF452:AO452),Z452&gt;=MAX(AF452:AO452)),"ACCEPT",IF(AND(AF452:AO452="OK"),"ACCEPT","REJECT")))</f>
        <v/>
      </c>
      <c r="X466" s="38" t="str">
        <f t="shared" si="391"/>
        <v/>
      </c>
      <c r="Y466" s="38" t="str">
        <f t="shared" si="392"/>
        <v/>
      </c>
      <c r="Z466" s="38" t="str">
        <f t="shared" si="393"/>
        <v/>
      </c>
      <c r="AA466" s="38">
        <f t="shared" si="394"/>
        <v>1</v>
      </c>
      <c r="AB466" s="38">
        <f t="shared" si="395"/>
        <v>0</v>
      </c>
      <c r="AC466" s="38">
        <f t="shared" si="396"/>
        <v>0</v>
      </c>
      <c r="AD466" s="38">
        <f t="shared" si="397"/>
        <v>0</v>
      </c>
      <c r="AE466" s="38" t="str">
        <f t="shared" si="398"/>
        <v>-</v>
      </c>
      <c r="AP466" s="22"/>
      <c r="AQ466" s="46"/>
      <c r="AR466" s="28"/>
      <c r="AS466" s="28"/>
      <c r="AT466" s="28"/>
      <c r="AU466" s="28"/>
      <c r="AV466" s="28"/>
      <c r="AW466" s="28"/>
      <c r="AX466" s="28"/>
      <c r="AY466" s="28"/>
      <c r="AZ466" s="28"/>
      <c r="BA466" s="28"/>
      <c r="BB466" s="28"/>
      <c r="BC466" s="28"/>
      <c r="BD466" s="28"/>
      <c r="BE466" s="28"/>
      <c r="BF466" s="28"/>
      <c r="BG466" s="28"/>
      <c r="BH466" s="28"/>
      <c r="BI466" s="28"/>
      <c r="BJ466" s="28"/>
      <c r="BK466" s="51"/>
      <c r="BL466" s="210" t="s">
        <v>105</v>
      </c>
      <c r="BM466" s="211"/>
      <c r="BN466" s="28" t="s">
        <v>101</v>
      </c>
      <c r="BO466" s="125"/>
      <c r="BP466" s="126"/>
      <c r="BQ466" s="127"/>
      <c r="BR466" s="162"/>
      <c r="BS466" s="163"/>
      <c r="BT466" s="167"/>
      <c r="BU466" s="168"/>
      <c r="BV466" s="168"/>
      <c r="BW466" s="168"/>
      <c r="BX466" s="169"/>
      <c r="BY466" s="122"/>
      <c r="BZ466" s="123"/>
      <c r="CA466" s="123"/>
      <c r="CB466" s="124"/>
      <c r="CC466" s="122"/>
      <c r="CD466" s="123"/>
      <c r="CE466" s="123"/>
      <c r="CF466" s="215"/>
    </row>
    <row r="467" spans="22:84" ht="14.4" customHeight="1" x14ac:dyDescent="0.3">
      <c r="V467" s="49" t="str">
        <f t="shared" si="399"/>
        <v/>
      </c>
      <c r="W467" s="38" t="str" cm="1">
        <f t="array" ref="W467">IF(Y453="", "", IF(AND(Y453&lt;=MIN(AF453:AO453),Z453&gt;=MAX(AF453:AO453)),"ACCEPT",IF(AND(AF453:AO453="OK"),"ACCEPT","REJECT")))</f>
        <v/>
      </c>
      <c r="X467" s="38" t="str">
        <f t="shared" si="391"/>
        <v/>
      </c>
      <c r="Y467" s="38" t="str">
        <f t="shared" si="392"/>
        <v/>
      </c>
      <c r="Z467" s="38" t="str">
        <f t="shared" si="393"/>
        <v/>
      </c>
      <c r="AA467" s="38">
        <f t="shared" si="394"/>
        <v>1</v>
      </c>
      <c r="AB467" s="38">
        <f t="shared" si="395"/>
        <v>0</v>
      </c>
      <c r="AC467" s="38">
        <f t="shared" si="396"/>
        <v>0</v>
      </c>
      <c r="AD467" s="38">
        <f t="shared" si="397"/>
        <v>0</v>
      </c>
      <c r="AE467" s="38" t="str">
        <f t="shared" si="398"/>
        <v>-</v>
      </c>
      <c r="AP467" s="22"/>
      <c r="AQ467" s="46"/>
      <c r="AR467" s="28"/>
      <c r="AS467" s="28"/>
      <c r="AT467" s="28"/>
      <c r="AU467" s="28"/>
      <c r="AV467" s="28"/>
      <c r="AW467" s="28"/>
      <c r="AX467" s="28"/>
      <c r="AY467" s="28"/>
      <c r="AZ467" s="28"/>
      <c r="BA467" s="28"/>
      <c r="BB467" s="28"/>
      <c r="BC467" s="28"/>
      <c r="BD467" s="28"/>
      <c r="BE467" s="28"/>
      <c r="BF467" s="28"/>
      <c r="BG467" s="28"/>
      <c r="BH467" s="28"/>
      <c r="BI467" s="28"/>
      <c r="BJ467" s="28"/>
      <c r="BK467" s="51"/>
      <c r="BL467" s="212" t="s">
        <v>106</v>
      </c>
      <c r="BM467" s="205"/>
      <c r="BN467" s="206"/>
      <c r="BO467" s="213" t="s">
        <v>107</v>
      </c>
      <c r="BP467" s="159"/>
      <c r="BQ467" s="43"/>
      <c r="BR467" s="220" t="s">
        <v>108</v>
      </c>
      <c r="BS467" s="44" t="s">
        <v>109</v>
      </c>
      <c r="BT467" s="45"/>
      <c r="BU467" s="220" t="s">
        <v>110</v>
      </c>
      <c r="BV467" s="119"/>
      <c r="BW467" s="120"/>
      <c r="BX467" s="121"/>
      <c r="BY467" s="122"/>
      <c r="BZ467" s="123"/>
      <c r="CA467" s="123"/>
      <c r="CB467" s="124"/>
      <c r="CC467" s="122"/>
      <c r="CD467" s="123"/>
      <c r="CE467" s="123"/>
      <c r="CF467" s="215"/>
    </row>
    <row r="468" spans="22:84" ht="14.4" customHeight="1" x14ac:dyDescent="0.3">
      <c r="V468" s="49" t="str">
        <f t="shared" si="399"/>
        <v/>
      </c>
      <c r="W468" s="38" t="str" cm="1">
        <f t="array" ref="W468">IF(Y454="", "", IF(AND(Y454&lt;=MIN(AF454:AO454),Z454&gt;=MAX(AF454:AO454)),"ACCEPT",IF(AND(AF454:AO454="OK"),"ACCEPT","REJECT")))</f>
        <v/>
      </c>
      <c r="X468" s="38" t="str">
        <f t="shared" si="391"/>
        <v/>
      </c>
      <c r="Y468" s="38" t="str">
        <f t="shared" si="392"/>
        <v/>
      </c>
      <c r="Z468" s="38" t="str">
        <f t="shared" si="393"/>
        <v/>
      </c>
      <c r="AA468" s="38">
        <f t="shared" si="394"/>
        <v>1</v>
      </c>
      <c r="AB468" s="38">
        <f t="shared" si="395"/>
        <v>0</v>
      </c>
      <c r="AC468" s="38">
        <f t="shared" si="396"/>
        <v>0</v>
      </c>
      <c r="AD468" s="38">
        <f t="shared" si="397"/>
        <v>0</v>
      </c>
      <c r="AE468" s="38" t="str">
        <f t="shared" si="398"/>
        <v>-</v>
      </c>
      <c r="AP468" s="22"/>
      <c r="AQ468" s="46"/>
      <c r="AR468" s="28"/>
      <c r="AS468" s="28"/>
      <c r="AT468" s="28"/>
      <c r="AU468" s="28"/>
      <c r="AV468" s="28"/>
      <c r="AW468" s="28"/>
      <c r="AX468" s="28"/>
      <c r="AY468" s="28"/>
      <c r="AZ468" s="28"/>
      <c r="BA468" s="28"/>
      <c r="BB468" s="28"/>
      <c r="BC468" s="28"/>
      <c r="BD468" s="28"/>
      <c r="BE468" s="28"/>
      <c r="BF468" s="28"/>
      <c r="BG468" s="28"/>
      <c r="BH468" s="28"/>
      <c r="BI468" s="28"/>
      <c r="BJ468" s="28"/>
      <c r="BK468" s="51"/>
      <c r="BL468" s="199"/>
      <c r="BM468" s="154"/>
      <c r="BN468" s="200"/>
      <c r="BO468" s="201"/>
      <c r="BP468" s="202"/>
      <c r="BQ468" s="203"/>
      <c r="BR468" s="221"/>
      <c r="BS468" s="44" t="s">
        <v>112</v>
      </c>
      <c r="BT468" s="45"/>
      <c r="BU468" s="221"/>
      <c r="BV468" s="125"/>
      <c r="BW468" s="126"/>
      <c r="BX468" s="127"/>
      <c r="BY468" s="122"/>
      <c r="BZ468" s="123"/>
      <c r="CA468" s="123"/>
      <c r="CB468" s="124"/>
      <c r="CC468" s="122"/>
      <c r="CD468" s="123"/>
      <c r="CE468" s="123"/>
      <c r="CF468" s="215"/>
    </row>
    <row r="469" spans="22:84" ht="14.4" customHeight="1" x14ac:dyDescent="0.3">
      <c r="V469" s="49" t="str">
        <f t="shared" si="399"/>
        <v/>
      </c>
      <c r="W469" s="38" t="str" cm="1">
        <f t="array" ref="W469">IF(Y455="", "", IF(AND(Y455&lt;=MIN(AF455:AO455),Z455&gt;=MAX(AF455:AO455)),"ACCEPT",IF(AND(AF455:AO455="OK"),"ACCEPT","REJECT")))</f>
        <v/>
      </c>
      <c r="X469" s="38" t="str">
        <f t="shared" si="391"/>
        <v/>
      </c>
      <c r="Y469" s="38" t="str">
        <f t="shared" si="392"/>
        <v/>
      </c>
      <c r="Z469" s="38" t="str">
        <f t="shared" si="393"/>
        <v/>
      </c>
      <c r="AA469" s="38">
        <f t="shared" si="394"/>
        <v>1</v>
      </c>
      <c r="AB469" s="38">
        <f t="shared" si="395"/>
        <v>0</v>
      </c>
      <c r="AC469" s="38">
        <f t="shared" si="396"/>
        <v>0</v>
      </c>
      <c r="AD469" s="38">
        <f t="shared" si="397"/>
        <v>0</v>
      </c>
      <c r="AE469" s="38" t="str">
        <f t="shared" si="398"/>
        <v>-</v>
      </c>
      <c r="AP469" s="22"/>
      <c r="AQ469" s="46"/>
      <c r="AR469" s="28"/>
      <c r="AS469" s="28"/>
      <c r="AT469" s="28"/>
      <c r="AU469" s="28"/>
      <c r="AV469" s="28"/>
      <c r="AW469" s="28"/>
      <c r="AX469" s="28"/>
      <c r="AY469" s="28"/>
      <c r="AZ469" s="28"/>
      <c r="BA469" s="28"/>
      <c r="BB469" s="28"/>
      <c r="BC469" s="28"/>
      <c r="BD469" s="28"/>
      <c r="BE469" s="28"/>
      <c r="BF469" s="28"/>
      <c r="BG469" s="28"/>
      <c r="BH469" s="28"/>
      <c r="BI469" s="28"/>
      <c r="BJ469" s="28"/>
      <c r="BK469" s="51"/>
      <c r="BL469" s="170"/>
      <c r="BM469" s="171"/>
      <c r="BN469" s="172"/>
      <c r="BO469" s="179"/>
      <c r="BP469" s="171"/>
      <c r="BQ469" s="172"/>
      <c r="BR469" s="179"/>
      <c r="BS469" s="171"/>
      <c r="BT469" s="171"/>
      <c r="BU469" s="171"/>
      <c r="BV469" s="171"/>
      <c r="BW469" s="171"/>
      <c r="BX469" s="172"/>
      <c r="BY469" s="122"/>
      <c r="BZ469" s="123"/>
      <c r="CA469" s="123"/>
      <c r="CB469" s="124"/>
      <c r="CC469" s="122"/>
      <c r="CD469" s="123"/>
      <c r="CE469" s="123"/>
      <c r="CF469" s="215"/>
    </row>
    <row r="470" spans="22:84" ht="14.4" customHeight="1" x14ac:dyDescent="0.3">
      <c r="V470" s="49" t="str">
        <f t="shared" si="399"/>
        <v/>
      </c>
      <c r="W470" s="38" t="str" cm="1">
        <f t="array" ref="W470">IF(Y456="", "", IF(AND(Y456&lt;=MIN(AF456:AO456),Z456&gt;=MAX(AF456:AO456)),"ACCEPT",IF(AND(AF456:AO456="OK"),"ACCEPT","REJECT")))</f>
        <v/>
      </c>
      <c r="X470" s="38" t="str">
        <f t="shared" si="391"/>
        <v/>
      </c>
      <c r="Y470" s="38" t="str">
        <f t="shared" si="392"/>
        <v/>
      </c>
      <c r="Z470" s="38" t="str">
        <f t="shared" si="393"/>
        <v/>
      </c>
      <c r="AA470" s="38">
        <f t="shared" si="394"/>
        <v>1</v>
      </c>
      <c r="AB470" s="38">
        <f t="shared" si="395"/>
        <v>0</v>
      </c>
      <c r="AC470" s="38">
        <f t="shared" si="396"/>
        <v>0</v>
      </c>
      <c r="AD470" s="38">
        <f t="shared" si="397"/>
        <v>0</v>
      </c>
      <c r="AE470" s="38" t="str">
        <f t="shared" si="398"/>
        <v>-</v>
      </c>
      <c r="AP470" s="22"/>
      <c r="AQ470" s="46"/>
      <c r="AR470" s="28"/>
      <c r="AS470" s="28"/>
      <c r="AT470" s="28"/>
      <c r="AU470" s="28"/>
      <c r="AV470" s="28"/>
      <c r="AW470" s="28"/>
      <c r="AX470" s="28"/>
      <c r="AY470" s="28"/>
      <c r="AZ470" s="28"/>
      <c r="BA470" s="28"/>
      <c r="BB470" s="28"/>
      <c r="BC470" s="28"/>
      <c r="BD470" s="28"/>
      <c r="BE470" s="28"/>
      <c r="BF470" s="28"/>
      <c r="BG470" s="28"/>
      <c r="BH470" s="28"/>
      <c r="BI470" s="28"/>
      <c r="BJ470" s="28"/>
      <c r="BK470" s="51"/>
      <c r="BL470" s="173"/>
      <c r="BM470" s="174"/>
      <c r="BN470" s="175"/>
      <c r="BO470" s="180"/>
      <c r="BP470" s="174"/>
      <c r="BQ470" s="175"/>
      <c r="BR470" s="180"/>
      <c r="BS470" s="174"/>
      <c r="BT470" s="174"/>
      <c r="BU470" s="174"/>
      <c r="BV470" s="174"/>
      <c r="BW470" s="174"/>
      <c r="BX470" s="175"/>
      <c r="BY470" s="122"/>
      <c r="BZ470" s="123"/>
      <c r="CA470" s="123"/>
      <c r="CB470" s="124"/>
      <c r="CC470" s="122"/>
      <c r="CD470" s="123"/>
      <c r="CE470" s="123"/>
      <c r="CF470" s="215"/>
    </row>
    <row r="471" spans="22:84" ht="14.4" customHeight="1" thickBot="1" x14ac:dyDescent="0.35">
      <c r="V471" s="49" t="str">
        <f t="shared" si="399"/>
        <v/>
      </c>
      <c r="W471" s="38" t="str" cm="1">
        <f t="array" ref="W471">IF(Y457="", "", IF(AND(Y457&lt;=MIN(AF457:AO457),Z457&gt;=MAX(AF457:AO457)),"ACCEPT",IF(AND(AF457:AO457="OK"),"ACCEPT","REJECT")))</f>
        <v/>
      </c>
      <c r="X471" s="38" t="str">
        <f t="shared" si="391"/>
        <v/>
      </c>
      <c r="Y471" s="38" t="str">
        <f t="shared" si="392"/>
        <v/>
      </c>
      <c r="Z471" s="38" t="str">
        <f t="shared" si="393"/>
        <v/>
      </c>
      <c r="AA471" s="38">
        <f t="shared" si="394"/>
        <v>1</v>
      </c>
      <c r="AB471" s="38">
        <f t="shared" si="395"/>
        <v>0</v>
      </c>
      <c r="AC471" s="38">
        <f t="shared" si="396"/>
        <v>0</v>
      </c>
      <c r="AD471" s="38">
        <f t="shared" si="397"/>
        <v>0</v>
      </c>
      <c r="AE471" s="38" t="str">
        <f t="shared" si="398"/>
        <v>-</v>
      </c>
      <c r="AP471" s="22"/>
      <c r="AQ471" s="358" t="s">
        <v>113</v>
      </c>
      <c r="AR471" s="145"/>
      <c r="AS471" s="145"/>
      <c r="AT471" s="145"/>
      <c r="AU471" s="145"/>
      <c r="AV471" s="145"/>
      <c r="AW471" s="145"/>
      <c r="AX471" s="145"/>
      <c r="AY471" s="285"/>
      <c r="AZ471" s="285"/>
      <c r="BA471" s="285"/>
      <c r="BB471" s="285"/>
      <c r="BC471" s="285"/>
      <c r="BD471" s="285"/>
      <c r="BE471" s="285"/>
      <c r="BF471" s="286"/>
      <c r="BK471" s="22"/>
      <c r="BL471" s="173"/>
      <c r="BM471" s="174"/>
      <c r="BN471" s="175"/>
      <c r="BO471" s="180"/>
      <c r="BP471" s="174"/>
      <c r="BQ471" s="175"/>
      <c r="BR471" s="180"/>
      <c r="BS471" s="174"/>
      <c r="BT471" s="174"/>
      <c r="BU471" s="174"/>
      <c r="BV471" s="174"/>
      <c r="BW471" s="174"/>
      <c r="BX471" s="175"/>
      <c r="BY471" s="122"/>
      <c r="BZ471" s="123"/>
      <c r="CA471" s="123"/>
      <c r="CB471" s="124"/>
      <c r="CC471" s="122"/>
      <c r="CD471" s="123"/>
      <c r="CE471" s="123"/>
      <c r="CF471" s="215"/>
    </row>
    <row r="472" spans="22:84" ht="14.4" customHeight="1" x14ac:dyDescent="0.3">
      <c r="V472" s="49" t="str">
        <f>IF(ISBLANK(V458),"",V458)</f>
        <v/>
      </c>
      <c r="W472" s="38" t="str" cm="1">
        <f t="array" ref="W472">IF(Y458="", "", IF(AND(Y458&lt;=MIN(AF458:AO458),Z458&gt;=MAX(AF458:AO458)),"ACCEPT",IF(AND(AF458:AO458="OK"),"ACCEPT","REJECT")))</f>
        <v/>
      </c>
      <c r="X472" s="38" t="str">
        <f t="shared" si="391"/>
        <v/>
      </c>
      <c r="Y472" s="38" t="str">
        <f t="shared" si="392"/>
        <v/>
      </c>
      <c r="Z472" s="38" t="str">
        <f t="shared" si="393"/>
        <v/>
      </c>
      <c r="AA472" s="38">
        <f t="shared" si="394"/>
        <v>1</v>
      </c>
      <c r="AB472" s="38">
        <f t="shared" si="395"/>
        <v>0</v>
      </c>
      <c r="AC472" s="38">
        <f t="shared" si="396"/>
        <v>0</v>
      </c>
      <c r="AD472" s="38">
        <f t="shared" si="397"/>
        <v>0</v>
      </c>
      <c r="AE472" s="38" t="str">
        <f t="shared" si="398"/>
        <v>-</v>
      </c>
      <c r="AP472" s="22"/>
      <c r="AQ472" s="52"/>
      <c r="AR472" s="53" t="s">
        <v>114</v>
      </c>
      <c r="AS472" s="53" t="s">
        <v>115</v>
      </c>
      <c r="AT472" s="53" t="s">
        <v>116</v>
      </c>
      <c r="AU472" s="53" t="s">
        <v>119</v>
      </c>
      <c r="AV472" s="53" t="s">
        <v>120</v>
      </c>
      <c r="AW472" s="53" t="s">
        <v>121</v>
      </c>
      <c r="AX472" s="54" t="s">
        <v>122</v>
      </c>
      <c r="AY472" s="52"/>
      <c r="AZ472" s="53" t="s">
        <v>114</v>
      </c>
      <c r="BA472" s="53" t="s">
        <v>115</v>
      </c>
      <c r="BB472" s="53" t="s">
        <v>116</v>
      </c>
      <c r="BC472" s="53" t="s">
        <v>119</v>
      </c>
      <c r="BD472" s="53" t="s">
        <v>120</v>
      </c>
      <c r="BE472" s="53" t="s">
        <v>121</v>
      </c>
      <c r="BF472" s="54" t="s">
        <v>122</v>
      </c>
      <c r="BK472" s="22"/>
      <c r="BL472" s="173"/>
      <c r="BM472" s="174"/>
      <c r="BN472" s="175"/>
      <c r="BO472" s="180"/>
      <c r="BP472" s="174"/>
      <c r="BQ472" s="175"/>
      <c r="BR472" s="180"/>
      <c r="BS472" s="174"/>
      <c r="BT472" s="174"/>
      <c r="BU472" s="174"/>
      <c r="BV472" s="174"/>
      <c r="BW472" s="174"/>
      <c r="BX472" s="175"/>
      <c r="BY472" s="122"/>
      <c r="BZ472" s="123"/>
      <c r="CA472" s="123"/>
      <c r="CB472" s="124"/>
      <c r="CC472" s="122"/>
      <c r="CD472" s="123"/>
      <c r="CE472" s="123"/>
      <c r="CF472" s="215"/>
    </row>
    <row r="473" spans="22:84" ht="14.4" customHeight="1" x14ac:dyDescent="0.3">
      <c r="V473" s="55"/>
      <c r="W473" s="56"/>
      <c r="X473" s="56"/>
      <c r="Y473" s="56"/>
      <c r="Z473" s="56"/>
      <c r="AP473" s="22"/>
      <c r="AQ473" s="49" t="str">
        <f>IF(ISBLANK(V447),"",V447)</f>
        <v/>
      </c>
      <c r="AR473" s="38" t="str" cm="1">
        <f t="array" ref="AR473">IF(AT446="", "", IF(AND(AT446&lt;=MIN(AZ446:BK446,AQ459:BK459),AU446&gt;=MAX(AZ446:BK446,AQ459:BK459)),"ACCEPT",IF(AND(AZ446:BK446,AQ459:BK459="OK"),"ACCEPT","REJECT")))</f>
        <v/>
      </c>
      <c r="AS473" s="38" t="str">
        <f>IF(TRIM(AR473)="", "", MAX(AZ446:BK446,AQ459:BK459))</f>
        <v/>
      </c>
      <c r="AT473" s="38" t="str">
        <f>IF(TRIM(AR473)="", "", MIN(AZ446:BK446,AQ459:BK459))</f>
        <v/>
      </c>
      <c r="AU473" s="38">
        <f>IF(COUNT(AZ446:BK446,AQ459:BK459)=0,0,AVERAGE(AZ446:BK446,AQ459:BK459))</f>
        <v>0</v>
      </c>
      <c r="AV473" s="38">
        <f>MAX(AZ446:BK446,AQ459:BK459)-MIN(AZ446:BK446,AQ459:BK459)</f>
        <v>0</v>
      </c>
      <c r="AW473" s="38">
        <f>IF(COUNT(AZ446:BK446,AQ459:BK459)=0,0,_xlfn.STDEV.S(AZ446:BK446,AQ459:BK459))</f>
        <v>0</v>
      </c>
      <c r="AX473" s="57" t="str">
        <f>IF(AU473=0,"-",IF(AU473-AT446&lt;AU446-AU473,AU473-AT446,AU446-AU473)/(AW473*3))</f>
        <v>-</v>
      </c>
      <c r="AY473" s="49" t="str">
        <f>IF(ISBLANK(V453),"",V453)</f>
        <v/>
      </c>
      <c r="AZ473" s="38" t="str" cm="1">
        <f t="array" ref="AZ473">IF(AT452="", "", IF(AND(Y453&lt;=MIN(AZ452:BK452,AQ465:BK465),AU452&gt;=MAX(AZ452:BK452,AQ465:BK465)),"ACCEPT",IF(AND(AZ452:BK452,AQ465:BK465="OK"),"ACCEPT","REJECT")))</f>
        <v/>
      </c>
      <c r="BA473" s="38" t="str">
        <f>IF(TRIM(AZ473)="", "", MAX(AZ452:BK452,AQ465:BK465))</f>
        <v/>
      </c>
      <c r="BB473" s="38" t="str">
        <f>IF(TRIM(AZ473)="", "", MIN(AZ452:BK452,AQ465:BK465))</f>
        <v/>
      </c>
      <c r="BC473" s="38">
        <f>IF(COUNT(AZ452:BK452,AQ465:BK465)=0,0,AVERAGE(AZ452:BK452,AQ465:BK465))</f>
        <v>0</v>
      </c>
      <c r="BD473" s="38">
        <f t="shared" ref="BD473:BD478" si="400">MAX(AZ452:BK452,AQ465:BK465)-MIN(AZ452:BK452,AQ465:BK465)</f>
        <v>0</v>
      </c>
      <c r="BE473" s="38">
        <f t="shared" ref="BE473:BE478" si="401">IF(COUNT(AZ452:BK452,AQ465:BK465)=0,0,_xlfn.STDEV.S(AZ452:BK452,AQ465:BK465))</f>
        <v>0</v>
      </c>
      <c r="BF473" s="57" t="str">
        <f>IF(BC473=0,"-",IF(BC473-AT452&lt;AU452-BC473,BC473-AT452,AU452-BC473)/(BE473*3))</f>
        <v>-</v>
      </c>
      <c r="BK473" s="22"/>
      <c r="BL473" s="173"/>
      <c r="BM473" s="174"/>
      <c r="BN473" s="175"/>
      <c r="BO473" s="180"/>
      <c r="BP473" s="174"/>
      <c r="BQ473" s="175"/>
      <c r="BR473" s="180"/>
      <c r="BS473" s="174"/>
      <c r="BT473" s="174"/>
      <c r="BU473" s="174"/>
      <c r="BV473" s="174"/>
      <c r="BW473" s="174"/>
      <c r="BX473" s="175"/>
      <c r="BY473" s="122"/>
      <c r="BZ473" s="123"/>
      <c r="CA473" s="123"/>
      <c r="CB473" s="124"/>
      <c r="CC473" s="122"/>
      <c r="CD473" s="123"/>
      <c r="CE473" s="123"/>
      <c r="CF473" s="215"/>
    </row>
    <row r="474" spans="22:84" ht="14.4" customHeight="1" x14ac:dyDescent="0.3">
      <c r="V474" s="58" t="s">
        <v>35</v>
      </c>
      <c r="W474" s="247"/>
      <c r="X474" s="248"/>
      <c r="Y474" s="277" t="s">
        <v>37</v>
      </c>
      <c r="Z474" s="278"/>
      <c r="AB474" s="253" t="s">
        <v>125</v>
      </c>
      <c r="AC474" s="171"/>
      <c r="AD474" s="171"/>
      <c r="AE474" s="172"/>
      <c r="AG474" s="249" t="s">
        <v>126</v>
      </c>
      <c r="AH474" s="250"/>
      <c r="AI474" s="249" t="s">
        <v>9</v>
      </c>
      <c r="AJ474" s="250"/>
      <c r="AL474" s="249" t="s">
        <v>126</v>
      </c>
      <c r="AM474" s="250"/>
      <c r="AN474" s="249" t="s">
        <v>9</v>
      </c>
      <c r="AO474" s="250"/>
      <c r="AP474" s="22"/>
      <c r="AQ474" s="49" t="str">
        <f t="shared" ref="AQ474:AQ478" si="402">IF(ISBLANK(V448),"",V448)</f>
        <v/>
      </c>
      <c r="AR474" s="38" t="str" cm="1">
        <f t="array" ref="AR474">IF(AT447="", "", IF(AND(AT447&lt;=MIN(AZ447:BK447,AQ460:BK460),AU447&gt;=MAX(AZ447:BK447,AQ460:BK460)),"ACCEPT",IF(AND(AZ447:BK447,AQ460:BK460="OK"),"ACCEPT","REJECT")))</f>
        <v/>
      </c>
      <c r="AS474" s="38" t="str">
        <f t="shared" ref="AS474:AS478" si="403">IF(TRIM(AR474)="", "", MAX(AZ447:BK447,AQ460:BK460))</f>
        <v/>
      </c>
      <c r="AT474" s="38" t="str">
        <f t="shared" ref="AT474:AT478" si="404">IF(TRIM(AR474)="", "", MIN(AZ447:BK447,AQ460:BK460))</f>
        <v/>
      </c>
      <c r="AU474" s="38">
        <f t="shared" ref="AU474:AU478" si="405">IF(COUNT(AZ447:BK447,AQ460:BK460)=0,0,AVERAGE(AZ447:BK447,AQ460:BK460))</f>
        <v>0</v>
      </c>
      <c r="AV474" s="38">
        <f t="shared" ref="AV474:AV478" si="406">MAX(AZ447:BK447,AQ460:BK460)-MIN(AZ447:BK447,AQ460:BK460)</f>
        <v>0</v>
      </c>
      <c r="AW474" s="38">
        <f t="shared" ref="AW474:AW478" si="407">IF(COUNT(AZ447:BK447,AQ460:BK460)=0,0,_xlfn.STDEV.S(AZ447:BK447,AQ460:BK460))</f>
        <v>0</v>
      </c>
      <c r="AX474" s="57" t="str">
        <f t="shared" ref="AX474:AX478" si="408">IF(AU474=0,"-",IF(AU474-AT447&lt;AU447-AU474,AU474-AT447,AU447-AU474)/(AW474*3))</f>
        <v>-</v>
      </c>
      <c r="AY474" s="49" t="str">
        <f t="shared" ref="AY474:AY478" si="409">IF(ISBLANK(V454),"",V454)</f>
        <v/>
      </c>
      <c r="AZ474" s="38" t="str" cm="1">
        <f t="array" ref="AZ474">IF(AT453="", "", IF(AND(Y454&lt;=MIN(AZ453:BK453,AQ466:BK466),AU453&gt;=MAX(AZ453:BK453,AQ466:BK466)),"ACCEPT",IF(AND(AZ453:BK453,AQ466:BK466="OK"),"ACCEPT","REJECT")))</f>
        <v/>
      </c>
      <c r="BA474" s="38" t="str">
        <f t="shared" ref="BA474:BA478" si="410">IF(TRIM(AZ474)="", "", MAX(AZ453:BK453,AQ466:BK466))</f>
        <v/>
      </c>
      <c r="BB474" s="38" t="str">
        <f t="shared" ref="BB474:BB478" si="411">IF(TRIM(AZ474)="", "", MIN(AZ453:BK453,AQ466:BK466))</f>
        <v/>
      </c>
      <c r="BC474" s="38">
        <f t="shared" ref="BC474:BC478" si="412">IF(COUNT(AZ453:BK453,AQ466:BK466)=0,0,AVERAGE(AZ453:BK453,AQ466:BK466))</f>
        <v>0</v>
      </c>
      <c r="BD474" s="38">
        <f t="shared" si="400"/>
        <v>0</v>
      </c>
      <c r="BE474" s="38">
        <f t="shared" si="401"/>
        <v>0</v>
      </c>
      <c r="BF474" s="57" t="str">
        <f t="shared" ref="BF474:BF478" si="413">IF(BC474=0,"-",IF(BC474-AT453&lt;AU453-BC474,BC474-AT453,AU453-BC474)/(BE474*3))</f>
        <v>-</v>
      </c>
      <c r="BG474" s="61" t="s">
        <v>126</v>
      </c>
      <c r="BH474" s="60"/>
      <c r="BI474" s="59" t="s">
        <v>9</v>
      </c>
      <c r="BJ474" s="60"/>
      <c r="BK474" s="22"/>
      <c r="BL474" s="173"/>
      <c r="BM474" s="174"/>
      <c r="BN474" s="175"/>
      <c r="BO474" s="180"/>
      <c r="BP474" s="174"/>
      <c r="BQ474" s="175"/>
      <c r="BR474" s="180"/>
      <c r="BS474" s="174"/>
      <c r="BT474" s="174"/>
      <c r="BU474" s="174"/>
      <c r="BV474" s="174"/>
      <c r="BW474" s="174"/>
      <c r="BX474" s="175"/>
      <c r="BY474" s="122"/>
      <c r="BZ474" s="123"/>
      <c r="CA474" s="123"/>
      <c r="CB474" s="124"/>
      <c r="CC474" s="122"/>
      <c r="CD474" s="123"/>
      <c r="CE474" s="123"/>
      <c r="CF474" s="215"/>
    </row>
    <row r="475" spans="22:84" ht="14.4" customHeight="1" x14ac:dyDescent="0.3">
      <c r="V475" s="33"/>
      <c r="Y475" s="279"/>
      <c r="Z475" s="280"/>
      <c r="AB475" s="259"/>
      <c r="AC475" s="177"/>
      <c r="AD475" s="177"/>
      <c r="AE475" s="178"/>
      <c r="AG475" s="179"/>
      <c r="AH475" s="172"/>
      <c r="AI475" s="179"/>
      <c r="AJ475" s="172"/>
      <c r="AL475" s="179"/>
      <c r="AM475" s="172"/>
      <c r="AN475" s="179"/>
      <c r="AO475" s="172"/>
      <c r="AP475" s="22"/>
      <c r="AQ475" s="49" t="str">
        <f t="shared" si="402"/>
        <v/>
      </c>
      <c r="AR475" s="38" t="str" cm="1">
        <f t="array" ref="AR475">IF(AT448="", "", IF(AND(AT448&lt;=MIN(AZ448:BK448,AQ461:BK461),AU448&gt;=MAX(AZ448:BK448,AQ461:BK461)),"ACCEPT",IF(AND(AZ448:BK448,AQ461:BK461="OK"),"ACCEPT","REJECT")))</f>
        <v/>
      </c>
      <c r="AS475" s="38" t="str">
        <f t="shared" si="403"/>
        <v/>
      </c>
      <c r="AT475" s="38" t="str">
        <f t="shared" si="404"/>
        <v/>
      </c>
      <c r="AU475" s="38">
        <f t="shared" si="405"/>
        <v>0</v>
      </c>
      <c r="AV475" s="38">
        <f t="shared" si="406"/>
        <v>0</v>
      </c>
      <c r="AW475" s="38">
        <f t="shared" si="407"/>
        <v>0</v>
      </c>
      <c r="AX475" s="57" t="str">
        <f t="shared" si="408"/>
        <v>-</v>
      </c>
      <c r="AY475" s="49" t="str">
        <f t="shared" si="409"/>
        <v/>
      </c>
      <c r="AZ475" s="38" t="str" cm="1">
        <f t="array" ref="AZ475">IF(AT454="", "", IF(AND(Y455&lt;=MIN(AZ454:BK454,AQ467:BK467),AU454&gt;=MAX(AZ454:BK454,AQ467:BK467)),"ACCEPT",IF(AND(AZ454:BK454,AQ467:BK467="OK"),"ACCEPT","REJECT")))</f>
        <v/>
      </c>
      <c r="BA475" s="38" t="str">
        <f t="shared" si="410"/>
        <v/>
      </c>
      <c r="BB475" s="38" t="str">
        <f t="shared" si="411"/>
        <v/>
      </c>
      <c r="BC475" s="38">
        <f t="shared" si="412"/>
        <v>0</v>
      </c>
      <c r="BD475" s="38">
        <f t="shared" si="400"/>
        <v>0</v>
      </c>
      <c r="BE475" s="38">
        <f t="shared" si="401"/>
        <v>0</v>
      </c>
      <c r="BF475" s="57" t="str">
        <f t="shared" si="413"/>
        <v>-</v>
      </c>
      <c r="BG475" s="170"/>
      <c r="BH475" s="172"/>
      <c r="BI475" s="179"/>
      <c r="BJ475" s="172"/>
      <c r="BK475" s="22"/>
      <c r="BL475" s="173"/>
      <c r="BM475" s="174"/>
      <c r="BN475" s="175"/>
      <c r="BO475" s="180"/>
      <c r="BP475" s="174"/>
      <c r="BQ475" s="175"/>
      <c r="BR475" s="180"/>
      <c r="BS475" s="174"/>
      <c r="BT475" s="174"/>
      <c r="BU475" s="174"/>
      <c r="BV475" s="174"/>
      <c r="BW475" s="174"/>
      <c r="BX475" s="175"/>
      <c r="BY475" s="122"/>
      <c r="BZ475" s="123"/>
      <c r="CA475" s="123"/>
      <c r="CB475" s="124"/>
      <c r="CC475" s="122"/>
      <c r="CD475" s="123"/>
      <c r="CE475" s="123"/>
      <c r="CF475" s="215"/>
    </row>
    <row r="476" spans="22:84" ht="14.4" customHeight="1" x14ac:dyDescent="0.3">
      <c r="V476" s="33" t="s">
        <v>36</v>
      </c>
      <c r="W476" s="247"/>
      <c r="X476" s="248"/>
      <c r="Y476" s="281"/>
      <c r="Z476" s="282"/>
      <c r="AB476" s="273" t="s">
        <v>141</v>
      </c>
      <c r="AC476" s="48" t="s">
        <v>127</v>
      </c>
      <c r="AD476" s="276" t="s">
        <v>128</v>
      </c>
      <c r="AE476" s="276"/>
      <c r="AG476" s="180"/>
      <c r="AH476" s="175"/>
      <c r="AI476" s="180"/>
      <c r="AJ476" s="175"/>
      <c r="AL476" s="180"/>
      <c r="AM476" s="175"/>
      <c r="AN476" s="180"/>
      <c r="AO476" s="175"/>
      <c r="AP476" s="22"/>
      <c r="AQ476" s="49" t="str">
        <f t="shared" si="402"/>
        <v/>
      </c>
      <c r="AR476" s="38" t="str" cm="1">
        <f t="array" ref="AR476">IF(AT449="", "", IF(AND(AT449&lt;=MIN(AZ449:BK449,AQ462:BK462),AU449&gt;=MAX(AZ449:BK449,AQ462:BK462)),"ACCEPT",IF(AND(AZ449:BK449,AQ462:BK462="OK"),"ACCEPT","REJECT")))</f>
        <v/>
      </c>
      <c r="AS476" s="38" t="str">
        <f t="shared" si="403"/>
        <v/>
      </c>
      <c r="AT476" s="38" t="str">
        <f t="shared" si="404"/>
        <v/>
      </c>
      <c r="AU476" s="38">
        <f t="shared" si="405"/>
        <v>0</v>
      </c>
      <c r="AV476" s="38">
        <f t="shared" si="406"/>
        <v>0</v>
      </c>
      <c r="AW476" s="38">
        <f t="shared" si="407"/>
        <v>0</v>
      </c>
      <c r="AX476" s="57" t="str">
        <f t="shared" si="408"/>
        <v>-</v>
      </c>
      <c r="AY476" s="49" t="str">
        <f t="shared" si="409"/>
        <v/>
      </c>
      <c r="AZ476" s="38" t="str" cm="1">
        <f t="array" ref="AZ476">IF(AT455="", "", IF(AND(Y456&lt;=MIN(AZ455:BK455,AQ468:BK468),AU455&gt;=MAX(AZ455:BK455,AQ468:BK468)),"ACCEPT",IF(AND(AZ455:BK455,AQ468:BK468="OK"),"ACCEPT","REJECT")))</f>
        <v/>
      </c>
      <c r="BA476" s="38" t="str">
        <f t="shared" si="410"/>
        <v/>
      </c>
      <c r="BB476" s="38" t="str">
        <f t="shared" si="411"/>
        <v/>
      </c>
      <c r="BC476" s="38">
        <f t="shared" si="412"/>
        <v>0</v>
      </c>
      <c r="BD476" s="38">
        <f t="shared" si="400"/>
        <v>0</v>
      </c>
      <c r="BE476" s="38">
        <f t="shared" si="401"/>
        <v>0</v>
      </c>
      <c r="BF476" s="57" t="str">
        <f t="shared" si="413"/>
        <v>-</v>
      </c>
      <c r="BG476" s="173"/>
      <c r="BH476" s="175"/>
      <c r="BI476" s="180"/>
      <c r="BJ476" s="175"/>
      <c r="BK476" s="22"/>
      <c r="BL476" s="173"/>
      <c r="BM476" s="174"/>
      <c r="BN476" s="175"/>
      <c r="BO476" s="180"/>
      <c r="BP476" s="174"/>
      <c r="BQ476" s="175"/>
      <c r="BR476" s="180"/>
      <c r="BS476" s="174"/>
      <c r="BT476" s="174"/>
      <c r="BU476" s="174"/>
      <c r="BV476" s="174"/>
      <c r="BW476" s="174"/>
      <c r="BX476" s="175"/>
      <c r="BY476" s="122"/>
      <c r="BZ476" s="123"/>
      <c r="CA476" s="123"/>
      <c r="CB476" s="124"/>
      <c r="CC476" s="122"/>
      <c r="CD476" s="123"/>
      <c r="CE476" s="123"/>
      <c r="CF476" s="215"/>
    </row>
    <row r="477" spans="22:84" ht="14.4" customHeight="1" x14ac:dyDescent="0.3">
      <c r="V477" s="33"/>
      <c r="Y477" s="283"/>
      <c r="Z477" s="284"/>
      <c r="AB477" s="274"/>
      <c r="AC477" s="48" t="s">
        <v>129</v>
      </c>
      <c r="AD477" s="276" t="s">
        <v>130</v>
      </c>
      <c r="AE477" s="276"/>
      <c r="AG477" s="181"/>
      <c r="AH477" s="178"/>
      <c r="AI477" s="181"/>
      <c r="AJ477" s="178"/>
      <c r="AL477" s="181"/>
      <c r="AM477" s="178"/>
      <c r="AN477" s="181"/>
      <c r="AO477" s="178"/>
      <c r="AP477" s="22"/>
      <c r="AQ477" s="49" t="str">
        <f t="shared" si="402"/>
        <v/>
      </c>
      <c r="AR477" s="38" t="str" cm="1">
        <f t="array" ref="AR477">IF(AT450="", "", IF(AND(AT450&lt;=MIN(AZ450:BK450,AQ463:BK463),AU450&gt;=MAX(AZ450:BK450,AQ463:BK463)),"ACCEPT",IF(AND(AZ450:BK450,AQ463:BK463="OK"),"ACCEPT","REJECT")))</f>
        <v/>
      </c>
      <c r="AS477" s="38" t="str">
        <f t="shared" si="403"/>
        <v/>
      </c>
      <c r="AT477" s="38" t="str">
        <f t="shared" si="404"/>
        <v/>
      </c>
      <c r="AU477" s="38">
        <f t="shared" si="405"/>
        <v>0</v>
      </c>
      <c r="AV477" s="38">
        <f t="shared" si="406"/>
        <v>0</v>
      </c>
      <c r="AW477" s="38">
        <f t="shared" si="407"/>
        <v>0</v>
      </c>
      <c r="AX477" s="57" t="str">
        <f t="shared" si="408"/>
        <v>-</v>
      </c>
      <c r="AY477" s="49" t="str">
        <f t="shared" si="409"/>
        <v/>
      </c>
      <c r="AZ477" s="38" t="str" cm="1">
        <f t="array" ref="AZ477">IF(AT456="", "", IF(AND(Y457&lt;=MIN(AZ456:BK456,AQ469:BK469),AU456&gt;=MAX(AZ456:BK456,AQ469:BK469)),"ACCEPT",IF(AND(AZ456:BK456,AQ469:BK469="OK"),"ACCEPT","REJECT")))</f>
        <v/>
      </c>
      <c r="BA477" s="38" t="str">
        <f t="shared" si="410"/>
        <v/>
      </c>
      <c r="BB477" s="38" t="str">
        <f t="shared" si="411"/>
        <v/>
      </c>
      <c r="BC477" s="38">
        <f t="shared" si="412"/>
        <v>0</v>
      </c>
      <c r="BD477" s="38">
        <f t="shared" si="400"/>
        <v>0</v>
      </c>
      <c r="BE477" s="38">
        <f t="shared" si="401"/>
        <v>0</v>
      </c>
      <c r="BF477" s="57" t="str">
        <f t="shared" si="413"/>
        <v>-</v>
      </c>
      <c r="BG477" s="176"/>
      <c r="BH477" s="178"/>
      <c r="BI477" s="181"/>
      <c r="BJ477" s="178"/>
      <c r="BK477" s="22"/>
      <c r="BL477" s="173"/>
      <c r="BM477" s="174"/>
      <c r="BN477" s="175"/>
      <c r="BO477" s="180"/>
      <c r="BP477" s="174"/>
      <c r="BQ477" s="175"/>
      <c r="BR477" s="180"/>
      <c r="BS477" s="174"/>
      <c r="BT477" s="174"/>
      <c r="BU477" s="174"/>
      <c r="BV477" s="174"/>
      <c r="BW477" s="174"/>
      <c r="BX477" s="175"/>
      <c r="BY477" s="122"/>
      <c r="BZ477" s="123"/>
      <c r="CA477" s="123"/>
      <c r="CB477" s="124"/>
      <c r="CC477" s="125"/>
      <c r="CD477" s="126"/>
      <c r="CE477" s="126"/>
      <c r="CF477" s="216"/>
    </row>
    <row r="478" spans="22:84" ht="14.4" customHeight="1" x14ac:dyDescent="0.3">
      <c r="V478" s="55"/>
      <c r="W478" s="56"/>
      <c r="X478" s="56"/>
      <c r="Y478" s="75" t="s">
        <v>48</v>
      </c>
      <c r="Z478" s="62"/>
      <c r="AB478" s="275"/>
      <c r="AC478" s="48" t="s">
        <v>131</v>
      </c>
      <c r="AD478" s="276" t="s">
        <v>132</v>
      </c>
      <c r="AE478" s="276"/>
      <c r="AG478" s="83" t="s">
        <v>48</v>
      </c>
      <c r="AH478" s="35"/>
      <c r="AI478" s="83" t="s">
        <v>48</v>
      </c>
      <c r="AJ478" s="35"/>
      <c r="AL478" s="83" t="s">
        <v>48</v>
      </c>
      <c r="AM478" s="35"/>
      <c r="AN478" s="83" t="s">
        <v>48</v>
      </c>
      <c r="AO478" s="35"/>
      <c r="AP478" s="22"/>
      <c r="AQ478" s="49" t="str">
        <f t="shared" si="402"/>
        <v/>
      </c>
      <c r="AR478" s="38" t="str" cm="1">
        <f t="array" ref="AR478">IF(AT451="", "", IF(AND(AT451&lt;=MIN(AZ451:BK451,AQ464:BK464),AU451&gt;=MAX(AZ451:BK451,AQ464:BK464)),"ACCEPT",IF(AND(AZ451:BK451,AQ464:BK464="OK"),"ACCEPT","REJECT")))</f>
        <v/>
      </c>
      <c r="AS478" s="38" t="str">
        <f t="shared" si="403"/>
        <v/>
      </c>
      <c r="AT478" s="38" t="str">
        <f t="shared" si="404"/>
        <v/>
      </c>
      <c r="AU478" s="38">
        <f t="shared" si="405"/>
        <v>0</v>
      </c>
      <c r="AV478" s="38">
        <f t="shared" si="406"/>
        <v>0</v>
      </c>
      <c r="AW478" s="38">
        <f t="shared" si="407"/>
        <v>0</v>
      </c>
      <c r="AX478" s="57" t="str">
        <f t="shared" si="408"/>
        <v>-</v>
      </c>
      <c r="AY478" s="49" t="str">
        <f t="shared" si="409"/>
        <v/>
      </c>
      <c r="AZ478" s="38" t="str" cm="1">
        <f t="array" ref="AZ478">IF(AT457="", "", IF(AND(Y458&lt;=MIN(AZ457:BK457,AQ470:BK470),AU457&gt;=MAX(AZ457:BK457,AQ470:BK470)),"ACCEPT",IF(AND(AZ457:BK457,AQ470:BK470="OK"),"ACCEPT","REJECT")))</f>
        <v/>
      </c>
      <c r="BA478" s="38" t="str">
        <f t="shared" si="410"/>
        <v/>
      </c>
      <c r="BB478" s="38" t="str">
        <f t="shared" si="411"/>
        <v/>
      </c>
      <c r="BC478" s="38">
        <f t="shared" si="412"/>
        <v>0</v>
      </c>
      <c r="BD478" s="38">
        <f t="shared" si="400"/>
        <v>0</v>
      </c>
      <c r="BE478" s="38">
        <f t="shared" si="401"/>
        <v>0</v>
      </c>
      <c r="BF478" s="57" t="str">
        <f t="shared" si="413"/>
        <v>-</v>
      </c>
      <c r="BG478" s="61" t="s">
        <v>48</v>
      </c>
      <c r="BH478" s="35"/>
      <c r="BI478" s="59" t="s">
        <v>48</v>
      </c>
      <c r="BJ478" s="35"/>
      <c r="BK478" s="22"/>
      <c r="BL478" s="173"/>
      <c r="BM478" s="174"/>
      <c r="BN478" s="175"/>
      <c r="BO478" s="180"/>
      <c r="BP478" s="174"/>
      <c r="BQ478" s="175"/>
      <c r="BR478" s="180"/>
      <c r="BS478" s="174"/>
      <c r="BT478" s="174"/>
      <c r="BU478" s="174"/>
      <c r="BV478" s="174"/>
      <c r="BW478" s="174"/>
      <c r="BX478" s="175"/>
      <c r="BY478" s="122"/>
      <c r="BZ478" s="123"/>
      <c r="CA478" s="123"/>
      <c r="CB478" s="124"/>
      <c r="CC478" s="150" t="s">
        <v>123</v>
      </c>
      <c r="CD478" s="151"/>
      <c r="CE478" s="151"/>
      <c r="CF478" s="152"/>
    </row>
    <row r="479" spans="22:84" ht="14.4" customHeight="1" thickBot="1" x14ac:dyDescent="0.35">
      <c r="V479" s="55"/>
      <c r="W479" s="56"/>
      <c r="X479" s="56"/>
      <c r="Y479" s="56"/>
      <c r="Z479" s="56"/>
      <c r="AA479" s="56"/>
      <c r="AB479" s="56"/>
      <c r="AC479" s="56"/>
      <c r="AD479" s="56"/>
      <c r="AE479" s="56"/>
      <c r="AF479" s="56"/>
      <c r="AG479" s="56"/>
      <c r="AH479" s="56"/>
      <c r="AI479" s="56"/>
      <c r="AJ479" s="56"/>
      <c r="AK479" s="56"/>
      <c r="AL479" s="56"/>
      <c r="AM479" s="56"/>
      <c r="AN479" s="56"/>
      <c r="AO479" s="56"/>
      <c r="AP479" s="65"/>
      <c r="AQ479" s="55"/>
      <c r="AR479" s="66"/>
      <c r="AS479" s="56"/>
      <c r="AT479" s="56"/>
      <c r="AU479" s="56"/>
      <c r="AV479" s="56"/>
      <c r="AW479" s="56"/>
      <c r="AX479" s="56"/>
      <c r="AY479" s="56"/>
      <c r="AZ479" s="56"/>
      <c r="BA479" s="56"/>
      <c r="BB479" s="56"/>
      <c r="BC479" s="56"/>
      <c r="BD479" s="56"/>
      <c r="BE479" s="56"/>
      <c r="BF479" s="56"/>
      <c r="BG479" s="56"/>
      <c r="BH479" s="56"/>
      <c r="BI479" s="56"/>
      <c r="BJ479" s="56"/>
      <c r="BK479" s="65"/>
      <c r="BL479" s="176"/>
      <c r="BM479" s="177"/>
      <c r="BN479" s="178"/>
      <c r="BO479" s="181"/>
      <c r="BP479" s="177"/>
      <c r="BQ479" s="178"/>
      <c r="BR479" s="181"/>
      <c r="BS479" s="177"/>
      <c r="BT479" s="177"/>
      <c r="BU479" s="177"/>
      <c r="BV479" s="177"/>
      <c r="BW479" s="177"/>
      <c r="BX479" s="178"/>
      <c r="BY479" s="125"/>
      <c r="BZ479" s="126"/>
      <c r="CA479" s="126"/>
      <c r="CB479" s="127"/>
      <c r="CC479" s="153"/>
      <c r="CD479" s="154"/>
      <c r="CE479" s="154"/>
      <c r="CF479" s="155"/>
    </row>
    <row r="480" spans="22:84" ht="14.4" customHeight="1" thickBot="1" x14ac:dyDescent="0.35">
      <c r="V480" s="67"/>
      <c r="W480" s="68"/>
      <c r="X480" s="68"/>
      <c r="Y480" s="68"/>
      <c r="Z480" s="68"/>
      <c r="AA480" s="68"/>
      <c r="AB480" s="68"/>
      <c r="AC480" s="68"/>
      <c r="AD480" s="68"/>
      <c r="AE480" s="68"/>
      <c r="AF480" s="68"/>
      <c r="AG480" s="233" t="s">
        <v>140</v>
      </c>
      <c r="AH480" s="233"/>
      <c r="AI480" s="233"/>
      <c r="AJ480" s="234" t="s">
        <v>139</v>
      </c>
      <c r="AK480" s="234"/>
      <c r="AL480" s="234"/>
      <c r="AM480" s="234"/>
      <c r="AN480" s="234" t="s">
        <v>138</v>
      </c>
      <c r="AO480" s="234"/>
      <c r="AP480" s="235"/>
      <c r="AQ480" s="67"/>
      <c r="AR480" s="68"/>
      <c r="AS480" s="68"/>
      <c r="AT480" s="68"/>
      <c r="AU480" s="68"/>
      <c r="AV480" s="68"/>
      <c r="AW480" s="68"/>
      <c r="AX480" s="68"/>
      <c r="AY480" s="68"/>
      <c r="AZ480" s="68"/>
      <c r="BA480" s="68"/>
      <c r="BB480" s="233" t="s">
        <v>140</v>
      </c>
      <c r="BC480" s="233"/>
      <c r="BD480" s="233"/>
      <c r="BE480" s="234" t="s">
        <v>139</v>
      </c>
      <c r="BF480" s="234"/>
      <c r="BG480" s="234"/>
      <c r="BH480" s="234"/>
      <c r="BI480" s="234" t="s">
        <v>142</v>
      </c>
      <c r="BJ480" s="234"/>
      <c r="BK480" s="235"/>
      <c r="BL480" s="67"/>
      <c r="BM480" s="68"/>
      <c r="BN480" s="68"/>
      <c r="BO480" s="68"/>
      <c r="BP480" s="68"/>
      <c r="BQ480" s="68"/>
      <c r="BR480" s="68"/>
      <c r="BS480" s="68"/>
      <c r="BT480" s="68"/>
      <c r="BU480" s="68"/>
      <c r="BV480" s="68"/>
      <c r="BW480" s="68"/>
      <c r="BX480" s="68"/>
      <c r="BY480" s="68"/>
      <c r="BZ480" s="71" t="s">
        <v>133</v>
      </c>
      <c r="CA480" s="68"/>
      <c r="CB480" s="68"/>
      <c r="CC480" s="68"/>
      <c r="CD480" s="68"/>
      <c r="CE480" s="68"/>
      <c r="CF480" s="69"/>
    </row>
  </sheetData>
  <protectedRanges>
    <protectedRange algorithmName="SHA-512" hashValue="e8n0DY2l0+gBcmtbdmdOldou2feyh808cNYkqqQvqM4Cxw3lge815bmlq59VAVuRm9kfLOFkgitWSyXhyj/Q5Q==" saltValue="kF6gufaZSgPuxk6T2iYUWA==" spinCount="100000" sqref="C7:G7 I6 K6 M6 O6 P9 C8:F8 L9 J9 S4 S6:S8 S11 C4:F5 BT6 BV6 BX6 BZ6 BU9 BZ9 BX9 BT54 BV54 BX54 BZ54 BU57 BZ57 BX57 BT102 BV102 BX102 BZ102 BU105 BZ105 BX105 BT150 BV150 BX150 BZ150 BU153 BZ153 BX153 BT198 BV198 BX198 BZ198 BU201 BZ201 BX201 BT246 BV246 BX246 BZ246 BU249 BZ249 BX249 BT294 BV294 BX294 BZ294 BU297 BZ297 BX297 BT342 BV342 BX342 BZ342 BU345 BZ345 BX345 BT390 BV390 BX390 BZ390 BU393 BZ393 BX393 BT438 BV438 BX438 BZ438 BU441 BZ441 BX441 AD6 AF6 AH6 AJ6 AD54 AF54 AH54 AJ54 AD102 AF102 AH102 AJ102 AD150 AF150 AH150 AJ150 AD198 AF198 AH198 AJ198 AD246 AF246 AH246 AJ246 AD294 AF294 AH294 AJ294 AD342 AF342 AH342 AJ342 AD390 AF390 AH390 AJ390 AD438 AF438 AH438 AJ438 AY6 BA6 BC6 BE6 AY54 BA54 BC54 BE54 AY102 BA102 BC102 BE102 AY150 BA150 BC150 BE150 AY198 BA198 BC198 BE198 AY246 BA246 BC246 BE246 AY294 BA294 BC294 BE294 AY342 BA342 BC342 BE342 AY390 BA390 BC390 BE390 AY438 BA438 BC438 BE438 AN7 BI7 BI55 BI103 BI151 BI199 BI247 BI295 BI343 BI391 BI439 AN55 AN103 AN151 AN199 AN247 AN295 AN343 AN391 AN439 R14:S47 AK9 AG9 AE9 AK57 AG57 AE57 AK105 AG105 AE105 AK153 AG153 AE153 AK201 AG201 AE201 AK249 AG249 AE249 AK297 AG297 AE297 AK345 AG345 AE345 AK393 AG393 AE393 AK441 AG441 AE441 BF9 BB9 AZ9 BF57 BB57 AZ57 BF105 BB105 AZ105 BF153 BB153 AZ153 BF201 BB201 AZ201 BF249 BB249 AZ249 BF297 BB297 AZ297 BF345 BB345 AZ345 BF393 BB393 AZ393 BF441 BB441 AZ441" name="WORKINSTRUCTION_EDITRANGE"/>
    <protectedRange algorithmName="SHA-512" hashValue="YrFhROLDD5jOGTRCiqJ4P5er6/CR5vEaYX7Pzp+9fY7EmPEASJhfIv1Ui3ockLk1g4gNGdmazNbyESfxKzE7hQ==" saltValue="mudhKlzvxzTwFuCj6VIXiA==" spinCount="100000" sqref="AN8 V63:AA74 V111:AA122 V159:AA170 V207:AA218 V255:AA266 V303:AA314 V351:AA362 V399:AA410 V447:AA458 AN4:AP6 AN52:AP54 AN100:AP102 AN148:AP150 AN196:AP198 AN244:AP246 AN292:AP294 AN340:AP342 AN388:AP390 AN436:AP438 BI4:BK6 BI52:BK54 BI100:BK102 BI148:BK150 BI196:BK198 BI244:BK246 BI292:BK294 BI340:BK342 BI388:BK390 BI436:BK438 CD4:CF7 CD52:CF55 CD100:CF103 CD148:CF151 CD196:CF199 CD244:CF247 CD292:CF295 CD340:CF343 CD388:CF391 CD436:CF439 V15:AA26" name="BUYOFF_EDITRANGE"/>
  </protectedRanges>
  <mergeCells count="2684">
    <mergeCell ref="BG392:BH392"/>
    <mergeCell ref="BG436:BH437"/>
    <mergeCell ref="BG438:BH438"/>
    <mergeCell ref="BG439:BH439"/>
    <mergeCell ref="BG440:BH440"/>
    <mergeCell ref="BI4:BK4"/>
    <mergeCell ref="BI5:BK5"/>
    <mergeCell ref="BI52:BK52"/>
    <mergeCell ref="BI53:BK53"/>
    <mergeCell ref="BI100:BK100"/>
    <mergeCell ref="BI101:BK101"/>
    <mergeCell ref="BI148:BK148"/>
    <mergeCell ref="BI149:BK149"/>
    <mergeCell ref="BI196:BK196"/>
    <mergeCell ref="BI197:BK197"/>
    <mergeCell ref="BI244:BK244"/>
    <mergeCell ref="BI245:BK245"/>
    <mergeCell ref="BI292:BK292"/>
    <mergeCell ref="BI293:BK293"/>
    <mergeCell ref="BI340:BK340"/>
    <mergeCell ref="BI341:BK341"/>
    <mergeCell ref="BI388:BK388"/>
    <mergeCell ref="BI389:BK389"/>
    <mergeCell ref="BI436:BK436"/>
    <mergeCell ref="BI437:BK437"/>
    <mergeCell ref="BG54:BH54"/>
    <mergeCell ref="BG55:BH55"/>
    <mergeCell ref="BI427:BJ429"/>
    <mergeCell ref="BG379:BH381"/>
    <mergeCell ref="BI379:BJ381"/>
    <mergeCell ref="BI337:BK339"/>
    <mergeCell ref="BI295:BK295"/>
    <mergeCell ref="AL438:AM438"/>
    <mergeCell ref="BD293:BF293"/>
    <mergeCell ref="AS292:AW292"/>
    <mergeCell ref="AS293:AW293"/>
    <mergeCell ref="AR261:AS261"/>
    <mergeCell ref="BG250:BH250"/>
    <mergeCell ref="BC218:BE218"/>
    <mergeCell ref="BF218:BH218"/>
    <mergeCell ref="BG154:BH154"/>
    <mergeCell ref="BA102:BC104"/>
    <mergeCell ref="BD102:BF104"/>
    <mergeCell ref="AS102:AW102"/>
    <mergeCell ref="AQ279:BF279"/>
    <mergeCell ref="BD250:BD251"/>
    <mergeCell ref="AY249:AZ249"/>
    <mergeCell ref="BB249:BC249"/>
    <mergeCell ref="BE249:BF249"/>
    <mergeCell ref="AQ249:AR249"/>
    <mergeCell ref="AQ250:AR250"/>
    <mergeCell ref="AS249:AU249"/>
    <mergeCell ref="AR209:AS209"/>
    <mergeCell ref="AR166:AS166"/>
    <mergeCell ref="AQ122:AS122"/>
    <mergeCell ref="AT122:AV122"/>
    <mergeCell ref="AW122:AY122"/>
    <mergeCell ref="AZ122:BB122"/>
    <mergeCell ref="BC122:BE122"/>
    <mergeCell ref="BG343:BH343"/>
    <mergeCell ref="BG344:BH344"/>
    <mergeCell ref="BG388:BH389"/>
    <mergeCell ref="BG390:BH390"/>
    <mergeCell ref="BG391:BH391"/>
    <mergeCell ref="AQ393:AR393"/>
    <mergeCell ref="AQ394:AR394"/>
    <mergeCell ref="AQ436:AR436"/>
    <mergeCell ref="AQ437:AR437"/>
    <mergeCell ref="AG336:AI336"/>
    <mergeCell ref="AJ336:AM336"/>
    <mergeCell ref="AN336:AP336"/>
    <mergeCell ref="AG384:AI384"/>
    <mergeCell ref="AJ384:AM384"/>
    <mergeCell ref="AN384:AP384"/>
    <mergeCell ref="AG432:AI432"/>
    <mergeCell ref="AJ432:AM432"/>
    <mergeCell ref="AN432:AP432"/>
    <mergeCell ref="AL390:AM390"/>
    <mergeCell ref="AL391:AM391"/>
    <mergeCell ref="AL392:AM392"/>
    <mergeCell ref="AL436:AM437"/>
    <mergeCell ref="AL427:AM429"/>
    <mergeCell ref="AN427:AO429"/>
    <mergeCell ref="AN390:AP390"/>
    <mergeCell ref="AN379:AO381"/>
    <mergeCell ref="AI340:AK340"/>
    <mergeCell ref="AL343:AM343"/>
    <mergeCell ref="AL344:AM344"/>
    <mergeCell ref="AN437:AP437"/>
    <mergeCell ref="AL379:AM381"/>
    <mergeCell ref="AG480:AI480"/>
    <mergeCell ref="AJ480:AM480"/>
    <mergeCell ref="AN480:AP480"/>
    <mergeCell ref="AQ4:AR4"/>
    <mergeCell ref="AQ5:AR5"/>
    <mergeCell ref="AQ6:AR6"/>
    <mergeCell ref="AQ7:AR7"/>
    <mergeCell ref="AQ8:AR8"/>
    <mergeCell ref="AQ9:AR9"/>
    <mergeCell ref="AQ10:AR10"/>
    <mergeCell ref="AQ52:AR52"/>
    <mergeCell ref="AQ53:AR53"/>
    <mergeCell ref="AQ54:AR54"/>
    <mergeCell ref="AQ55:AR55"/>
    <mergeCell ref="AQ56:AR56"/>
    <mergeCell ref="AQ57:AR57"/>
    <mergeCell ref="AQ58:AR58"/>
    <mergeCell ref="AQ100:AR100"/>
    <mergeCell ref="AQ101:AR101"/>
    <mergeCell ref="AQ102:AR102"/>
    <mergeCell ref="AQ103:AR103"/>
    <mergeCell ref="AQ104:AR104"/>
    <mergeCell ref="AQ105:AR105"/>
    <mergeCell ref="AG426:AH426"/>
    <mergeCell ref="AI426:AJ426"/>
    <mergeCell ref="AG90:AH90"/>
    <mergeCell ref="AF193:AM195"/>
    <mergeCell ref="AL426:AM426"/>
    <mergeCell ref="AN426:AO426"/>
    <mergeCell ref="AG474:AH474"/>
    <mergeCell ref="AI474:AJ474"/>
    <mergeCell ref="AL474:AM474"/>
    <mergeCell ref="AB282:AB283"/>
    <mergeCell ref="AB330:AB331"/>
    <mergeCell ref="AB378:AB379"/>
    <mergeCell ref="AB426:AB427"/>
    <mergeCell ref="AG96:AI96"/>
    <mergeCell ref="AJ96:AM96"/>
    <mergeCell ref="AN96:AP96"/>
    <mergeCell ref="AG144:AI144"/>
    <mergeCell ref="AJ144:AM144"/>
    <mergeCell ref="AN144:AP144"/>
    <mergeCell ref="AG192:AI192"/>
    <mergeCell ref="AJ192:AM192"/>
    <mergeCell ref="AN192:AP192"/>
    <mergeCell ref="AG240:AI240"/>
    <mergeCell ref="AJ240:AM240"/>
    <mergeCell ref="AN240:AP240"/>
    <mergeCell ref="AG288:AI288"/>
    <mergeCell ref="AJ288:AM288"/>
    <mergeCell ref="AN288:AP288"/>
    <mergeCell ref="AL292:AM293"/>
    <mergeCell ref="AL294:AM294"/>
    <mergeCell ref="AL295:AM295"/>
    <mergeCell ref="AL296:AM296"/>
    <mergeCell ref="AL340:AM341"/>
    <mergeCell ref="AL342:AM342"/>
    <mergeCell ref="AL100:AM101"/>
    <mergeCell ref="AL102:AM102"/>
    <mergeCell ref="AG186:AH186"/>
    <mergeCell ref="AI186:AJ186"/>
    <mergeCell ref="AL186:AM186"/>
    <mergeCell ref="AG282:AH282"/>
    <mergeCell ref="AB394:AB395"/>
    <mergeCell ref="AL103:AM103"/>
    <mergeCell ref="AL104:AM104"/>
    <mergeCell ref="AL148:AM149"/>
    <mergeCell ref="AL150:AM150"/>
    <mergeCell ref="AL151:AM151"/>
    <mergeCell ref="AL152:AM152"/>
    <mergeCell ref="AL196:AM197"/>
    <mergeCell ref="AL198:AM198"/>
    <mergeCell ref="AL199:AM199"/>
    <mergeCell ref="AL200:AM200"/>
    <mergeCell ref="AI250:AI251"/>
    <mergeCell ref="AL155:AM155"/>
    <mergeCell ref="AL139:AM141"/>
    <mergeCell ref="AF197:AH197"/>
    <mergeCell ref="AI197:AK197"/>
    <mergeCell ref="AF198:AH200"/>
    <mergeCell ref="AI198:AK200"/>
    <mergeCell ref="AL187:AM189"/>
    <mergeCell ref="AL251:AM251"/>
    <mergeCell ref="AI196:AK196"/>
    <mergeCell ref="AG249:AH249"/>
    <mergeCell ref="AJ249:AK249"/>
    <mergeCell ref="AF196:AH196"/>
    <mergeCell ref="S24:U24"/>
    <mergeCell ref="S25:U25"/>
    <mergeCell ref="S26:U26"/>
    <mergeCell ref="S27:U27"/>
    <mergeCell ref="S28:U28"/>
    <mergeCell ref="S29:U29"/>
    <mergeCell ref="S30:U30"/>
    <mergeCell ref="S31:U31"/>
    <mergeCell ref="S32:U32"/>
    <mergeCell ref="S33:U33"/>
    <mergeCell ref="S34:U34"/>
    <mergeCell ref="S35:U35"/>
    <mergeCell ref="S36:U36"/>
    <mergeCell ref="S37:U37"/>
    <mergeCell ref="S38:U38"/>
    <mergeCell ref="AL90:AM90"/>
    <mergeCell ref="AG138:AH138"/>
    <mergeCell ref="AI138:AJ138"/>
    <mergeCell ref="AL138:AM138"/>
    <mergeCell ref="AB90:AB91"/>
    <mergeCell ref="AB138:AB139"/>
    <mergeCell ref="S48:U48"/>
    <mergeCell ref="V123:AE123"/>
    <mergeCell ref="AD107:AE107"/>
    <mergeCell ref="AL107:AM107"/>
    <mergeCell ref="V97:W99"/>
    <mergeCell ref="X97:AE99"/>
    <mergeCell ref="AF97:AM99"/>
    <mergeCell ref="AL91:AM93"/>
    <mergeCell ref="AD26:AE26"/>
    <mergeCell ref="W67:X67"/>
    <mergeCell ref="W122:X122"/>
    <mergeCell ref="O48:R48"/>
    <mergeCell ref="R12:U12"/>
    <mergeCell ref="S13:U13"/>
    <mergeCell ref="V4:W4"/>
    <mergeCell ref="V5:W5"/>
    <mergeCell ref="V6:W6"/>
    <mergeCell ref="V7:W7"/>
    <mergeCell ref="V8:W8"/>
    <mergeCell ref="V9:W9"/>
    <mergeCell ref="V10:W10"/>
    <mergeCell ref="A9:G9"/>
    <mergeCell ref="S14:U14"/>
    <mergeCell ref="S15:U15"/>
    <mergeCell ref="S16:U16"/>
    <mergeCell ref="S17:U17"/>
    <mergeCell ref="S18:U18"/>
    <mergeCell ref="S19:U19"/>
    <mergeCell ref="S20:U20"/>
    <mergeCell ref="S21:U21"/>
    <mergeCell ref="C7:G7"/>
    <mergeCell ref="S39:U39"/>
    <mergeCell ref="S40:U40"/>
    <mergeCell ref="S41:U41"/>
    <mergeCell ref="S42:U42"/>
    <mergeCell ref="S43:U43"/>
    <mergeCell ref="S44:U44"/>
    <mergeCell ref="S45:U45"/>
    <mergeCell ref="S46:U46"/>
    <mergeCell ref="S47:U47"/>
    <mergeCell ref="S22:U22"/>
    <mergeCell ref="S23:U23"/>
    <mergeCell ref="W17:X17"/>
    <mergeCell ref="AL475:AM477"/>
    <mergeCell ref="AN475:AO477"/>
    <mergeCell ref="BG475:BH477"/>
    <mergeCell ref="BI475:BJ477"/>
    <mergeCell ref="W476:X476"/>
    <mergeCell ref="AB476:AB478"/>
    <mergeCell ref="AD476:AE476"/>
    <mergeCell ref="AD477:AE477"/>
    <mergeCell ref="AD478:AE478"/>
    <mergeCell ref="BL469:BN479"/>
    <mergeCell ref="BO469:BQ479"/>
    <mergeCell ref="BR469:BX479"/>
    <mergeCell ref="AQ471:BF471"/>
    <mergeCell ref="W474:X474"/>
    <mergeCell ref="Y474:Z474"/>
    <mergeCell ref="AC474:AE475"/>
    <mergeCell ref="Y475:Z477"/>
    <mergeCell ref="AG475:AH477"/>
    <mergeCell ref="AI475:AJ477"/>
    <mergeCell ref="AB474:AB475"/>
    <mergeCell ref="AN474:AO474"/>
    <mergeCell ref="BL466:BM466"/>
    <mergeCell ref="BL467:BN467"/>
    <mergeCell ref="BO467:BP467"/>
    <mergeCell ref="BR467:BR468"/>
    <mergeCell ref="BU467:BU468"/>
    <mergeCell ref="BV467:BX468"/>
    <mergeCell ref="BL468:BN468"/>
    <mergeCell ref="BO468:BQ468"/>
    <mergeCell ref="BL464:BM464"/>
    <mergeCell ref="BO464:BQ464"/>
    <mergeCell ref="BR464:BU464"/>
    <mergeCell ref="BV464:BX464"/>
    <mergeCell ref="BY464:CB479"/>
    <mergeCell ref="CC464:CF477"/>
    <mergeCell ref="BL465:BM465"/>
    <mergeCell ref="BO465:BQ466"/>
    <mergeCell ref="BR465:BS466"/>
    <mergeCell ref="BT465:BX466"/>
    <mergeCell ref="CC478:CF478"/>
    <mergeCell ref="CC479:CF479"/>
    <mergeCell ref="BL462:BN462"/>
    <mergeCell ref="BO462:BQ463"/>
    <mergeCell ref="BR462:BX463"/>
    <mergeCell ref="BY462:CB463"/>
    <mergeCell ref="CC462:CF463"/>
    <mergeCell ref="BL463:BM463"/>
    <mergeCell ref="BC458:BE458"/>
    <mergeCell ref="BF458:BH458"/>
    <mergeCell ref="BI458:BK458"/>
    <mergeCell ref="V459:AE459"/>
    <mergeCell ref="CC460:CF460"/>
    <mergeCell ref="CC461:CF461"/>
    <mergeCell ref="W458:X458"/>
    <mergeCell ref="AD458:AE458"/>
    <mergeCell ref="AQ458:AS458"/>
    <mergeCell ref="AT458:AV458"/>
    <mergeCell ref="AW458:AY458"/>
    <mergeCell ref="AZ458:BB458"/>
    <mergeCell ref="BL451:BN461"/>
    <mergeCell ref="BO451:BQ461"/>
    <mergeCell ref="BR451:BX461"/>
    <mergeCell ref="W457:X457"/>
    <mergeCell ref="AD457:AE457"/>
    <mergeCell ref="AR457:AS457"/>
    <mergeCell ref="AD453:AE453"/>
    <mergeCell ref="AR453:AS453"/>
    <mergeCell ref="W454:X454"/>
    <mergeCell ref="AD454:AE454"/>
    <mergeCell ref="AR454:AS454"/>
    <mergeCell ref="W455:X455"/>
    <mergeCell ref="AD455:AE455"/>
    <mergeCell ref="AR455:AS455"/>
    <mergeCell ref="CC446:CF459"/>
    <mergeCell ref="W447:X447"/>
    <mergeCell ref="AD447:AE447"/>
    <mergeCell ref="AR447:AS447"/>
    <mergeCell ref="BL447:BM447"/>
    <mergeCell ref="BO447:BQ448"/>
    <mergeCell ref="BR447:BS448"/>
    <mergeCell ref="BT447:BX448"/>
    <mergeCell ref="BI445:BK445"/>
    <mergeCell ref="BL445:BM445"/>
    <mergeCell ref="AR446:AS446"/>
    <mergeCell ref="BL446:BM446"/>
    <mergeCell ref="BO446:BQ446"/>
    <mergeCell ref="BR446:BU446"/>
    <mergeCell ref="BL444:BN444"/>
    <mergeCell ref="BO444:BQ445"/>
    <mergeCell ref="BR444:BX445"/>
    <mergeCell ref="BY444:CB445"/>
    <mergeCell ref="W451:X451"/>
    <mergeCell ref="AD451:AE451"/>
    <mergeCell ref="AR451:AS451"/>
    <mergeCell ref="W452:X452"/>
    <mergeCell ref="AD452:AE452"/>
    <mergeCell ref="AR452:AS452"/>
    <mergeCell ref="W453:X453"/>
    <mergeCell ref="BU449:BU450"/>
    <mergeCell ref="BV449:BX450"/>
    <mergeCell ref="W450:X450"/>
    <mergeCell ref="AD450:AE450"/>
    <mergeCell ref="AR450:AS450"/>
    <mergeCell ref="BL450:BN450"/>
    <mergeCell ref="BO450:BQ450"/>
    <mergeCell ref="AL439:AM439"/>
    <mergeCell ref="AL440:AM440"/>
    <mergeCell ref="BN438:BR438"/>
    <mergeCell ref="BS438:BU440"/>
    <mergeCell ref="BV438:BX440"/>
    <mergeCell ref="BY438:CA440"/>
    <mergeCell ref="W456:X456"/>
    <mergeCell ref="AD456:AE456"/>
    <mergeCell ref="AR456:AS456"/>
    <mergeCell ref="AD442:AE442"/>
    <mergeCell ref="AI442:AI443"/>
    <mergeCell ref="BD442:BD443"/>
    <mergeCell ref="AD441:AE441"/>
    <mergeCell ref="AG441:AH441"/>
    <mergeCell ref="AJ441:AK441"/>
    <mergeCell ref="AY441:AZ441"/>
    <mergeCell ref="BB441:BC441"/>
    <mergeCell ref="BE441:BF441"/>
    <mergeCell ref="BV446:BX446"/>
    <mergeCell ref="BY446:CB461"/>
    <mergeCell ref="W448:X448"/>
    <mergeCell ref="AD448:AE448"/>
    <mergeCell ref="AR448:AS448"/>
    <mergeCell ref="BL448:BM448"/>
    <mergeCell ref="W449:X449"/>
    <mergeCell ref="AD449:AE449"/>
    <mergeCell ref="AR449:AS449"/>
    <mergeCell ref="BL449:BN449"/>
    <mergeCell ref="BN439:BR439"/>
    <mergeCell ref="BN440:BR440"/>
    <mergeCell ref="AN438:AP438"/>
    <mergeCell ref="BL438:BM438"/>
    <mergeCell ref="X436:AB436"/>
    <mergeCell ref="X437:AB437"/>
    <mergeCell ref="X438:AB438"/>
    <mergeCell ref="X439:AB439"/>
    <mergeCell ref="X440:AB440"/>
    <mergeCell ref="BN436:BR436"/>
    <mergeCell ref="CC444:CF445"/>
    <mergeCell ref="BO449:BP449"/>
    <mergeCell ref="BR449:BR450"/>
    <mergeCell ref="CD438:CF438"/>
    <mergeCell ref="AN439:AP439"/>
    <mergeCell ref="BI439:BK439"/>
    <mergeCell ref="CD439:CF439"/>
    <mergeCell ref="BI438:BK438"/>
    <mergeCell ref="AX438:AZ440"/>
    <mergeCell ref="BA438:BC440"/>
    <mergeCell ref="BD438:BF440"/>
    <mergeCell ref="AS438:AW438"/>
    <mergeCell ref="AS439:AW439"/>
    <mergeCell ref="AS440:AW440"/>
    <mergeCell ref="AC438:AE440"/>
    <mergeCell ref="AF438:AH440"/>
    <mergeCell ref="AI438:AK440"/>
    <mergeCell ref="BT441:BU441"/>
    <mergeCell ref="BW441:BX441"/>
    <mergeCell ref="BZ441:CA441"/>
    <mergeCell ref="AQ438:AR438"/>
    <mergeCell ref="AQ439:AR439"/>
    <mergeCell ref="AQ440:AR440"/>
    <mergeCell ref="AQ441:AR441"/>
    <mergeCell ref="AQ442:AR442"/>
    <mergeCell ref="BV437:BX437"/>
    <mergeCell ref="BY437:CA437"/>
    <mergeCell ref="BL436:BM436"/>
    <mergeCell ref="CB436:CC437"/>
    <mergeCell ref="CD436:CF436"/>
    <mergeCell ref="BL437:BM437"/>
    <mergeCell ref="CD437:CF437"/>
    <mergeCell ref="V433:W435"/>
    <mergeCell ref="BU419:BU420"/>
    <mergeCell ref="BA433:BH435"/>
    <mergeCell ref="BI433:BK435"/>
    <mergeCell ref="BL433:BM435"/>
    <mergeCell ref="BN433:BU435"/>
    <mergeCell ref="V445:V446"/>
    <mergeCell ref="W445:X446"/>
    <mergeCell ref="AB445:AC445"/>
    <mergeCell ref="AD445:AE446"/>
    <mergeCell ref="AF445:AJ445"/>
    <mergeCell ref="BG442:BH442"/>
    <mergeCell ref="AD443:AE443"/>
    <mergeCell ref="AL443:AM443"/>
    <mergeCell ref="AQ444:AQ445"/>
    <mergeCell ref="AR444:AS445"/>
    <mergeCell ref="AX444:AY444"/>
    <mergeCell ref="AK445:AO445"/>
    <mergeCell ref="AZ445:BB445"/>
    <mergeCell ref="BC445:BE445"/>
    <mergeCell ref="BF445:BH445"/>
    <mergeCell ref="X441:Z441"/>
    <mergeCell ref="AS441:AU441"/>
    <mergeCell ref="AB442:AB443"/>
    <mergeCell ref="AN436:AP436"/>
    <mergeCell ref="AQ423:BF423"/>
    <mergeCell ref="W426:X426"/>
    <mergeCell ref="Y426:Z426"/>
    <mergeCell ref="AC426:AE427"/>
    <mergeCell ref="Y427:Z429"/>
    <mergeCell ref="AG427:AH429"/>
    <mergeCell ref="AI427:AJ429"/>
    <mergeCell ref="CD433:CF435"/>
    <mergeCell ref="AX436:AZ436"/>
    <mergeCell ref="BA436:BC436"/>
    <mergeCell ref="BD436:BF436"/>
    <mergeCell ref="AX437:AZ437"/>
    <mergeCell ref="BA437:BC437"/>
    <mergeCell ref="BD437:BF437"/>
    <mergeCell ref="AS436:AW436"/>
    <mergeCell ref="AS437:AW437"/>
    <mergeCell ref="AC436:AE436"/>
    <mergeCell ref="AF436:AH436"/>
    <mergeCell ref="AI436:AK436"/>
    <mergeCell ref="AC437:AE437"/>
    <mergeCell ref="AF437:AH437"/>
    <mergeCell ref="AI437:AK437"/>
    <mergeCell ref="X433:AE435"/>
    <mergeCell ref="AF433:AM435"/>
    <mergeCell ref="AN433:AP435"/>
    <mergeCell ref="AQ433:AR435"/>
    <mergeCell ref="AS433:AZ435"/>
    <mergeCell ref="BS436:BU436"/>
    <mergeCell ref="BV436:BX436"/>
    <mergeCell ref="BY436:CA436"/>
    <mergeCell ref="BN437:BR437"/>
    <mergeCell ref="BS437:BU437"/>
    <mergeCell ref="BG427:BH429"/>
    <mergeCell ref="BO420:BQ420"/>
    <mergeCell ref="BL416:BM416"/>
    <mergeCell ref="BO416:BQ416"/>
    <mergeCell ref="BR416:BU416"/>
    <mergeCell ref="BV416:BX416"/>
    <mergeCell ref="BY416:CB431"/>
    <mergeCell ref="CC416:CF429"/>
    <mergeCell ref="BL417:BM417"/>
    <mergeCell ref="BO417:BQ418"/>
    <mergeCell ref="BR417:BS418"/>
    <mergeCell ref="BT417:BX418"/>
    <mergeCell ref="CC430:CF430"/>
    <mergeCell ref="CC431:CF431"/>
    <mergeCell ref="BL421:BN431"/>
    <mergeCell ref="BO421:BQ431"/>
    <mergeCell ref="BR421:BX431"/>
    <mergeCell ref="BR419:BR420"/>
    <mergeCell ref="W428:X428"/>
    <mergeCell ref="AB428:AB430"/>
    <mergeCell ref="AD428:AE428"/>
    <mergeCell ref="AD429:AE429"/>
    <mergeCell ref="AD430:AE430"/>
    <mergeCell ref="BL418:BM418"/>
    <mergeCell ref="BL419:BN419"/>
    <mergeCell ref="BO419:BP419"/>
    <mergeCell ref="BL414:BN414"/>
    <mergeCell ref="BO414:BQ415"/>
    <mergeCell ref="BR414:BX415"/>
    <mergeCell ref="BY414:CB415"/>
    <mergeCell ref="CC414:CF415"/>
    <mergeCell ref="BL415:BM415"/>
    <mergeCell ref="BC410:BE410"/>
    <mergeCell ref="BF410:BH410"/>
    <mergeCell ref="BI410:BK410"/>
    <mergeCell ref="V411:AE411"/>
    <mergeCell ref="CC412:CF412"/>
    <mergeCell ref="CC413:CF413"/>
    <mergeCell ref="W410:X410"/>
    <mergeCell ref="AD410:AE410"/>
    <mergeCell ref="AQ410:AS410"/>
    <mergeCell ref="AT410:AV410"/>
    <mergeCell ref="AW410:AY410"/>
    <mergeCell ref="AZ410:BB410"/>
    <mergeCell ref="BL403:BN413"/>
    <mergeCell ref="BO403:BQ413"/>
    <mergeCell ref="BR403:BX413"/>
    <mergeCell ref="W409:X409"/>
    <mergeCell ref="BV419:BX420"/>
    <mergeCell ref="BL420:BN420"/>
    <mergeCell ref="AD402:AE402"/>
    <mergeCell ref="AR402:AS402"/>
    <mergeCell ref="BL402:BN402"/>
    <mergeCell ref="BO402:BQ402"/>
    <mergeCell ref="W400:X400"/>
    <mergeCell ref="AD400:AE400"/>
    <mergeCell ref="AR400:AS400"/>
    <mergeCell ref="BL400:BM400"/>
    <mergeCell ref="W401:X401"/>
    <mergeCell ref="AD401:AE401"/>
    <mergeCell ref="AR401:AS401"/>
    <mergeCell ref="BL401:BN401"/>
    <mergeCell ref="W408:X408"/>
    <mergeCell ref="AD408:AE408"/>
    <mergeCell ref="AR408:AS408"/>
    <mergeCell ref="AD409:AE409"/>
    <mergeCell ref="AR409:AS409"/>
    <mergeCell ref="AD405:AE405"/>
    <mergeCell ref="AR405:AS405"/>
    <mergeCell ref="W406:X406"/>
    <mergeCell ref="AD406:AE406"/>
    <mergeCell ref="AR406:AS406"/>
    <mergeCell ref="W407:X407"/>
    <mergeCell ref="AD407:AE407"/>
    <mergeCell ref="AR407:AS407"/>
    <mergeCell ref="W403:X403"/>
    <mergeCell ref="AD403:AE403"/>
    <mergeCell ref="AR403:AS403"/>
    <mergeCell ref="W404:X404"/>
    <mergeCell ref="AD404:AE404"/>
    <mergeCell ref="AR404:AS404"/>
    <mergeCell ref="W405:X405"/>
    <mergeCell ref="AD394:AE394"/>
    <mergeCell ref="AI394:AI395"/>
    <mergeCell ref="BD394:BD395"/>
    <mergeCell ref="AD393:AE393"/>
    <mergeCell ref="AG393:AH393"/>
    <mergeCell ref="AJ393:AK393"/>
    <mergeCell ref="AY393:AZ393"/>
    <mergeCell ref="BB393:BC393"/>
    <mergeCell ref="BE393:BF393"/>
    <mergeCell ref="BV398:BX398"/>
    <mergeCell ref="BY398:CB413"/>
    <mergeCell ref="CC398:CF411"/>
    <mergeCell ref="W399:X399"/>
    <mergeCell ref="AD399:AE399"/>
    <mergeCell ref="AR399:AS399"/>
    <mergeCell ref="BL399:BM399"/>
    <mergeCell ref="BO399:BQ400"/>
    <mergeCell ref="BR399:BS400"/>
    <mergeCell ref="BT399:BX400"/>
    <mergeCell ref="BI397:BK397"/>
    <mergeCell ref="BL397:BM397"/>
    <mergeCell ref="AR398:AS398"/>
    <mergeCell ref="BL398:BM398"/>
    <mergeCell ref="BO398:BQ398"/>
    <mergeCell ref="BR398:BU398"/>
    <mergeCell ref="BL396:BN396"/>
    <mergeCell ref="BO396:BQ397"/>
    <mergeCell ref="BR396:BX397"/>
    <mergeCell ref="BY396:CB397"/>
    <mergeCell ref="CC396:CF397"/>
    <mergeCell ref="BO401:BP401"/>
    <mergeCell ref="W402:X402"/>
    <mergeCell ref="CD390:CF390"/>
    <mergeCell ref="AN391:AP391"/>
    <mergeCell ref="BI391:BK391"/>
    <mergeCell ref="CD391:CF391"/>
    <mergeCell ref="BI390:BK390"/>
    <mergeCell ref="AC390:AE392"/>
    <mergeCell ref="AF390:AH392"/>
    <mergeCell ref="AI390:AK392"/>
    <mergeCell ref="X390:AB390"/>
    <mergeCell ref="X391:AB391"/>
    <mergeCell ref="X392:AB392"/>
    <mergeCell ref="AX388:AZ388"/>
    <mergeCell ref="BA388:BC388"/>
    <mergeCell ref="BD388:BF388"/>
    <mergeCell ref="AX389:AZ389"/>
    <mergeCell ref="BA389:BC389"/>
    <mergeCell ref="BD389:BF389"/>
    <mergeCell ref="AX390:AZ392"/>
    <mergeCell ref="BA390:BC392"/>
    <mergeCell ref="BD390:BF392"/>
    <mergeCell ref="AS388:AW388"/>
    <mergeCell ref="AS389:AW389"/>
    <mergeCell ref="AS390:AW390"/>
    <mergeCell ref="AS391:AW391"/>
    <mergeCell ref="AS392:AW392"/>
    <mergeCell ref="AQ388:AR388"/>
    <mergeCell ref="AQ389:AR389"/>
    <mergeCell ref="AQ390:AR390"/>
    <mergeCell ref="AQ391:AR391"/>
    <mergeCell ref="AQ392:AR392"/>
    <mergeCell ref="BN390:BR390"/>
    <mergeCell ref="BS390:BU392"/>
    <mergeCell ref="V385:W387"/>
    <mergeCell ref="X385:AE387"/>
    <mergeCell ref="AF385:AM387"/>
    <mergeCell ref="AN385:AP387"/>
    <mergeCell ref="AQ385:AR387"/>
    <mergeCell ref="AS385:AZ387"/>
    <mergeCell ref="BA385:BH387"/>
    <mergeCell ref="BI385:BK387"/>
    <mergeCell ref="V397:V398"/>
    <mergeCell ref="W397:X398"/>
    <mergeCell ref="AB397:AC397"/>
    <mergeCell ref="AD397:AE398"/>
    <mergeCell ref="AF397:AJ397"/>
    <mergeCell ref="BG394:BH394"/>
    <mergeCell ref="AD395:AE395"/>
    <mergeCell ref="AL395:AM395"/>
    <mergeCell ref="AQ396:AQ397"/>
    <mergeCell ref="AR396:AS397"/>
    <mergeCell ref="AX396:AY396"/>
    <mergeCell ref="AK397:AO397"/>
    <mergeCell ref="AZ397:BB397"/>
    <mergeCell ref="BC397:BE397"/>
    <mergeCell ref="BF397:BH397"/>
    <mergeCell ref="X393:Z393"/>
    <mergeCell ref="AS393:AU393"/>
    <mergeCell ref="V392:W392"/>
    <mergeCell ref="V393:W393"/>
    <mergeCell ref="V394:W394"/>
    <mergeCell ref="AN388:AP388"/>
    <mergeCell ref="AN389:AP389"/>
    <mergeCell ref="V390:W390"/>
    <mergeCell ref="V391:W391"/>
    <mergeCell ref="BL385:BM387"/>
    <mergeCell ref="BN385:BU387"/>
    <mergeCell ref="BV385:CC387"/>
    <mergeCell ref="CD385:CF387"/>
    <mergeCell ref="AC388:AE388"/>
    <mergeCell ref="AF388:AH388"/>
    <mergeCell ref="AI388:AK388"/>
    <mergeCell ref="AC389:AE389"/>
    <mergeCell ref="AF389:AH389"/>
    <mergeCell ref="AI389:AK389"/>
    <mergeCell ref="X388:AB388"/>
    <mergeCell ref="X389:AB389"/>
    <mergeCell ref="BN388:BR388"/>
    <mergeCell ref="BS388:BU388"/>
    <mergeCell ref="BV388:BX388"/>
    <mergeCell ref="BY388:CA388"/>
    <mergeCell ref="BN389:BR389"/>
    <mergeCell ref="BS389:BU389"/>
    <mergeCell ref="BV389:BX389"/>
    <mergeCell ref="BY389:CA389"/>
    <mergeCell ref="AL388:AM389"/>
    <mergeCell ref="W380:X380"/>
    <mergeCell ref="AB380:AB382"/>
    <mergeCell ref="AD380:AE380"/>
    <mergeCell ref="AD381:AE381"/>
    <mergeCell ref="AD382:AE382"/>
    <mergeCell ref="BR371:BR372"/>
    <mergeCell ref="BU371:BU372"/>
    <mergeCell ref="BV371:BX372"/>
    <mergeCell ref="BL372:BN372"/>
    <mergeCell ref="BO372:BQ372"/>
    <mergeCell ref="BL368:BM368"/>
    <mergeCell ref="BO368:BQ368"/>
    <mergeCell ref="BR368:BU368"/>
    <mergeCell ref="BV368:BX368"/>
    <mergeCell ref="W378:X378"/>
    <mergeCell ref="Y378:Z378"/>
    <mergeCell ref="AC378:AE379"/>
    <mergeCell ref="Y379:Z381"/>
    <mergeCell ref="AG379:AH381"/>
    <mergeCell ref="AI379:AJ381"/>
    <mergeCell ref="AG378:AH378"/>
    <mergeCell ref="AI378:AJ378"/>
    <mergeCell ref="AL378:AM378"/>
    <mergeCell ref="AN378:AO378"/>
    <mergeCell ref="AQ375:BF375"/>
    <mergeCell ref="BL370:BM370"/>
    <mergeCell ref="AD354:AE354"/>
    <mergeCell ref="CC368:CF381"/>
    <mergeCell ref="BL369:BM369"/>
    <mergeCell ref="BO369:BQ370"/>
    <mergeCell ref="BR369:BS370"/>
    <mergeCell ref="BT369:BX370"/>
    <mergeCell ref="CC382:CF382"/>
    <mergeCell ref="CC383:CF383"/>
    <mergeCell ref="BL373:BN383"/>
    <mergeCell ref="BO373:BQ383"/>
    <mergeCell ref="BR373:BX383"/>
    <mergeCell ref="CC366:CF367"/>
    <mergeCell ref="BL367:BM367"/>
    <mergeCell ref="BC362:BE362"/>
    <mergeCell ref="BF362:BH362"/>
    <mergeCell ref="BI362:BK362"/>
    <mergeCell ref="V363:AE363"/>
    <mergeCell ref="CC364:CF364"/>
    <mergeCell ref="CC365:CF365"/>
    <mergeCell ref="W362:X362"/>
    <mergeCell ref="AD362:AE362"/>
    <mergeCell ref="AQ362:AS362"/>
    <mergeCell ref="AT362:AV362"/>
    <mergeCell ref="AW362:AY362"/>
    <mergeCell ref="AZ362:BB362"/>
    <mergeCell ref="BL355:BN365"/>
    <mergeCell ref="BO355:BQ365"/>
    <mergeCell ref="BR355:BX365"/>
    <mergeCell ref="CC350:CF363"/>
    <mergeCell ref="W351:X351"/>
    <mergeCell ref="AD351:AE351"/>
    <mergeCell ref="AR351:AS351"/>
    <mergeCell ref="BV353:BX354"/>
    <mergeCell ref="AR354:AS354"/>
    <mergeCell ref="BL354:BN354"/>
    <mergeCell ref="BO354:BQ354"/>
    <mergeCell ref="BV350:BX350"/>
    <mergeCell ref="BY350:CB365"/>
    <mergeCell ref="W353:X353"/>
    <mergeCell ref="AD353:AE353"/>
    <mergeCell ref="AR353:AS353"/>
    <mergeCell ref="BL353:BN353"/>
    <mergeCell ref="W360:X360"/>
    <mergeCell ref="AD360:AE360"/>
    <mergeCell ref="AR360:AS360"/>
    <mergeCell ref="W361:X361"/>
    <mergeCell ref="AD361:AE361"/>
    <mergeCell ref="AR361:AS361"/>
    <mergeCell ref="AD357:AE357"/>
    <mergeCell ref="AR357:AS357"/>
    <mergeCell ref="W358:X358"/>
    <mergeCell ref="AD358:AE358"/>
    <mergeCell ref="AR358:AS358"/>
    <mergeCell ref="W359:X359"/>
    <mergeCell ref="AD359:AE359"/>
    <mergeCell ref="AR359:AS359"/>
    <mergeCell ref="W355:X355"/>
    <mergeCell ref="AD355:AE355"/>
    <mergeCell ref="AR355:AS355"/>
    <mergeCell ref="W356:X356"/>
    <mergeCell ref="AD356:AE356"/>
    <mergeCell ref="AR356:AS356"/>
    <mergeCell ref="W357:X357"/>
    <mergeCell ref="W354:X354"/>
    <mergeCell ref="W352:X352"/>
    <mergeCell ref="AD352:AE352"/>
    <mergeCell ref="AR352:AS352"/>
    <mergeCell ref="BL352:BM352"/>
    <mergeCell ref="V349:V350"/>
    <mergeCell ref="W349:X350"/>
    <mergeCell ref="AB349:AC349"/>
    <mergeCell ref="AD349:AE350"/>
    <mergeCell ref="AF349:AJ349"/>
    <mergeCell ref="BG346:BH346"/>
    <mergeCell ref="AD347:AE347"/>
    <mergeCell ref="AL347:AM347"/>
    <mergeCell ref="AQ348:AQ349"/>
    <mergeCell ref="AR348:AS349"/>
    <mergeCell ref="AX348:AY348"/>
    <mergeCell ref="AK349:AO349"/>
    <mergeCell ref="AZ349:BB349"/>
    <mergeCell ref="BC349:BE349"/>
    <mergeCell ref="BF349:BH349"/>
    <mergeCell ref="BL351:BM351"/>
    <mergeCell ref="AQ346:AR346"/>
    <mergeCell ref="BI349:BK349"/>
    <mergeCell ref="BL349:BM349"/>
    <mergeCell ref="AR350:AS350"/>
    <mergeCell ref="BL350:BM350"/>
    <mergeCell ref="BL348:BN348"/>
    <mergeCell ref="X345:Z345"/>
    <mergeCell ref="AS345:AU345"/>
    <mergeCell ref="AB346:AB347"/>
    <mergeCell ref="AD346:AE346"/>
    <mergeCell ref="AI346:AI347"/>
    <mergeCell ref="BD346:BD347"/>
    <mergeCell ref="AD345:AE345"/>
    <mergeCell ref="AG345:AH345"/>
    <mergeCell ref="AJ345:AK345"/>
    <mergeCell ref="AN342:AP342"/>
    <mergeCell ref="CD342:CF342"/>
    <mergeCell ref="AN343:AP343"/>
    <mergeCell ref="BI343:BK343"/>
    <mergeCell ref="CD343:CF343"/>
    <mergeCell ref="BI342:BK342"/>
    <mergeCell ref="AC342:AE344"/>
    <mergeCell ref="AF342:AH344"/>
    <mergeCell ref="AI342:AK344"/>
    <mergeCell ref="X342:AB342"/>
    <mergeCell ref="X343:AB343"/>
    <mergeCell ref="X344:AB344"/>
    <mergeCell ref="AX342:AZ344"/>
    <mergeCell ref="BA342:BC344"/>
    <mergeCell ref="BD342:BF344"/>
    <mergeCell ref="AS342:AW342"/>
    <mergeCell ref="AS343:AW343"/>
    <mergeCell ref="AS344:AW344"/>
    <mergeCell ref="AQ342:AR342"/>
    <mergeCell ref="AQ343:AR343"/>
    <mergeCell ref="AQ344:AR344"/>
    <mergeCell ref="AQ345:AR345"/>
    <mergeCell ref="BG342:BH342"/>
    <mergeCell ref="AC341:AE341"/>
    <mergeCell ref="AF341:AH341"/>
    <mergeCell ref="AI341:AK341"/>
    <mergeCell ref="X340:AB340"/>
    <mergeCell ref="X341:AB341"/>
    <mergeCell ref="AX340:AZ340"/>
    <mergeCell ref="BA340:BC340"/>
    <mergeCell ref="BD340:BF340"/>
    <mergeCell ref="AX341:AZ341"/>
    <mergeCell ref="BA341:BC341"/>
    <mergeCell ref="BD341:BF341"/>
    <mergeCell ref="V337:W339"/>
    <mergeCell ref="X337:AE339"/>
    <mergeCell ref="AF337:AM339"/>
    <mergeCell ref="AN337:AP339"/>
    <mergeCell ref="AQ337:AR339"/>
    <mergeCell ref="AS337:AZ339"/>
    <mergeCell ref="BA337:BH339"/>
    <mergeCell ref="AN340:AP340"/>
    <mergeCell ref="AN341:AP341"/>
    <mergeCell ref="BG340:BH341"/>
    <mergeCell ref="AQ340:AR340"/>
    <mergeCell ref="AQ341:AR341"/>
    <mergeCell ref="AS340:AW340"/>
    <mergeCell ref="AS341:AW341"/>
    <mergeCell ref="AC340:AE340"/>
    <mergeCell ref="AF340:AH340"/>
    <mergeCell ref="AL331:AM333"/>
    <mergeCell ref="AN331:AO333"/>
    <mergeCell ref="BG331:BH333"/>
    <mergeCell ref="BI331:BJ333"/>
    <mergeCell ref="W332:X332"/>
    <mergeCell ref="AB332:AB334"/>
    <mergeCell ref="AD332:AE332"/>
    <mergeCell ref="AD333:AE333"/>
    <mergeCell ref="AD334:AE334"/>
    <mergeCell ref="BL322:BM322"/>
    <mergeCell ref="BL323:BN323"/>
    <mergeCell ref="BO323:BP323"/>
    <mergeCell ref="BR323:BR324"/>
    <mergeCell ref="BU323:BU324"/>
    <mergeCell ref="BV323:BX324"/>
    <mergeCell ref="BL324:BN324"/>
    <mergeCell ref="BO324:BQ324"/>
    <mergeCell ref="AQ327:BF327"/>
    <mergeCell ref="W330:X330"/>
    <mergeCell ref="Y330:Z330"/>
    <mergeCell ref="AC330:AE331"/>
    <mergeCell ref="Y331:Z333"/>
    <mergeCell ref="AG331:AH333"/>
    <mergeCell ref="AI331:AJ333"/>
    <mergeCell ref="AG330:AH330"/>
    <mergeCell ref="AI330:AJ330"/>
    <mergeCell ref="AL330:AM330"/>
    <mergeCell ref="AN330:AO330"/>
    <mergeCell ref="BC314:BE314"/>
    <mergeCell ref="BF314:BH314"/>
    <mergeCell ref="BI314:BK314"/>
    <mergeCell ref="V315:AE315"/>
    <mergeCell ref="CC316:CF316"/>
    <mergeCell ref="CC317:CF317"/>
    <mergeCell ref="W314:X314"/>
    <mergeCell ref="AD314:AE314"/>
    <mergeCell ref="AQ314:AS314"/>
    <mergeCell ref="AT314:AV314"/>
    <mergeCell ref="AW314:AY314"/>
    <mergeCell ref="AZ314:BB314"/>
    <mergeCell ref="BL307:BN317"/>
    <mergeCell ref="BO307:BQ317"/>
    <mergeCell ref="BR307:BX317"/>
    <mergeCell ref="W313:X313"/>
    <mergeCell ref="AD313:AE313"/>
    <mergeCell ref="AR313:AS313"/>
    <mergeCell ref="AD309:AE309"/>
    <mergeCell ref="AR309:AS309"/>
    <mergeCell ref="W310:X310"/>
    <mergeCell ref="AD310:AE310"/>
    <mergeCell ref="AR310:AS310"/>
    <mergeCell ref="W311:X311"/>
    <mergeCell ref="AD311:AE311"/>
    <mergeCell ref="AR311:AS311"/>
    <mergeCell ref="W307:X307"/>
    <mergeCell ref="AD307:AE307"/>
    <mergeCell ref="AR307:AS307"/>
    <mergeCell ref="W308:X308"/>
    <mergeCell ref="AD308:AE308"/>
    <mergeCell ref="AR308:AS308"/>
    <mergeCell ref="W309:X309"/>
    <mergeCell ref="BR305:BR306"/>
    <mergeCell ref="BU305:BU306"/>
    <mergeCell ref="BV305:BX306"/>
    <mergeCell ref="W306:X306"/>
    <mergeCell ref="AD306:AE306"/>
    <mergeCell ref="AR306:AS306"/>
    <mergeCell ref="BL306:BN306"/>
    <mergeCell ref="BO306:BQ306"/>
    <mergeCell ref="W304:X304"/>
    <mergeCell ref="AD304:AE304"/>
    <mergeCell ref="AR304:AS304"/>
    <mergeCell ref="BL304:BM304"/>
    <mergeCell ref="W305:X305"/>
    <mergeCell ref="AD305:AE305"/>
    <mergeCell ref="AR305:AS305"/>
    <mergeCell ref="BL305:BN305"/>
    <mergeCell ref="W312:X312"/>
    <mergeCell ref="AD312:AE312"/>
    <mergeCell ref="AR312:AS312"/>
    <mergeCell ref="AB298:AB299"/>
    <mergeCell ref="AD298:AE298"/>
    <mergeCell ref="AI298:AI299"/>
    <mergeCell ref="BD298:BD299"/>
    <mergeCell ref="AD297:AE297"/>
    <mergeCell ref="AG297:AH297"/>
    <mergeCell ref="AJ297:AK297"/>
    <mergeCell ref="AY297:AZ297"/>
    <mergeCell ref="BB297:BC297"/>
    <mergeCell ref="BE297:BF297"/>
    <mergeCell ref="BV302:BX302"/>
    <mergeCell ref="BY302:CB317"/>
    <mergeCell ref="CC302:CF315"/>
    <mergeCell ref="W303:X303"/>
    <mergeCell ref="AD303:AE303"/>
    <mergeCell ref="AR303:AS303"/>
    <mergeCell ref="BL303:BM303"/>
    <mergeCell ref="BO303:BQ304"/>
    <mergeCell ref="BR303:BS304"/>
    <mergeCell ref="BT303:BX304"/>
    <mergeCell ref="BI301:BK301"/>
    <mergeCell ref="BL301:BM301"/>
    <mergeCell ref="AR302:AS302"/>
    <mergeCell ref="BL302:BM302"/>
    <mergeCell ref="BO302:BQ302"/>
    <mergeCell ref="BR302:BU302"/>
    <mergeCell ref="BL300:BN300"/>
    <mergeCell ref="BO300:BQ301"/>
    <mergeCell ref="BR300:BX301"/>
    <mergeCell ref="CD295:CF295"/>
    <mergeCell ref="BI294:BK294"/>
    <mergeCell ref="AX294:AZ296"/>
    <mergeCell ref="BA294:BC296"/>
    <mergeCell ref="BD294:BF296"/>
    <mergeCell ref="AS294:AW294"/>
    <mergeCell ref="AS295:AW295"/>
    <mergeCell ref="AS296:AW296"/>
    <mergeCell ref="BT297:BU297"/>
    <mergeCell ref="BW297:BX297"/>
    <mergeCell ref="BZ297:CA297"/>
    <mergeCell ref="AN292:AP292"/>
    <mergeCell ref="AN293:AP293"/>
    <mergeCell ref="AQ292:AR292"/>
    <mergeCell ref="AQ293:AR293"/>
    <mergeCell ref="AQ294:AR294"/>
    <mergeCell ref="AQ295:AR295"/>
    <mergeCell ref="AQ296:AR296"/>
    <mergeCell ref="AQ297:AR297"/>
    <mergeCell ref="BG292:BH293"/>
    <mergeCell ref="BG294:BH294"/>
    <mergeCell ref="BG295:BH295"/>
    <mergeCell ref="BG296:BH296"/>
    <mergeCell ref="AX292:AZ292"/>
    <mergeCell ref="BA292:BC292"/>
    <mergeCell ref="BD292:BF292"/>
    <mergeCell ref="AX293:AZ293"/>
    <mergeCell ref="CD294:CF294"/>
    <mergeCell ref="CB295:CC295"/>
    <mergeCell ref="BL296:BM296"/>
    <mergeCell ref="BL297:BM297"/>
    <mergeCell ref="BL294:BM294"/>
    <mergeCell ref="V301:V302"/>
    <mergeCell ref="W301:X302"/>
    <mergeCell ref="AB301:AC301"/>
    <mergeCell ref="AD301:AE302"/>
    <mergeCell ref="AF301:AJ301"/>
    <mergeCell ref="BG298:BH298"/>
    <mergeCell ref="AD299:AE299"/>
    <mergeCell ref="AL299:AM299"/>
    <mergeCell ref="AQ300:AQ301"/>
    <mergeCell ref="AR300:AS301"/>
    <mergeCell ref="AX300:AY300"/>
    <mergeCell ref="AK301:AO301"/>
    <mergeCell ref="AZ301:BB301"/>
    <mergeCell ref="BC301:BE301"/>
    <mergeCell ref="BF301:BH301"/>
    <mergeCell ref="X297:Z297"/>
    <mergeCell ref="V292:W292"/>
    <mergeCell ref="AI292:AK292"/>
    <mergeCell ref="AC293:AE293"/>
    <mergeCell ref="AF293:AH293"/>
    <mergeCell ref="AI293:AK293"/>
    <mergeCell ref="AC294:AE296"/>
    <mergeCell ref="AF294:AH296"/>
    <mergeCell ref="AI294:AK296"/>
    <mergeCell ref="AN294:AP294"/>
    <mergeCell ref="AN295:AP295"/>
    <mergeCell ref="X292:AB292"/>
    <mergeCell ref="X293:AB293"/>
    <mergeCell ref="X294:AB294"/>
    <mergeCell ref="AQ298:AR298"/>
    <mergeCell ref="AS297:AU297"/>
    <mergeCell ref="BA293:BC293"/>
    <mergeCell ref="W282:X282"/>
    <mergeCell ref="Y282:Z282"/>
    <mergeCell ref="AC282:AE283"/>
    <mergeCell ref="Y283:Z285"/>
    <mergeCell ref="CD289:CF291"/>
    <mergeCell ref="AI282:AJ282"/>
    <mergeCell ref="AL282:AM282"/>
    <mergeCell ref="AN282:AO282"/>
    <mergeCell ref="BN292:BR292"/>
    <mergeCell ref="BS292:BU292"/>
    <mergeCell ref="BV292:BX292"/>
    <mergeCell ref="BY292:CA292"/>
    <mergeCell ref="BN293:BR293"/>
    <mergeCell ref="BS293:BU293"/>
    <mergeCell ref="BV293:BX293"/>
    <mergeCell ref="BY293:CA293"/>
    <mergeCell ref="V289:W291"/>
    <mergeCell ref="X289:AE291"/>
    <mergeCell ref="AF289:AM291"/>
    <mergeCell ref="AN289:AP291"/>
    <mergeCell ref="AQ289:AR291"/>
    <mergeCell ref="AS289:AZ291"/>
    <mergeCell ref="BA289:BH291"/>
    <mergeCell ref="BI289:BK291"/>
    <mergeCell ref="AL283:AM285"/>
    <mergeCell ref="AN283:AO285"/>
    <mergeCell ref="BG283:BH285"/>
    <mergeCell ref="BI283:BJ285"/>
    <mergeCell ref="W284:X284"/>
    <mergeCell ref="AB284:AB286"/>
    <mergeCell ref="AD284:AE284"/>
    <mergeCell ref="AD285:AE285"/>
    <mergeCell ref="AD286:AE286"/>
    <mergeCell ref="CC268:CF268"/>
    <mergeCell ref="CC269:CF269"/>
    <mergeCell ref="W266:X266"/>
    <mergeCell ref="AD266:AE266"/>
    <mergeCell ref="AQ266:AS266"/>
    <mergeCell ref="AT266:AV266"/>
    <mergeCell ref="AW266:AY266"/>
    <mergeCell ref="AZ266:BB266"/>
    <mergeCell ref="BL259:BN269"/>
    <mergeCell ref="BO259:BQ269"/>
    <mergeCell ref="BR259:BX269"/>
    <mergeCell ref="CC254:CF267"/>
    <mergeCell ref="W255:X255"/>
    <mergeCell ref="AD255:AE255"/>
    <mergeCell ref="AR255:AS255"/>
    <mergeCell ref="BL255:BM255"/>
    <mergeCell ref="BO255:BQ256"/>
    <mergeCell ref="BR255:BS256"/>
    <mergeCell ref="BT255:BX256"/>
    <mergeCell ref="AR264:AS264"/>
    <mergeCell ref="W265:X265"/>
    <mergeCell ref="AD265:AE265"/>
    <mergeCell ref="AR265:AS265"/>
    <mergeCell ref="AD261:AE261"/>
    <mergeCell ref="W258:X258"/>
    <mergeCell ref="AD258:AE258"/>
    <mergeCell ref="AR258:AS258"/>
    <mergeCell ref="W256:X256"/>
    <mergeCell ref="AD256:AE256"/>
    <mergeCell ref="AR256:AS256"/>
    <mergeCell ref="BL256:BM256"/>
    <mergeCell ref="W253:X254"/>
    <mergeCell ref="AB253:AC253"/>
    <mergeCell ref="AD253:AE254"/>
    <mergeCell ref="AF253:AJ253"/>
    <mergeCell ref="AR257:AS257"/>
    <mergeCell ref="BL257:BN257"/>
    <mergeCell ref="BY254:CB269"/>
    <mergeCell ref="W262:X262"/>
    <mergeCell ref="AD262:AE262"/>
    <mergeCell ref="AR262:AS262"/>
    <mergeCell ref="W263:X263"/>
    <mergeCell ref="AD263:AE263"/>
    <mergeCell ref="AR263:AS263"/>
    <mergeCell ref="W259:X259"/>
    <mergeCell ref="AD259:AE259"/>
    <mergeCell ref="AR259:AS259"/>
    <mergeCell ref="W260:X260"/>
    <mergeCell ref="AD260:AE260"/>
    <mergeCell ref="AR260:AS260"/>
    <mergeCell ref="W261:X261"/>
    <mergeCell ref="BI253:BK253"/>
    <mergeCell ref="BL253:BM253"/>
    <mergeCell ref="AR254:AS254"/>
    <mergeCell ref="BC266:BE266"/>
    <mergeCell ref="BF266:BH266"/>
    <mergeCell ref="BI266:BK266"/>
    <mergeCell ref="V267:AE267"/>
    <mergeCell ref="V253:V254"/>
    <mergeCell ref="AK253:AO253"/>
    <mergeCell ref="W257:X257"/>
    <mergeCell ref="AD257:AE257"/>
    <mergeCell ref="W264:X264"/>
    <mergeCell ref="BO254:BQ254"/>
    <mergeCell ref="BR254:BU254"/>
    <mergeCell ref="BL252:BN252"/>
    <mergeCell ref="BO252:BQ253"/>
    <mergeCell ref="BR252:BX253"/>
    <mergeCell ref="BY252:CB253"/>
    <mergeCell ref="CC252:CF253"/>
    <mergeCell ref="BO257:BP257"/>
    <mergeCell ref="BR257:BR258"/>
    <mergeCell ref="BU257:BU258"/>
    <mergeCell ref="BV257:BX258"/>
    <mergeCell ref="BL254:BM254"/>
    <mergeCell ref="BL258:BN258"/>
    <mergeCell ref="BO258:BQ258"/>
    <mergeCell ref="AQ252:AQ253"/>
    <mergeCell ref="AR252:AS253"/>
    <mergeCell ref="AX252:AY252"/>
    <mergeCell ref="AZ253:BB253"/>
    <mergeCell ref="BC253:BE253"/>
    <mergeCell ref="BF253:BH253"/>
    <mergeCell ref="AN246:AP246"/>
    <mergeCell ref="CD246:CF246"/>
    <mergeCell ref="AN247:AP247"/>
    <mergeCell ref="BI247:BK247"/>
    <mergeCell ref="CD247:CF247"/>
    <mergeCell ref="BI246:BK246"/>
    <mergeCell ref="AX246:AZ248"/>
    <mergeCell ref="BA246:BC248"/>
    <mergeCell ref="BD246:BF248"/>
    <mergeCell ref="AS246:AW246"/>
    <mergeCell ref="AS247:AW247"/>
    <mergeCell ref="AS248:AW248"/>
    <mergeCell ref="AC246:AE248"/>
    <mergeCell ref="AF246:AH248"/>
    <mergeCell ref="AI246:AK248"/>
    <mergeCell ref="AN244:AP244"/>
    <mergeCell ref="AN245:AP245"/>
    <mergeCell ref="AQ244:AR244"/>
    <mergeCell ref="AQ245:AR245"/>
    <mergeCell ref="AQ246:AR246"/>
    <mergeCell ref="AQ247:AR247"/>
    <mergeCell ref="AQ248:AR248"/>
    <mergeCell ref="BG247:BH247"/>
    <mergeCell ref="BG248:BH248"/>
    <mergeCell ref="AL244:AM245"/>
    <mergeCell ref="AL246:AM246"/>
    <mergeCell ref="AL247:AM247"/>
    <mergeCell ref="AL248:AM248"/>
    <mergeCell ref="BN247:BR247"/>
    <mergeCell ref="BG244:BH245"/>
    <mergeCell ref="BG246:BH246"/>
    <mergeCell ref="BL246:BM246"/>
    <mergeCell ref="CD241:CF243"/>
    <mergeCell ref="AX244:AZ244"/>
    <mergeCell ref="BA244:BC244"/>
    <mergeCell ref="BD244:BF244"/>
    <mergeCell ref="AX245:AZ245"/>
    <mergeCell ref="BA245:BC245"/>
    <mergeCell ref="BD245:BF245"/>
    <mergeCell ref="AS244:AW244"/>
    <mergeCell ref="AS245:AW245"/>
    <mergeCell ref="AC244:AE244"/>
    <mergeCell ref="AF244:AH244"/>
    <mergeCell ref="AI244:AK244"/>
    <mergeCell ref="AC245:AE245"/>
    <mergeCell ref="AF245:AH245"/>
    <mergeCell ref="AI245:AK245"/>
    <mergeCell ref="V241:W243"/>
    <mergeCell ref="X241:AE243"/>
    <mergeCell ref="AF241:AM243"/>
    <mergeCell ref="AN241:AP243"/>
    <mergeCell ref="AQ241:AR243"/>
    <mergeCell ref="AS241:AZ243"/>
    <mergeCell ref="BA241:BH243"/>
    <mergeCell ref="BI241:BK243"/>
    <mergeCell ref="BL241:BM243"/>
    <mergeCell ref="BN241:BU243"/>
    <mergeCell ref="BV241:CC243"/>
    <mergeCell ref="X244:AB244"/>
    <mergeCell ref="X245:AB245"/>
    <mergeCell ref="V244:W244"/>
    <mergeCell ref="V245:W245"/>
    <mergeCell ref="BL226:BM226"/>
    <mergeCell ref="BL227:BN227"/>
    <mergeCell ref="BO227:BP227"/>
    <mergeCell ref="BR227:BR228"/>
    <mergeCell ref="BU227:BU228"/>
    <mergeCell ref="BV227:BX228"/>
    <mergeCell ref="BL228:BN228"/>
    <mergeCell ref="BO228:BQ228"/>
    <mergeCell ref="AQ231:BF231"/>
    <mergeCell ref="W234:X234"/>
    <mergeCell ref="Y234:Z234"/>
    <mergeCell ref="AC234:AE235"/>
    <mergeCell ref="Y235:Z237"/>
    <mergeCell ref="AG235:AH237"/>
    <mergeCell ref="AI235:AJ237"/>
    <mergeCell ref="AN234:AO234"/>
    <mergeCell ref="AL235:AM237"/>
    <mergeCell ref="AG234:AH234"/>
    <mergeCell ref="AI234:AJ234"/>
    <mergeCell ref="AL234:AM234"/>
    <mergeCell ref="AB234:AB235"/>
    <mergeCell ref="AD212:AE212"/>
    <mergeCell ref="AR212:AS212"/>
    <mergeCell ref="W213:X213"/>
    <mergeCell ref="BL224:BM224"/>
    <mergeCell ref="BO224:BQ224"/>
    <mergeCell ref="BR224:BU224"/>
    <mergeCell ref="BV224:BX224"/>
    <mergeCell ref="BY224:CB239"/>
    <mergeCell ref="CC224:CF237"/>
    <mergeCell ref="BL225:BM225"/>
    <mergeCell ref="BO225:BQ226"/>
    <mergeCell ref="BR225:BS226"/>
    <mergeCell ref="BT225:BX226"/>
    <mergeCell ref="CC238:CF238"/>
    <mergeCell ref="CC239:CF239"/>
    <mergeCell ref="BL229:BN239"/>
    <mergeCell ref="BO229:BQ239"/>
    <mergeCell ref="BR229:BX239"/>
    <mergeCell ref="BL222:BN222"/>
    <mergeCell ref="BO222:BQ223"/>
    <mergeCell ref="BR222:BX223"/>
    <mergeCell ref="BY222:CB223"/>
    <mergeCell ref="CC222:CF223"/>
    <mergeCell ref="BL223:BM223"/>
    <mergeCell ref="AN235:AO237"/>
    <mergeCell ref="BG235:BH237"/>
    <mergeCell ref="BI235:BJ237"/>
    <mergeCell ref="W236:X236"/>
    <mergeCell ref="AB236:AB238"/>
    <mergeCell ref="AD236:AE236"/>
    <mergeCell ref="AD237:AE237"/>
    <mergeCell ref="AD238:AE238"/>
    <mergeCell ref="BL209:BN209"/>
    <mergeCell ref="W216:X216"/>
    <mergeCell ref="AD216:AE216"/>
    <mergeCell ref="AR216:AS216"/>
    <mergeCell ref="BI218:BK218"/>
    <mergeCell ref="V219:AE219"/>
    <mergeCell ref="CC220:CF220"/>
    <mergeCell ref="CC221:CF221"/>
    <mergeCell ref="W218:X218"/>
    <mergeCell ref="AD218:AE218"/>
    <mergeCell ref="AQ218:AS218"/>
    <mergeCell ref="AT218:AV218"/>
    <mergeCell ref="AW218:AY218"/>
    <mergeCell ref="AZ218:BB218"/>
    <mergeCell ref="BL211:BN221"/>
    <mergeCell ref="BO211:BQ221"/>
    <mergeCell ref="BR211:BX221"/>
    <mergeCell ref="W217:X217"/>
    <mergeCell ref="AD217:AE217"/>
    <mergeCell ref="AR217:AS217"/>
    <mergeCell ref="AD213:AE213"/>
    <mergeCell ref="AR213:AS213"/>
    <mergeCell ref="W214:X214"/>
    <mergeCell ref="AD214:AE214"/>
    <mergeCell ref="AR214:AS214"/>
    <mergeCell ref="W215:X215"/>
    <mergeCell ref="AD215:AE215"/>
    <mergeCell ref="AR215:AS215"/>
    <mergeCell ref="W211:X211"/>
    <mergeCell ref="AD211:AE211"/>
    <mergeCell ref="AR211:AS211"/>
    <mergeCell ref="CC206:CF219"/>
    <mergeCell ref="W207:X207"/>
    <mergeCell ref="AD207:AE207"/>
    <mergeCell ref="AR207:AS207"/>
    <mergeCell ref="BL207:BM207"/>
    <mergeCell ref="BO207:BQ208"/>
    <mergeCell ref="BR207:BS208"/>
    <mergeCell ref="BT207:BX208"/>
    <mergeCell ref="BI205:BK205"/>
    <mergeCell ref="BL205:BM205"/>
    <mergeCell ref="AR206:AS206"/>
    <mergeCell ref="BL206:BM206"/>
    <mergeCell ref="BO206:BQ206"/>
    <mergeCell ref="BR206:BU206"/>
    <mergeCell ref="BL204:BN204"/>
    <mergeCell ref="BO204:BQ205"/>
    <mergeCell ref="BR204:BX205"/>
    <mergeCell ref="CC204:CF205"/>
    <mergeCell ref="BF205:BH205"/>
    <mergeCell ref="BO209:BP209"/>
    <mergeCell ref="BR209:BR210"/>
    <mergeCell ref="BU209:BU210"/>
    <mergeCell ref="BV209:BX210"/>
    <mergeCell ref="W210:X210"/>
    <mergeCell ref="AD210:AE210"/>
    <mergeCell ref="AR210:AS210"/>
    <mergeCell ref="BL210:BN210"/>
    <mergeCell ref="BO210:BQ210"/>
    <mergeCell ref="W208:X208"/>
    <mergeCell ref="AD208:AE208"/>
    <mergeCell ref="AR208:AS208"/>
    <mergeCell ref="BL208:BM208"/>
    <mergeCell ref="W209:X209"/>
    <mergeCell ref="AN198:AP198"/>
    <mergeCell ref="CD198:CF198"/>
    <mergeCell ref="AN199:AP199"/>
    <mergeCell ref="BI199:BK199"/>
    <mergeCell ref="CD199:CF199"/>
    <mergeCell ref="BI198:BK198"/>
    <mergeCell ref="AX198:AZ200"/>
    <mergeCell ref="BA198:BC200"/>
    <mergeCell ref="BD198:BF200"/>
    <mergeCell ref="AS198:AW198"/>
    <mergeCell ref="AS199:AW199"/>
    <mergeCell ref="AS200:AW200"/>
    <mergeCell ref="AQ204:AQ205"/>
    <mergeCell ref="AR204:AS205"/>
    <mergeCell ref="AX204:AY204"/>
    <mergeCell ref="AK205:AO205"/>
    <mergeCell ref="AZ205:BB205"/>
    <mergeCell ref="BC205:BE205"/>
    <mergeCell ref="AN196:AP196"/>
    <mergeCell ref="AN197:AP197"/>
    <mergeCell ref="AQ196:AR196"/>
    <mergeCell ref="AQ197:AR197"/>
    <mergeCell ref="AQ198:AR198"/>
    <mergeCell ref="AQ199:AR199"/>
    <mergeCell ref="AQ200:AR200"/>
    <mergeCell ref="BN198:BR198"/>
    <mergeCell ref="BS198:BU200"/>
    <mergeCell ref="BV198:BX200"/>
    <mergeCell ref="BY198:CA200"/>
    <mergeCell ref="BN199:BR199"/>
    <mergeCell ref="BN200:BR200"/>
    <mergeCell ref="BL198:BM198"/>
    <mergeCell ref="CB198:CC198"/>
    <mergeCell ref="BL199:BM199"/>
    <mergeCell ref="CB199:CC199"/>
    <mergeCell ref="BL200:BM200"/>
    <mergeCell ref="BG196:BH197"/>
    <mergeCell ref="BG198:BH198"/>
    <mergeCell ref="BY197:CA197"/>
    <mergeCell ref="BG199:BH199"/>
    <mergeCell ref="BG200:BH200"/>
    <mergeCell ref="X201:Z201"/>
    <mergeCell ref="AS201:AU201"/>
    <mergeCell ref="V201:W201"/>
    <mergeCell ref="V202:W202"/>
    <mergeCell ref="AI202:AI203"/>
    <mergeCell ref="BD202:BD203"/>
    <mergeCell ref="AD201:AE201"/>
    <mergeCell ref="AG201:AH201"/>
    <mergeCell ref="AJ201:AK201"/>
    <mergeCell ref="AY201:AZ201"/>
    <mergeCell ref="BB201:BC201"/>
    <mergeCell ref="BE201:BF201"/>
    <mergeCell ref="AQ201:AR201"/>
    <mergeCell ref="AQ202:AR202"/>
    <mergeCell ref="AB202:AB203"/>
    <mergeCell ref="AD202:AE202"/>
    <mergeCell ref="CD193:CF195"/>
    <mergeCell ref="AX196:AZ196"/>
    <mergeCell ref="BA196:BC196"/>
    <mergeCell ref="BD196:BF196"/>
    <mergeCell ref="AX197:AZ197"/>
    <mergeCell ref="BA197:BC197"/>
    <mergeCell ref="BD197:BF197"/>
    <mergeCell ref="AS196:AW196"/>
    <mergeCell ref="AS197:AW197"/>
    <mergeCell ref="BN196:BR196"/>
    <mergeCell ref="BS196:BU196"/>
    <mergeCell ref="BV196:BX196"/>
    <mergeCell ref="BY196:CA196"/>
    <mergeCell ref="BN197:BR197"/>
    <mergeCell ref="BS197:BU197"/>
    <mergeCell ref="BV197:BX197"/>
    <mergeCell ref="BI193:BK195"/>
    <mergeCell ref="BL193:BM195"/>
    <mergeCell ref="BN193:BU195"/>
    <mergeCell ref="BV193:CC195"/>
    <mergeCell ref="BL196:BM196"/>
    <mergeCell ref="CB196:CC197"/>
    <mergeCell ref="CD196:CF196"/>
    <mergeCell ref="BL197:BM197"/>
    <mergeCell ref="CD197:CF197"/>
    <mergeCell ref="BY176:CB191"/>
    <mergeCell ref="CC176:CF189"/>
    <mergeCell ref="BL177:BM177"/>
    <mergeCell ref="BO177:BQ178"/>
    <mergeCell ref="BR177:BS178"/>
    <mergeCell ref="BT177:BX178"/>
    <mergeCell ref="CC190:CF190"/>
    <mergeCell ref="CC191:CF191"/>
    <mergeCell ref="AN187:AO189"/>
    <mergeCell ref="BG187:BH189"/>
    <mergeCell ref="BI187:BJ189"/>
    <mergeCell ref="W188:X188"/>
    <mergeCell ref="AB188:AB190"/>
    <mergeCell ref="AD188:AE188"/>
    <mergeCell ref="AD189:AE189"/>
    <mergeCell ref="AD190:AE190"/>
    <mergeCell ref="BL181:BN191"/>
    <mergeCell ref="BO181:BQ191"/>
    <mergeCell ref="BR181:BX191"/>
    <mergeCell ref="AQ183:BF183"/>
    <mergeCell ref="W186:X186"/>
    <mergeCell ref="BR174:BX175"/>
    <mergeCell ref="Y186:Z186"/>
    <mergeCell ref="AC186:AE187"/>
    <mergeCell ref="Y187:Z189"/>
    <mergeCell ref="AG187:AH189"/>
    <mergeCell ref="AI187:AJ189"/>
    <mergeCell ref="AN186:AO186"/>
    <mergeCell ref="AB186:AB187"/>
    <mergeCell ref="BR158:BU158"/>
    <mergeCell ref="BR159:BS160"/>
    <mergeCell ref="BT159:BX160"/>
    <mergeCell ref="V157:V158"/>
    <mergeCell ref="AR168:AS168"/>
    <mergeCell ref="W169:X169"/>
    <mergeCell ref="AD169:AE169"/>
    <mergeCell ref="AR169:AS169"/>
    <mergeCell ref="AD165:AE165"/>
    <mergeCell ref="AR165:AS165"/>
    <mergeCell ref="W163:X163"/>
    <mergeCell ref="AD163:AE163"/>
    <mergeCell ref="AR163:AS163"/>
    <mergeCell ref="BL180:BN180"/>
    <mergeCell ref="BO180:BQ180"/>
    <mergeCell ref="BL176:BM176"/>
    <mergeCell ref="BO176:BQ176"/>
    <mergeCell ref="BR176:BU176"/>
    <mergeCell ref="BV176:BX176"/>
    <mergeCell ref="BC157:BE157"/>
    <mergeCell ref="BF157:BH157"/>
    <mergeCell ref="AR158:AS158"/>
    <mergeCell ref="BU179:BU180"/>
    <mergeCell ref="W167:X167"/>
    <mergeCell ref="AD167:AE167"/>
    <mergeCell ref="AR167:AS167"/>
    <mergeCell ref="CC174:CF175"/>
    <mergeCell ref="BL175:BM175"/>
    <mergeCell ref="BC170:BE170"/>
    <mergeCell ref="BF170:BH170"/>
    <mergeCell ref="BI170:BK170"/>
    <mergeCell ref="V171:AE171"/>
    <mergeCell ref="CC172:CF172"/>
    <mergeCell ref="CC173:CF173"/>
    <mergeCell ref="W170:X170"/>
    <mergeCell ref="AD170:AE170"/>
    <mergeCell ref="AQ170:AS170"/>
    <mergeCell ref="AT170:AV170"/>
    <mergeCell ref="AW170:AY170"/>
    <mergeCell ref="AZ170:BB170"/>
    <mergeCell ref="BL163:BN173"/>
    <mergeCell ref="BO163:BQ173"/>
    <mergeCell ref="BR163:BX173"/>
    <mergeCell ref="W164:X164"/>
    <mergeCell ref="AD164:AE164"/>
    <mergeCell ref="BL174:BN174"/>
    <mergeCell ref="BO174:BQ175"/>
    <mergeCell ref="CC156:CF157"/>
    <mergeCell ref="BO161:BP161"/>
    <mergeCell ref="BR161:BR162"/>
    <mergeCell ref="BU161:BU162"/>
    <mergeCell ref="BV161:BX162"/>
    <mergeCell ref="W162:X162"/>
    <mergeCell ref="AD162:AE162"/>
    <mergeCell ref="AR162:AS162"/>
    <mergeCell ref="BL162:BN162"/>
    <mergeCell ref="BO162:BQ162"/>
    <mergeCell ref="W160:X160"/>
    <mergeCell ref="AD160:AE160"/>
    <mergeCell ref="AR160:AS160"/>
    <mergeCell ref="BL160:BM160"/>
    <mergeCell ref="W157:X158"/>
    <mergeCell ref="AB157:AC157"/>
    <mergeCell ref="AD157:AE158"/>
    <mergeCell ref="AF157:AJ157"/>
    <mergeCell ref="AR161:AS161"/>
    <mergeCell ref="BL161:BN161"/>
    <mergeCell ref="CC158:CF171"/>
    <mergeCell ref="W159:X159"/>
    <mergeCell ref="AD159:AE159"/>
    <mergeCell ref="AR159:AS159"/>
    <mergeCell ref="BL159:BM159"/>
    <mergeCell ref="BO159:BQ160"/>
    <mergeCell ref="AQ156:AQ157"/>
    <mergeCell ref="AR156:AS157"/>
    <mergeCell ref="AR164:AS164"/>
    <mergeCell ref="W165:X165"/>
    <mergeCell ref="BI157:BK157"/>
    <mergeCell ref="BL158:BM158"/>
    <mergeCell ref="X153:Z153"/>
    <mergeCell ref="AS153:AU153"/>
    <mergeCell ref="AB154:AB155"/>
    <mergeCell ref="AD154:AE154"/>
    <mergeCell ref="AI154:AI155"/>
    <mergeCell ref="BD154:BD155"/>
    <mergeCell ref="AY153:AZ153"/>
    <mergeCell ref="BB153:BC153"/>
    <mergeCell ref="BE153:BF153"/>
    <mergeCell ref="AQ153:AR153"/>
    <mergeCell ref="AQ154:AR154"/>
    <mergeCell ref="AN150:AP150"/>
    <mergeCell ref="BL156:BN156"/>
    <mergeCell ref="BO156:BQ157"/>
    <mergeCell ref="BR156:BX157"/>
    <mergeCell ref="BL157:BM157"/>
    <mergeCell ref="BL153:BM153"/>
    <mergeCell ref="BN153:BP153"/>
    <mergeCell ref="BL154:BM154"/>
    <mergeCell ref="BG150:BH150"/>
    <mergeCell ref="BG151:BH151"/>
    <mergeCell ref="BG152:BH152"/>
    <mergeCell ref="AZ157:BB157"/>
    <mergeCell ref="BN151:BR151"/>
    <mergeCell ref="BN152:BR152"/>
    <mergeCell ref="CD150:CF150"/>
    <mergeCell ref="AN151:AP151"/>
    <mergeCell ref="BI151:BK151"/>
    <mergeCell ref="CD151:CF151"/>
    <mergeCell ref="BI150:BK150"/>
    <mergeCell ref="AX150:AZ152"/>
    <mergeCell ref="BA150:BC152"/>
    <mergeCell ref="BD150:BF152"/>
    <mergeCell ref="AS150:AW150"/>
    <mergeCell ref="AS151:AW151"/>
    <mergeCell ref="AS152:AW152"/>
    <mergeCell ref="AC150:AE152"/>
    <mergeCell ref="AF150:AH152"/>
    <mergeCell ref="AI150:AK152"/>
    <mergeCell ref="AN148:AP148"/>
    <mergeCell ref="AN149:AP149"/>
    <mergeCell ref="AQ148:AR148"/>
    <mergeCell ref="AQ149:AR149"/>
    <mergeCell ref="AQ150:AR150"/>
    <mergeCell ref="AQ151:AR151"/>
    <mergeCell ref="AQ152:AR152"/>
    <mergeCell ref="BV148:BX148"/>
    <mergeCell ref="BY148:CA148"/>
    <mergeCell ref="BN149:BR149"/>
    <mergeCell ref="BS149:BU149"/>
    <mergeCell ref="BV149:BX149"/>
    <mergeCell ref="BY149:CA149"/>
    <mergeCell ref="BN150:BR150"/>
    <mergeCell ref="BS150:BU152"/>
    <mergeCell ref="BV150:BX152"/>
    <mergeCell ref="BY150:CA152"/>
    <mergeCell ref="BG148:BH149"/>
    <mergeCell ref="CD145:CF147"/>
    <mergeCell ref="AX148:AZ148"/>
    <mergeCell ref="BA148:BC148"/>
    <mergeCell ref="BD148:BF148"/>
    <mergeCell ref="AX149:AZ149"/>
    <mergeCell ref="BA149:BC149"/>
    <mergeCell ref="BD149:BF149"/>
    <mergeCell ref="AS148:AW148"/>
    <mergeCell ref="AS149:AW149"/>
    <mergeCell ref="AC148:AE148"/>
    <mergeCell ref="AF148:AH148"/>
    <mergeCell ref="AI148:AK148"/>
    <mergeCell ref="AC149:AE149"/>
    <mergeCell ref="AF149:AH149"/>
    <mergeCell ref="AI149:AK149"/>
    <mergeCell ref="V145:W147"/>
    <mergeCell ref="X145:AE147"/>
    <mergeCell ref="AF145:AM147"/>
    <mergeCell ref="AN145:AP147"/>
    <mergeCell ref="AQ145:AR147"/>
    <mergeCell ref="AS145:AZ147"/>
    <mergeCell ref="BA145:BH147"/>
    <mergeCell ref="BI145:BK147"/>
    <mergeCell ref="BL145:BM147"/>
    <mergeCell ref="BN145:BU147"/>
    <mergeCell ref="BV145:CC147"/>
    <mergeCell ref="X148:AB148"/>
    <mergeCell ref="X149:AB149"/>
    <mergeCell ref="V148:W148"/>
    <mergeCell ref="V149:W149"/>
    <mergeCell ref="BN148:BR148"/>
    <mergeCell ref="BS148:BU148"/>
    <mergeCell ref="AN139:AO141"/>
    <mergeCell ref="BG139:BH141"/>
    <mergeCell ref="BI139:BJ141"/>
    <mergeCell ref="W140:X140"/>
    <mergeCell ref="AB140:AB142"/>
    <mergeCell ref="AD140:AE140"/>
    <mergeCell ref="AD141:AE141"/>
    <mergeCell ref="AD142:AE142"/>
    <mergeCell ref="BL130:BM130"/>
    <mergeCell ref="BL131:BN131"/>
    <mergeCell ref="BO131:BP131"/>
    <mergeCell ref="BR131:BR132"/>
    <mergeCell ref="BU131:BU132"/>
    <mergeCell ref="BV131:BX132"/>
    <mergeCell ref="BL132:BN132"/>
    <mergeCell ref="BO132:BQ132"/>
    <mergeCell ref="AQ135:BF135"/>
    <mergeCell ref="W138:X138"/>
    <mergeCell ref="Y138:Z138"/>
    <mergeCell ref="AC138:AE139"/>
    <mergeCell ref="Y139:Z141"/>
    <mergeCell ref="AG139:AH141"/>
    <mergeCell ref="AI139:AJ141"/>
    <mergeCell ref="AN138:AO138"/>
    <mergeCell ref="CC128:CF141"/>
    <mergeCell ref="BL129:BM129"/>
    <mergeCell ref="BO129:BQ130"/>
    <mergeCell ref="BR129:BS130"/>
    <mergeCell ref="BT129:BX130"/>
    <mergeCell ref="CC142:CF142"/>
    <mergeCell ref="CC143:CF143"/>
    <mergeCell ref="BL133:BN143"/>
    <mergeCell ref="BO133:BQ143"/>
    <mergeCell ref="BR133:BX143"/>
    <mergeCell ref="BL126:BN126"/>
    <mergeCell ref="BO126:BQ127"/>
    <mergeCell ref="BR126:BX127"/>
    <mergeCell ref="BY126:CB127"/>
    <mergeCell ref="CC126:CF127"/>
    <mergeCell ref="BL127:BM127"/>
    <mergeCell ref="BF122:BH122"/>
    <mergeCell ref="BI122:BK122"/>
    <mergeCell ref="BL128:BM128"/>
    <mergeCell ref="BO128:BQ128"/>
    <mergeCell ref="BR128:BU128"/>
    <mergeCell ref="BV128:BX128"/>
    <mergeCell ref="CC124:CF124"/>
    <mergeCell ref="CC125:CF125"/>
    <mergeCell ref="CC110:CF123"/>
    <mergeCell ref="BR110:BU110"/>
    <mergeCell ref="BL115:BN125"/>
    <mergeCell ref="BO115:BQ125"/>
    <mergeCell ref="BR115:BX125"/>
    <mergeCell ref="BY128:CB143"/>
    <mergeCell ref="W121:X121"/>
    <mergeCell ref="AD121:AE121"/>
    <mergeCell ref="AR121:AS121"/>
    <mergeCell ref="AD117:AE117"/>
    <mergeCell ref="AR117:AS117"/>
    <mergeCell ref="W118:X118"/>
    <mergeCell ref="AD118:AE118"/>
    <mergeCell ref="AR118:AS118"/>
    <mergeCell ref="W119:X119"/>
    <mergeCell ref="AD119:AE119"/>
    <mergeCell ref="AR119:AS119"/>
    <mergeCell ref="W115:X115"/>
    <mergeCell ref="AD115:AE115"/>
    <mergeCell ref="AR115:AS115"/>
    <mergeCell ref="W116:X116"/>
    <mergeCell ref="AD116:AE116"/>
    <mergeCell ref="AR116:AS116"/>
    <mergeCell ref="AR120:AS120"/>
    <mergeCell ref="CC108:CF109"/>
    <mergeCell ref="BO113:BP113"/>
    <mergeCell ref="BR113:BR114"/>
    <mergeCell ref="BL112:BM112"/>
    <mergeCell ref="W113:X113"/>
    <mergeCell ref="AD113:AE113"/>
    <mergeCell ref="AR113:AS113"/>
    <mergeCell ref="BL113:BN113"/>
    <mergeCell ref="W111:X111"/>
    <mergeCell ref="AD111:AE111"/>
    <mergeCell ref="AR114:AS114"/>
    <mergeCell ref="BL114:BN114"/>
    <mergeCell ref="BO114:BQ114"/>
    <mergeCell ref="W112:X112"/>
    <mergeCell ref="AD112:AE112"/>
    <mergeCell ref="AR112:AS112"/>
    <mergeCell ref="BO111:BQ112"/>
    <mergeCell ref="W109:X110"/>
    <mergeCell ref="AB109:AC109"/>
    <mergeCell ref="AD109:AE110"/>
    <mergeCell ref="AF109:AJ109"/>
    <mergeCell ref="AQ108:AQ109"/>
    <mergeCell ref="AR108:AS109"/>
    <mergeCell ref="AX108:AY108"/>
    <mergeCell ref="AK109:AO109"/>
    <mergeCell ref="AZ109:BB109"/>
    <mergeCell ref="BC109:BE109"/>
    <mergeCell ref="BF109:BH109"/>
    <mergeCell ref="BR111:BS112"/>
    <mergeCell ref="BT111:BX112"/>
    <mergeCell ref="AR111:AS111"/>
    <mergeCell ref="BL111:BM111"/>
    <mergeCell ref="BI109:BK109"/>
    <mergeCell ref="BL109:BM109"/>
    <mergeCell ref="AR110:AS110"/>
    <mergeCell ref="BL110:BM110"/>
    <mergeCell ref="AS105:AU105"/>
    <mergeCell ref="BO110:BQ110"/>
    <mergeCell ref="AD106:AE106"/>
    <mergeCell ref="AI106:AI107"/>
    <mergeCell ref="BD106:BD107"/>
    <mergeCell ref="AD105:AE105"/>
    <mergeCell ref="AG105:AH105"/>
    <mergeCell ref="AJ105:AK105"/>
    <mergeCell ref="AY105:AZ105"/>
    <mergeCell ref="BB105:BC105"/>
    <mergeCell ref="BE105:BF105"/>
    <mergeCell ref="BL108:BN108"/>
    <mergeCell ref="BO108:BQ109"/>
    <mergeCell ref="BA97:BH99"/>
    <mergeCell ref="V102:W102"/>
    <mergeCell ref="V103:W103"/>
    <mergeCell ref="V104:W104"/>
    <mergeCell ref="V105:W105"/>
    <mergeCell ref="V106:W106"/>
    <mergeCell ref="AN100:AP100"/>
    <mergeCell ref="AN101:AP101"/>
    <mergeCell ref="AQ106:AR106"/>
    <mergeCell ref="BD100:BF100"/>
    <mergeCell ref="AX101:AZ101"/>
    <mergeCell ref="BA101:BC101"/>
    <mergeCell ref="BD101:BF101"/>
    <mergeCell ref="AX102:AZ104"/>
    <mergeCell ref="AS103:AW103"/>
    <mergeCell ref="AS104:AW104"/>
    <mergeCell ref="BG106:BH106"/>
    <mergeCell ref="BG100:BH101"/>
    <mergeCell ref="BG102:BH102"/>
    <mergeCell ref="BG103:BH103"/>
    <mergeCell ref="BG104:BH104"/>
    <mergeCell ref="AS100:AW100"/>
    <mergeCell ref="AS101:AW101"/>
    <mergeCell ref="AC100:AE100"/>
    <mergeCell ref="AF100:AH100"/>
    <mergeCell ref="AI100:AK100"/>
    <mergeCell ref="AC101:AE101"/>
    <mergeCell ref="AF101:AH101"/>
    <mergeCell ref="AI101:AK101"/>
    <mergeCell ref="AC102:AE104"/>
    <mergeCell ref="AF102:AH104"/>
    <mergeCell ref="AI102:AK104"/>
    <mergeCell ref="CD102:CF102"/>
    <mergeCell ref="AN103:AP103"/>
    <mergeCell ref="BI103:BK103"/>
    <mergeCell ref="CD103:CF103"/>
    <mergeCell ref="BI102:BK102"/>
    <mergeCell ref="X102:AB102"/>
    <mergeCell ref="X103:AB103"/>
    <mergeCell ref="X104:AB104"/>
    <mergeCell ref="BN102:BR102"/>
    <mergeCell ref="BS102:BU104"/>
    <mergeCell ref="BV102:BX104"/>
    <mergeCell ref="BY102:CA104"/>
    <mergeCell ref="BN103:BR103"/>
    <mergeCell ref="BN104:BR104"/>
    <mergeCell ref="BL97:BM99"/>
    <mergeCell ref="BN97:BU99"/>
    <mergeCell ref="BV97:CC99"/>
    <mergeCell ref="CD97:CF99"/>
    <mergeCell ref="X100:AB100"/>
    <mergeCell ref="X101:AB101"/>
    <mergeCell ref="BN100:BR100"/>
    <mergeCell ref="BS100:BU100"/>
    <mergeCell ref="BV100:BX100"/>
    <mergeCell ref="BY100:CA100"/>
    <mergeCell ref="BN101:BR101"/>
    <mergeCell ref="BS101:BU101"/>
    <mergeCell ref="BV101:BX101"/>
    <mergeCell ref="BY101:CA101"/>
    <mergeCell ref="BL104:BM104"/>
    <mergeCell ref="AN97:AP99"/>
    <mergeCell ref="AQ97:AR99"/>
    <mergeCell ref="AS97:AZ99"/>
    <mergeCell ref="CC80:CF93"/>
    <mergeCell ref="AI90:AJ90"/>
    <mergeCell ref="BL81:BM81"/>
    <mergeCell ref="BO81:BQ82"/>
    <mergeCell ref="BR81:BS82"/>
    <mergeCell ref="BT81:BX82"/>
    <mergeCell ref="CC94:CF94"/>
    <mergeCell ref="CC95:CF95"/>
    <mergeCell ref="BL85:BN95"/>
    <mergeCell ref="BO85:BQ95"/>
    <mergeCell ref="BR85:BX95"/>
    <mergeCell ref="BL78:BN78"/>
    <mergeCell ref="BO78:BQ79"/>
    <mergeCell ref="BR78:BX79"/>
    <mergeCell ref="BY78:CB79"/>
    <mergeCell ref="CC78:CF79"/>
    <mergeCell ref="BL79:BM79"/>
    <mergeCell ref="AN91:AO93"/>
    <mergeCell ref="BG91:BH93"/>
    <mergeCell ref="BI91:BJ93"/>
    <mergeCell ref="BL82:BM82"/>
    <mergeCell ref="BL83:BN83"/>
    <mergeCell ref="BO83:BP83"/>
    <mergeCell ref="BR83:BR84"/>
    <mergeCell ref="BU83:BU84"/>
    <mergeCell ref="BV83:BX84"/>
    <mergeCell ref="BL84:BN84"/>
    <mergeCell ref="BO84:BQ84"/>
    <mergeCell ref="BL80:BM80"/>
    <mergeCell ref="BO80:BQ80"/>
    <mergeCell ref="BR80:BU80"/>
    <mergeCell ref="BV80:BX80"/>
    <mergeCell ref="CC62:CF75"/>
    <mergeCell ref="W63:X63"/>
    <mergeCell ref="AD63:AE63"/>
    <mergeCell ref="AR63:AS63"/>
    <mergeCell ref="BL63:BM63"/>
    <mergeCell ref="BO63:BQ64"/>
    <mergeCell ref="BR63:BS64"/>
    <mergeCell ref="BT63:BX64"/>
    <mergeCell ref="BL61:BM61"/>
    <mergeCell ref="AR62:AS62"/>
    <mergeCell ref="BL62:BM62"/>
    <mergeCell ref="BO62:BQ62"/>
    <mergeCell ref="V75:AE75"/>
    <mergeCell ref="CC76:CF76"/>
    <mergeCell ref="CC77:CF77"/>
    <mergeCell ref="W74:X74"/>
    <mergeCell ref="AD74:AE74"/>
    <mergeCell ref="AQ74:AS74"/>
    <mergeCell ref="AT74:AV74"/>
    <mergeCell ref="AW74:AY74"/>
    <mergeCell ref="AZ74:BB74"/>
    <mergeCell ref="BL67:BN77"/>
    <mergeCell ref="BO67:BQ77"/>
    <mergeCell ref="BR67:BX77"/>
    <mergeCell ref="W65:X65"/>
    <mergeCell ref="AD65:AE65"/>
    <mergeCell ref="AR65:AS65"/>
    <mergeCell ref="BL65:BN65"/>
    <mergeCell ref="W72:X72"/>
    <mergeCell ref="AD72:AE72"/>
    <mergeCell ref="AR72:AS72"/>
    <mergeCell ref="W73:X73"/>
    <mergeCell ref="BV65:BX66"/>
    <mergeCell ref="W66:X66"/>
    <mergeCell ref="AD66:AE66"/>
    <mergeCell ref="AR66:AS66"/>
    <mergeCell ref="BL66:BN66"/>
    <mergeCell ref="BO66:BQ66"/>
    <mergeCell ref="W64:X64"/>
    <mergeCell ref="AD64:AE64"/>
    <mergeCell ref="AR64:AS64"/>
    <mergeCell ref="BL64:BM64"/>
    <mergeCell ref="BV62:BX62"/>
    <mergeCell ref="BY62:CB77"/>
    <mergeCell ref="W68:X68"/>
    <mergeCell ref="AD68:AE68"/>
    <mergeCell ref="AR68:AS68"/>
    <mergeCell ref="W69:X69"/>
    <mergeCell ref="AD73:AE73"/>
    <mergeCell ref="AR73:AS73"/>
    <mergeCell ref="AD69:AE69"/>
    <mergeCell ref="W70:X70"/>
    <mergeCell ref="AD70:AE70"/>
    <mergeCell ref="W71:X71"/>
    <mergeCell ref="AD71:AE71"/>
    <mergeCell ref="AD67:AE67"/>
    <mergeCell ref="V61:V62"/>
    <mergeCell ref="W61:X62"/>
    <mergeCell ref="AB61:AC61"/>
    <mergeCell ref="AD61:AE62"/>
    <mergeCell ref="AF61:AJ61"/>
    <mergeCell ref="BG58:BH58"/>
    <mergeCell ref="AD59:AE59"/>
    <mergeCell ref="AL59:AM59"/>
    <mergeCell ref="AQ60:AQ61"/>
    <mergeCell ref="AR60:AS61"/>
    <mergeCell ref="AX60:AY60"/>
    <mergeCell ref="AK61:AO61"/>
    <mergeCell ref="AZ61:BB61"/>
    <mergeCell ref="BC61:BE61"/>
    <mergeCell ref="BF61:BH61"/>
    <mergeCell ref="X57:Z57"/>
    <mergeCell ref="AS57:AU57"/>
    <mergeCell ref="AB58:AB59"/>
    <mergeCell ref="AD58:AE58"/>
    <mergeCell ref="AI58:AI59"/>
    <mergeCell ref="BD58:BD59"/>
    <mergeCell ref="AN52:AP52"/>
    <mergeCell ref="AN53:AP53"/>
    <mergeCell ref="AL52:AM53"/>
    <mergeCell ref="BG52:BH53"/>
    <mergeCell ref="AS52:AW52"/>
    <mergeCell ref="AS53:AW53"/>
    <mergeCell ref="BY53:CA53"/>
    <mergeCell ref="CD54:CF54"/>
    <mergeCell ref="AN55:AP55"/>
    <mergeCell ref="BI55:BK55"/>
    <mergeCell ref="CD55:CF55"/>
    <mergeCell ref="BI54:BK54"/>
    <mergeCell ref="AC54:AE56"/>
    <mergeCell ref="AF54:AH56"/>
    <mergeCell ref="AI54:AK56"/>
    <mergeCell ref="X54:AB54"/>
    <mergeCell ref="X55:AB55"/>
    <mergeCell ref="X56:AB56"/>
    <mergeCell ref="BG56:BH56"/>
    <mergeCell ref="AS55:AW55"/>
    <mergeCell ref="AS56:AW56"/>
    <mergeCell ref="BV53:BX53"/>
    <mergeCell ref="BN54:BR54"/>
    <mergeCell ref="AL56:AM56"/>
    <mergeCell ref="BN53:BR53"/>
    <mergeCell ref="BS53:BU53"/>
    <mergeCell ref="CB54:CC54"/>
    <mergeCell ref="BL55:BM55"/>
    <mergeCell ref="CB55:CC55"/>
    <mergeCell ref="BL56:BM56"/>
    <mergeCell ref="Y43:Z45"/>
    <mergeCell ref="AG43:AH45"/>
    <mergeCell ref="AI43:AJ45"/>
    <mergeCell ref="AN42:AO42"/>
    <mergeCell ref="AB42:AB43"/>
    <mergeCell ref="AG42:AH42"/>
    <mergeCell ref="AI42:AJ42"/>
    <mergeCell ref="AL42:AM42"/>
    <mergeCell ref="BV49:CC51"/>
    <mergeCell ref="CD49:CF51"/>
    <mergeCell ref="AC52:AE52"/>
    <mergeCell ref="AF52:AH52"/>
    <mergeCell ref="AI52:AK52"/>
    <mergeCell ref="AC53:AE53"/>
    <mergeCell ref="AF53:AH53"/>
    <mergeCell ref="AI53:AK53"/>
    <mergeCell ref="X52:AB52"/>
    <mergeCell ref="X53:AB53"/>
    <mergeCell ref="AX52:AZ52"/>
    <mergeCell ref="BA52:BC52"/>
    <mergeCell ref="BD52:BF52"/>
    <mergeCell ref="AX53:AZ53"/>
    <mergeCell ref="BA53:BC53"/>
    <mergeCell ref="X49:AE51"/>
    <mergeCell ref="AF49:AM51"/>
    <mergeCell ref="AN49:AP51"/>
    <mergeCell ref="AQ49:AR51"/>
    <mergeCell ref="AS49:AZ51"/>
    <mergeCell ref="BA49:BH51"/>
    <mergeCell ref="BI49:BK51"/>
    <mergeCell ref="BL49:BM51"/>
    <mergeCell ref="BN49:BU51"/>
    <mergeCell ref="BR32:BU32"/>
    <mergeCell ref="BV32:BX32"/>
    <mergeCell ref="BL33:BM33"/>
    <mergeCell ref="BO33:BQ34"/>
    <mergeCell ref="BR33:BS34"/>
    <mergeCell ref="BT33:BX34"/>
    <mergeCell ref="W19:X19"/>
    <mergeCell ref="AD19:AE19"/>
    <mergeCell ref="AR19:AS19"/>
    <mergeCell ref="BL19:BN29"/>
    <mergeCell ref="BO19:BQ29"/>
    <mergeCell ref="W23:X23"/>
    <mergeCell ref="AD23:AE23"/>
    <mergeCell ref="AR23:AS23"/>
    <mergeCell ref="W24:X24"/>
    <mergeCell ref="BR37:BX47"/>
    <mergeCell ref="BG43:BH45"/>
    <mergeCell ref="BI43:BJ45"/>
    <mergeCell ref="W44:X44"/>
    <mergeCell ref="AB44:AB46"/>
    <mergeCell ref="AD44:AE44"/>
    <mergeCell ref="AD45:AE45"/>
    <mergeCell ref="AD46:AE46"/>
    <mergeCell ref="BL34:BM34"/>
    <mergeCell ref="BL35:BN35"/>
    <mergeCell ref="BO35:BP35"/>
    <mergeCell ref="BR35:BR36"/>
    <mergeCell ref="BU35:BU36"/>
    <mergeCell ref="AQ39:BF39"/>
    <mergeCell ref="W42:X42"/>
    <mergeCell ref="Y42:Z42"/>
    <mergeCell ref="AC42:AE43"/>
    <mergeCell ref="AD17:AE17"/>
    <mergeCell ref="AR17:AS17"/>
    <mergeCell ref="BL17:BN17"/>
    <mergeCell ref="BO17:BP17"/>
    <mergeCell ref="BR17:BR18"/>
    <mergeCell ref="W18:X18"/>
    <mergeCell ref="AD18:AE18"/>
    <mergeCell ref="AR18:AS18"/>
    <mergeCell ref="BL18:BN18"/>
    <mergeCell ref="V27:AE27"/>
    <mergeCell ref="AT26:AV26"/>
    <mergeCell ref="AW26:AY26"/>
    <mergeCell ref="AZ26:BB26"/>
    <mergeCell ref="BC26:BE26"/>
    <mergeCell ref="BF26:BH26"/>
    <mergeCell ref="BI26:BK26"/>
    <mergeCell ref="AD24:AE24"/>
    <mergeCell ref="AR24:AS24"/>
    <mergeCell ref="W25:X25"/>
    <mergeCell ref="AD25:AE25"/>
    <mergeCell ref="AR25:AS25"/>
    <mergeCell ref="W26:X26"/>
    <mergeCell ref="AQ26:AS26"/>
    <mergeCell ref="BR19:BX29"/>
    <mergeCell ref="W20:X20"/>
    <mergeCell ref="AD20:AE20"/>
    <mergeCell ref="AR20:AS20"/>
    <mergeCell ref="W21:X21"/>
    <mergeCell ref="AD21:AE21"/>
    <mergeCell ref="AR21:AS21"/>
    <mergeCell ref="W22:X22"/>
    <mergeCell ref="AD22:AE22"/>
    <mergeCell ref="AZ13:BB13"/>
    <mergeCell ref="BC13:BE13"/>
    <mergeCell ref="BF13:BH13"/>
    <mergeCell ref="AR12:AS13"/>
    <mergeCell ref="AX12:AY12"/>
    <mergeCell ref="BL12:BN12"/>
    <mergeCell ref="BO12:BQ13"/>
    <mergeCell ref="BR12:BX13"/>
    <mergeCell ref="BY12:CB13"/>
    <mergeCell ref="BI13:BK13"/>
    <mergeCell ref="BL13:BM13"/>
    <mergeCell ref="CC14:CF27"/>
    <mergeCell ref="W15:X15"/>
    <mergeCell ref="AD15:AE15"/>
    <mergeCell ref="AR15:AS15"/>
    <mergeCell ref="BL15:BM15"/>
    <mergeCell ref="BO15:BQ16"/>
    <mergeCell ref="BR15:BS16"/>
    <mergeCell ref="BT15:BX16"/>
    <mergeCell ref="W16:X16"/>
    <mergeCell ref="AD16:AE16"/>
    <mergeCell ref="AR14:AS14"/>
    <mergeCell ref="BL14:BM14"/>
    <mergeCell ref="BO14:BQ14"/>
    <mergeCell ref="BR14:BU14"/>
    <mergeCell ref="BV14:BX14"/>
    <mergeCell ref="BY14:CB29"/>
    <mergeCell ref="AR16:AS16"/>
    <mergeCell ref="BL16:BM16"/>
    <mergeCell ref="BU17:BU18"/>
    <mergeCell ref="BV17:BX18"/>
    <mergeCell ref="AR22:AS22"/>
    <mergeCell ref="EA10:EC10"/>
    <mergeCell ref="ED10:EF10"/>
    <mergeCell ref="EG10:EI10"/>
    <mergeCell ref="EJ10:EL10"/>
    <mergeCell ref="AD11:AE11"/>
    <mergeCell ref="AL11:AM11"/>
    <mergeCell ref="DF10:DH10"/>
    <mergeCell ref="DI10:DK10"/>
    <mergeCell ref="DL10:DN10"/>
    <mergeCell ref="DO10:DQ10"/>
    <mergeCell ref="DR10:DT10"/>
    <mergeCell ref="DU10:DW10"/>
    <mergeCell ref="CO9:CS9"/>
    <mergeCell ref="CT9:CX9"/>
    <mergeCell ref="A10:Q47"/>
    <mergeCell ref="S10:U10"/>
    <mergeCell ref="AB10:AB11"/>
    <mergeCell ref="AD10:AE10"/>
    <mergeCell ref="AI10:AI11"/>
    <mergeCell ref="BD10:BD11"/>
    <mergeCell ref="BG10:BH10"/>
    <mergeCell ref="AQ12:AQ13"/>
    <mergeCell ref="X9:Z9"/>
    <mergeCell ref="AS9:AU9"/>
    <mergeCell ref="CG9:CG10"/>
    <mergeCell ref="CH9:CH10"/>
    <mergeCell ref="CL9:CM9"/>
    <mergeCell ref="CN9:CN10"/>
    <mergeCell ref="CC12:CF13"/>
    <mergeCell ref="V13:V14"/>
    <mergeCell ref="W13:X14"/>
    <mergeCell ref="AB13:AC13"/>
    <mergeCell ref="DX10:DZ10"/>
    <mergeCell ref="N6:P8"/>
    <mergeCell ref="AC5:AE5"/>
    <mergeCell ref="AF5:AH5"/>
    <mergeCell ref="AI5:AK5"/>
    <mergeCell ref="AC6:AE8"/>
    <mergeCell ref="AF6:AH8"/>
    <mergeCell ref="AI6:AK8"/>
    <mergeCell ref="X8:AB8"/>
    <mergeCell ref="X7:AB7"/>
    <mergeCell ref="X6:AB6"/>
    <mergeCell ref="X5:AB5"/>
    <mergeCell ref="L9:M9"/>
    <mergeCell ref="O9:P9"/>
    <mergeCell ref="I9:J9"/>
    <mergeCell ref="AD9:AE9"/>
    <mergeCell ref="AG9:AH9"/>
    <mergeCell ref="Q4:R5"/>
    <mergeCell ref="S4:U4"/>
    <mergeCell ref="S5:U5"/>
    <mergeCell ref="Q6:R6"/>
    <mergeCell ref="Q7:R7"/>
    <mergeCell ref="Q8:R8"/>
    <mergeCell ref="BD6:BF8"/>
    <mergeCell ref="AS5:AW5"/>
    <mergeCell ref="AS6:AW6"/>
    <mergeCell ref="AS7:AW7"/>
    <mergeCell ref="AS8:AW8"/>
    <mergeCell ref="BS5:BU5"/>
    <mergeCell ref="BV5:BX5"/>
    <mergeCell ref="BY5:CA5"/>
    <mergeCell ref="BS6:BU8"/>
    <mergeCell ref="C5:G5"/>
    <mergeCell ref="N5:P5"/>
    <mergeCell ref="AC4:AE4"/>
    <mergeCell ref="AF4:AH4"/>
    <mergeCell ref="AI4:AK4"/>
    <mergeCell ref="X4:AB4"/>
    <mergeCell ref="A4:B4"/>
    <mergeCell ref="AX4:AZ4"/>
    <mergeCell ref="C6:G6"/>
    <mergeCell ref="C8:G8"/>
    <mergeCell ref="H5:J5"/>
    <mergeCell ref="H6:J8"/>
    <mergeCell ref="K5:M5"/>
    <mergeCell ref="K6:M8"/>
    <mergeCell ref="CD7:CF7"/>
    <mergeCell ref="CG7:DE8"/>
    <mergeCell ref="CD6:CF6"/>
    <mergeCell ref="S7:U7"/>
    <mergeCell ref="AN7:AP7"/>
    <mergeCell ref="BI6:BK6"/>
    <mergeCell ref="BI7:BK7"/>
    <mergeCell ref="AN6:AP6"/>
    <mergeCell ref="S6:U6"/>
    <mergeCell ref="A5:B5"/>
    <mergeCell ref="A6:B6"/>
    <mergeCell ref="A7:B7"/>
    <mergeCell ref="A8:B8"/>
    <mergeCell ref="AX5:AZ5"/>
    <mergeCell ref="BA5:BC5"/>
    <mergeCell ref="BD5:BF5"/>
    <mergeCell ref="AX6:AZ8"/>
    <mergeCell ref="BA6:BC8"/>
    <mergeCell ref="BL4:BM4"/>
    <mergeCell ref="BL1:BM3"/>
    <mergeCell ref="BN1:BU3"/>
    <mergeCell ref="BV1:CC3"/>
    <mergeCell ref="CD1:CF3"/>
    <mergeCell ref="CG3:CL4"/>
    <mergeCell ref="AF1:AM3"/>
    <mergeCell ref="AN1:AP3"/>
    <mergeCell ref="AQ1:AR3"/>
    <mergeCell ref="AS1:AZ3"/>
    <mergeCell ref="BA1:BH3"/>
    <mergeCell ref="BI1:BK3"/>
    <mergeCell ref="A1:B3"/>
    <mergeCell ref="C1:J3"/>
    <mergeCell ref="K1:R3"/>
    <mergeCell ref="S1:U3"/>
    <mergeCell ref="V1:W3"/>
    <mergeCell ref="X1:AE3"/>
    <mergeCell ref="C4:G4"/>
    <mergeCell ref="H4:J4"/>
    <mergeCell ref="K4:M4"/>
    <mergeCell ref="N4:P4"/>
    <mergeCell ref="BA4:BC4"/>
    <mergeCell ref="BD4:BF4"/>
    <mergeCell ref="AS4:AW4"/>
    <mergeCell ref="BS4:BU4"/>
    <mergeCell ref="BV4:BX4"/>
    <mergeCell ref="BY4:CA4"/>
    <mergeCell ref="CB4:CC5"/>
    <mergeCell ref="CD4:CF4"/>
    <mergeCell ref="BL5:BM5"/>
    <mergeCell ref="CD5:CF5"/>
    <mergeCell ref="BV6:BX8"/>
    <mergeCell ref="BY6:CA8"/>
    <mergeCell ref="BN4:BR4"/>
    <mergeCell ref="BN5:BR5"/>
    <mergeCell ref="BN6:BR6"/>
    <mergeCell ref="BN7:BR7"/>
    <mergeCell ref="BN8:BR8"/>
    <mergeCell ref="BG4:BH5"/>
    <mergeCell ref="BG6:BH6"/>
    <mergeCell ref="BG7:BH7"/>
    <mergeCell ref="BG8:BH8"/>
    <mergeCell ref="AN54:AP54"/>
    <mergeCell ref="AY57:AZ57"/>
    <mergeCell ref="BB57:BC57"/>
    <mergeCell ref="BE57:BF57"/>
    <mergeCell ref="AQ87:BF87"/>
    <mergeCell ref="AN102:AP102"/>
    <mergeCell ref="AR69:AS69"/>
    <mergeCell ref="AR70:AS70"/>
    <mergeCell ref="AR71:AS71"/>
    <mergeCell ref="AR67:AS67"/>
    <mergeCell ref="BS54:BU56"/>
    <mergeCell ref="BV54:BX56"/>
    <mergeCell ref="BY54:CA56"/>
    <mergeCell ref="BN55:BR55"/>
    <mergeCell ref="BN56:BR56"/>
    <mergeCell ref="AX100:AZ100"/>
    <mergeCell ref="BA100:BC100"/>
    <mergeCell ref="BB48:BD48"/>
    <mergeCell ref="BE48:BH48"/>
    <mergeCell ref="BN9:BP9"/>
    <mergeCell ref="AS54:AW54"/>
    <mergeCell ref="AB92:AB94"/>
    <mergeCell ref="AD92:AE92"/>
    <mergeCell ref="AD93:AE93"/>
    <mergeCell ref="AD94:AE94"/>
    <mergeCell ref="W90:X90"/>
    <mergeCell ref="Y90:Z90"/>
    <mergeCell ref="AC90:AE91"/>
    <mergeCell ref="Y91:Z93"/>
    <mergeCell ref="AN90:AO90"/>
    <mergeCell ref="V246:W246"/>
    <mergeCell ref="V247:W247"/>
    <mergeCell ref="V248:W248"/>
    <mergeCell ref="V249:W249"/>
    <mergeCell ref="V250:W250"/>
    <mergeCell ref="X150:AB150"/>
    <mergeCell ref="X151:AB151"/>
    <mergeCell ref="X152:AB152"/>
    <mergeCell ref="AC196:AE196"/>
    <mergeCell ref="AC197:AE197"/>
    <mergeCell ref="V101:W101"/>
    <mergeCell ref="X246:AB246"/>
    <mergeCell ref="X247:AB247"/>
    <mergeCell ref="X248:AB248"/>
    <mergeCell ref="X105:Z105"/>
    <mergeCell ref="W117:X117"/>
    <mergeCell ref="W114:X114"/>
    <mergeCell ref="AD114:AE114"/>
    <mergeCell ref="W120:X120"/>
    <mergeCell ref="AD120:AE120"/>
    <mergeCell ref="AC198:AE200"/>
    <mergeCell ref="V109:V110"/>
    <mergeCell ref="AD122:AE122"/>
    <mergeCell ref="AB106:AB107"/>
    <mergeCell ref="X249:Z249"/>
    <mergeCell ref="AB250:AB251"/>
    <mergeCell ref="AD250:AE250"/>
    <mergeCell ref="AD249:AE249"/>
    <mergeCell ref="V196:W196"/>
    <mergeCell ref="V197:W197"/>
    <mergeCell ref="V198:W198"/>
    <mergeCell ref="V199:W199"/>
    <mergeCell ref="V200:W200"/>
    <mergeCell ref="AY345:AZ345"/>
    <mergeCell ref="X196:AB196"/>
    <mergeCell ref="X197:AB197"/>
    <mergeCell ref="X198:AB198"/>
    <mergeCell ref="X199:AB199"/>
    <mergeCell ref="X200:AB200"/>
    <mergeCell ref="W161:X161"/>
    <mergeCell ref="AD161:AE161"/>
    <mergeCell ref="W168:X168"/>
    <mergeCell ref="AD168:AE168"/>
    <mergeCell ref="V150:W150"/>
    <mergeCell ref="V151:W151"/>
    <mergeCell ref="V152:W152"/>
    <mergeCell ref="V153:W153"/>
    <mergeCell ref="V154:W154"/>
    <mergeCell ref="AD155:AE155"/>
    <mergeCell ref="W166:X166"/>
    <mergeCell ref="AD166:AE166"/>
    <mergeCell ref="V193:W195"/>
    <mergeCell ref="X193:AE195"/>
    <mergeCell ref="AX156:AY156"/>
    <mergeCell ref="AK157:AO157"/>
    <mergeCell ref="AN193:AP195"/>
    <mergeCell ref="AQ193:AR195"/>
    <mergeCell ref="AS193:AZ195"/>
    <mergeCell ref="BA193:BH195"/>
    <mergeCell ref="V205:V206"/>
    <mergeCell ref="W205:X206"/>
    <mergeCell ref="AD264:AE264"/>
    <mergeCell ref="AG283:AH285"/>
    <mergeCell ref="AI283:AJ285"/>
    <mergeCell ref="AB205:AC205"/>
    <mergeCell ref="AD205:AE206"/>
    <mergeCell ref="AF205:AJ205"/>
    <mergeCell ref="BG202:BH202"/>
    <mergeCell ref="AD203:AE203"/>
    <mergeCell ref="AL203:AM203"/>
    <mergeCell ref="CC270:CF271"/>
    <mergeCell ref="BL271:BM271"/>
    <mergeCell ref="BY270:CB271"/>
    <mergeCell ref="BV272:BX272"/>
    <mergeCell ref="BY272:CB287"/>
    <mergeCell ref="BN244:BR244"/>
    <mergeCell ref="BS244:BU244"/>
    <mergeCell ref="BV244:BX244"/>
    <mergeCell ref="BY244:CA244"/>
    <mergeCell ref="BN245:BR245"/>
    <mergeCell ref="BS245:BU245"/>
    <mergeCell ref="BV245:BX245"/>
    <mergeCell ref="BY245:CA245"/>
    <mergeCell ref="BN246:BR246"/>
    <mergeCell ref="BS246:BU248"/>
    <mergeCell ref="BV246:BX248"/>
    <mergeCell ref="BY246:CA248"/>
    <mergeCell ref="BY390:CA392"/>
    <mergeCell ref="BN391:BR391"/>
    <mergeCell ref="BN392:BR392"/>
    <mergeCell ref="BT393:BU393"/>
    <mergeCell ref="BW393:BX393"/>
    <mergeCell ref="BZ393:CA393"/>
    <mergeCell ref="BR401:BR402"/>
    <mergeCell ref="BU401:BU402"/>
    <mergeCell ref="BV401:BX402"/>
    <mergeCell ref="BV433:CC435"/>
    <mergeCell ref="BS340:BU340"/>
    <mergeCell ref="BV340:BX340"/>
    <mergeCell ref="BY340:CA340"/>
    <mergeCell ref="BN341:BR341"/>
    <mergeCell ref="BY342:CA344"/>
    <mergeCell ref="BN343:BR343"/>
    <mergeCell ref="BN344:BR344"/>
    <mergeCell ref="BL371:BN371"/>
    <mergeCell ref="BO371:BP371"/>
    <mergeCell ref="BT345:BU345"/>
    <mergeCell ref="BW345:BX345"/>
    <mergeCell ref="BZ345:CA345"/>
    <mergeCell ref="BT351:BX352"/>
    <mergeCell ref="BO350:BQ350"/>
    <mergeCell ref="BR350:BU350"/>
    <mergeCell ref="BO348:BQ349"/>
    <mergeCell ref="BR348:BX349"/>
    <mergeCell ref="BY348:CB349"/>
    <mergeCell ref="CC348:CF349"/>
    <mergeCell ref="BO353:BP353"/>
    <mergeCell ref="BR353:BR354"/>
    <mergeCell ref="BU353:BU354"/>
    <mergeCell ref="BB384:BD384"/>
    <mergeCell ref="BE384:BH384"/>
    <mergeCell ref="BI384:BK384"/>
    <mergeCell ref="BL289:BM291"/>
    <mergeCell ref="BN289:BU291"/>
    <mergeCell ref="BV289:CC291"/>
    <mergeCell ref="BY300:CB301"/>
    <mergeCell ref="CC300:CF301"/>
    <mergeCell ref="BO305:BP305"/>
    <mergeCell ref="BL320:BM320"/>
    <mergeCell ref="BO320:BQ320"/>
    <mergeCell ref="CC272:CF285"/>
    <mergeCell ref="BL273:BM273"/>
    <mergeCell ref="BO273:BQ274"/>
    <mergeCell ref="BR273:BS274"/>
    <mergeCell ref="BR275:BR276"/>
    <mergeCell ref="BU275:BU276"/>
    <mergeCell ref="BV275:BX276"/>
    <mergeCell ref="BT273:BX274"/>
    <mergeCell ref="CC286:CF286"/>
    <mergeCell ref="CC287:CF287"/>
    <mergeCell ref="BL277:BN287"/>
    <mergeCell ref="BO277:BQ287"/>
    <mergeCell ref="BR277:BX287"/>
    <mergeCell ref="BN294:BR294"/>
    <mergeCell ref="BS294:BU296"/>
    <mergeCell ref="BV294:BX296"/>
    <mergeCell ref="BY294:CA296"/>
    <mergeCell ref="BN295:BR295"/>
    <mergeCell ref="BN296:BR296"/>
    <mergeCell ref="BR320:BU320"/>
    <mergeCell ref="BV320:BX320"/>
    <mergeCell ref="CB246:CC246"/>
    <mergeCell ref="BL247:BM247"/>
    <mergeCell ref="CB247:CC247"/>
    <mergeCell ref="BL248:BM248"/>
    <mergeCell ref="BL249:BM249"/>
    <mergeCell ref="BN249:BP249"/>
    <mergeCell ref="BL250:BM250"/>
    <mergeCell ref="BL292:BM292"/>
    <mergeCell ref="CB292:CC293"/>
    <mergeCell ref="CB294:CC294"/>
    <mergeCell ref="BZ57:CA57"/>
    <mergeCell ref="BT105:BU105"/>
    <mergeCell ref="BW105:BX105"/>
    <mergeCell ref="BZ105:CA105"/>
    <mergeCell ref="BT153:BU153"/>
    <mergeCell ref="BW153:BX153"/>
    <mergeCell ref="BZ153:CA153"/>
    <mergeCell ref="BV179:BX180"/>
    <mergeCell ref="BU113:BU114"/>
    <mergeCell ref="BV113:BX114"/>
    <mergeCell ref="BV206:BX206"/>
    <mergeCell ref="BY206:CB221"/>
    <mergeCell ref="BY80:CB95"/>
    <mergeCell ref="BV110:BX110"/>
    <mergeCell ref="BY110:CB125"/>
    <mergeCell ref="BY204:CB205"/>
    <mergeCell ref="BV158:BX158"/>
    <mergeCell ref="BY158:CB173"/>
    <mergeCell ref="CC60:CF61"/>
    <mergeCell ref="BO65:BP65"/>
    <mergeCell ref="BR65:BR66"/>
    <mergeCell ref="BL57:BM57"/>
    <mergeCell ref="AY9:AZ9"/>
    <mergeCell ref="BB9:BC9"/>
    <mergeCell ref="BE9:BF9"/>
    <mergeCell ref="BT9:BU9"/>
    <mergeCell ref="BW9:BX9"/>
    <mergeCell ref="BZ9:CA9"/>
    <mergeCell ref="BD53:BF53"/>
    <mergeCell ref="AX54:AZ56"/>
    <mergeCell ref="BA54:BC56"/>
    <mergeCell ref="BD54:BF56"/>
    <mergeCell ref="BL178:BM178"/>
    <mergeCell ref="BL179:BN179"/>
    <mergeCell ref="BO179:BP179"/>
    <mergeCell ref="BR179:BR180"/>
    <mergeCell ref="BN52:BR52"/>
    <mergeCell ref="BS52:BU52"/>
    <mergeCell ref="BV52:BX52"/>
    <mergeCell ref="BY52:CA52"/>
    <mergeCell ref="BL58:BM58"/>
    <mergeCell ref="BL105:BM105"/>
    <mergeCell ref="BN105:BP105"/>
    <mergeCell ref="BL106:BM106"/>
    <mergeCell ref="BL148:BM148"/>
    <mergeCell ref="BL149:BM149"/>
    <mergeCell ref="BL150:BM150"/>
    <mergeCell ref="BL151:BM151"/>
    <mergeCell ref="BL152:BM152"/>
    <mergeCell ref="BL54:BM54"/>
    <mergeCell ref="BL60:BN60"/>
    <mergeCell ref="BO60:BQ61"/>
    <mergeCell ref="BR60:BX61"/>
    <mergeCell ref="BY60:CB61"/>
    <mergeCell ref="AL4:AM5"/>
    <mergeCell ref="AN4:AP4"/>
    <mergeCell ref="AN5:AP5"/>
    <mergeCell ref="AL6:AM6"/>
    <mergeCell ref="AL7:AM7"/>
    <mergeCell ref="AD57:AE57"/>
    <mergeCell ref="AG57:AH57"/>
    <mergeCell ref="AJ57:AK57"/>
    <mergeCell ref="V52:W52"/>
    <mergeCell ref="V53:W53"/>
    <mergeCell ref="V54:W54"/>
    <mergeCell ref="V55:W55"/>
    <mergeCell ref="V56:W56"/>
    <mergeCell ref="V57:W57"/>
    <mergeCell ref="V58:W58"/>
    <mergeCell ref="V100:W100"/>
    <mergeCell ref="AJ9:AK9"/>
    <mergeCell ref="AD13:AE14"/>
    <mergeCell ref="AF13:AJ13"/>
    <mergeCell ref="AK13:AO13"/>
    <mergeCell ref="V49:W51"/>
    <mergeCell ref="AL43:AM45"/>
    <mergeCell ref="AN43:AO45"/>
    <mergeCell ref="AG91:AH93"/>
    <mergeCell ref="AI91:AJ93"/>
    <mergeCell ref="AN48:AP48"/>
    <mergeCell ref="AJ48:AM48"/>
    <mergeCell ref="AG48:AI48"/>
    <mergeCell ref="AL8:AM8"/>
    <mergeCell ref="AL54:AM54"/>
    <mergeCell ref="AL55:AM55"/>
    <mergeCell ref="W92:X92"/>
    <mergeCell ref="V436:W436"/>
    <mergeCell ref="V437:W437"/>
    <mergeCell ref="V438:W438"/>
    <mergeCell ref="V439:W439"/>
    <mergeCell ref="V440:W440"/>
    <mergeCell ref="V441:W441"/>
    <mergeCell ref="V442:W442"/>
    <mergeCell ref="AD153:AE153"/>
    <mergeCell ref="AG153:AH153"/>
    <mergeCell ref="AJ153:AK153"/>
    <mergeCell ref="V293:W293"/>
    <mergeCell ref="V294:W294"/>
    <mergeCell ref="V295:W295"/>
    <mergeCell ref="V296:W296"/>
    <mergeCell ref="V297:W297"/>
    <mergeCell ref="V298:W298"/>
    <mergeCell ref="V340:W340"/>
    <mergeCell ref="V341:W341"/>
    <mergeCell ref="V342:W342"/>
    <mergeCell ref="V343:W343"/>
    <mergeCell ref="V344:W344"/>
    <mergeCell ref="V345:W345"/>
    <mergeCell ref="V346:W346"/>
    <mergeCell ref="V388:W388"/>
    <mergeCell ref="V389:W389"/>
    <mergeCell ref="AC292:AE292"/>
    <mergeCell ref="AF292:AH292"/>
    <mergeCell ref="AD251:AE251"/>
    <mergeCell ref="X295:AB295"/>
    <mergeCell ref="X296:AB296"/>
    <mergeCell ref="AD209:AE209"/>
    <mergeCell ref="W212:X212"/>
    <mergeCell ref="BB432:BD432"/>
    <mergeCell ref="BE432:BH432"/>
    <mergeCell ref="BI432:BK432"/>
    <mergeCell ref="BB480:BD480"/>
    <mergeCell ref="BE480:BH480"/>
    <mergeCell ref="BI480:BK480"/>
    <mergeCell ref="BI48:BK48"/>
    <mergeCell ref="BB96:BD96"/>
    <mergeCell ref="BE96:BH96"/>
    <mergeCell ref="BI96:BK96"/>
    <mergeCell ref="BB144:BD144"/>
    <mergeCell ref="BE144:BH144"/>
    <mergeCell ref="BI144:BK144"/>
    <mergeCell ref="BB192:BD192"/>
    <mergeCell ref="BE192:BH192"/>
    <mergeCell ref="BI192:BK192"/>
    <mergeCell ref="BB240:BD240"/>
    <mergeCell ref="BE240:BH240"/>
    <mergeCell ref="BI240:BK240"/>
    <mergeCell ref="BB288:BD288"/>
    <mergeCell ref="BE288:BH288"/>
    <mergeCell ref="BI288:BK288"/>
    <mergeCell ref="BB336:BD336"/>
    <mergeCell ref="BE336:BH336"/>
    <mergeCell ref="BI336:BK336"/>
    <mergeCell ref="BB345:BC345"/>
    <mergeCell ref="BE345:BF345"/>
    <mergeCell ref="BI61:BK61"/>
    <mergeCell ref="BI97:BK99"/>
    <mergeCell ref="BC74:BE74"/>
    <mergeCell ref="BF74:BH74"/>
    <mergeCell ref="BI74:BK74"/>
    <mergeCell ref="BL6:BM6"/>
    <mergeCell ref="CB6:CC6"/>
    <mergeCell ref="BL7:BM7"/>
    <mergeCell ref="CB7:CC7"/>
    <mergeCell ref="BL8:BM8"/>
    <mergeCell ref="BL9:BM9"/>
    <mergeCell ref="BL52:BM52"/>
    <mergeCell ref="CB52:CC53"/>
    <mergeCell ref="CD52:CF52"/>
    <mergeCell ref="BL53:BM53"/>
    <mergeCell ref="CD53:CF53"/>
    <mergeCell ref="BO18:BQ18"/>
    <mergeCell ref="CC28:CF28"/>
    <mergeCell ref="CC29:CF29"/>
    <mergeCell ref="BL30:BN30"/>
    <mergeCell ref="BO30:BQ31"/>
    <mergeCell ref="BR30:BX31"/>
    <mergeCell ref="BY30:CB31"/>
    <mergeCell ref="CC30:CF31"/>
    <mergeCell ref="BL31:BM31"/>
    <mergeCell ref="BY32:CB47"/>
    <mergeCell ref="CC32:CF45"/>
    <mergeCell ref="CC46:CF46"/>
    <mergeCell ref="CC47:CF47"/>
    <mergeCell ref="BL37:BN47"/>
    <mergeCell ref="BO37:BQ47"/>
    <mergeCell ref="BL10:BM10"/>
    <mergeCell ref="BV35:BX36"/>
    <mergeCell ref="BL36:BN36"/>
    <mergeCell ref="BO36:BQ36"/>
    <mergeCell ref="BL32:BM32"/>
    <mergeCell ref="BO32:BQ32"/>
    <mergeCell ref="BN57:BP57"/>
    <mergeCell ref="BL100:BM100"/>
    <mergeCell ref="CB100:CC101"/>
    <mergeCell ref="CD100:CF100"/>
    <mergeCell ref="BL101:BM101"/>
    <mergeCell ref="CD101:CF101"/>
    <mergeCell ref="BL102:BM102"/>
    <mergeCell ref="CB102:CC102"/>
    <mergeCell ref="BL103:BM103"/>
    <mergeCell ref="CB103:CC103"/>
    <mergeCell ref="BT57:BU57"/>
    <mergeCell ref="BW57:BX57"/>
    <mergeCell ref="BL201:BM201"/>
    <mergeCell ref="BN201:BP201"/>
    <mergeCell ref="BL202:BM202"/>
    <mergeCell ref="BL244:BM244"/>
    <mergeCell ref="CB244:CC245"/>
    <mergeCell ref="CD244:CF244"/>
    <mergeCell ref="BL245:BM245"/>
    <mergeCell ref="CD245:CF245"/>
    <mergeCell ref="BR62:BU62"/>
    <mergeCell ref="BR108:BX109"/>
    <mergeCell ref="BY108:CB109"/>
    <mergeCell ref="BY156:CB157"/>
    <mergeCell ref="BO158:BQ158"/>
    <mergeCell ref="BY174:CB175"/>
    <mergeCell ref="CB148:CC149"/>
    <mergeCell ref="CD148:CF148"/>
    <mergeCell ref="CD149:CF149"/>
    <mergeCell ref="CB150:CC150"/>
    <mergeCell ref="CB151:CC151"/>
    <mergeCell ref="BU65:BU66"/>
    <mergeCell ref="CD292:CF292"/>
    <mergeCell ref="BL293:BM293"/>
    <mergeCell ref="CD293:CF293"/>
    <mergeCell ref="BT201:BU201"/>
    <mergeCell ref="BW201:BX201"/>
    <mergeCell ref="BZ201:CA201"/>
    <mergeCell ref="BT249:BU249"/>
    <mergeCell ref="BW249:BX249"/>
    <mergeCell ref="BZ249:CA249"/>
    <mergeCell ref="BL276:BN276"/>
    <mergeCell ref="BO276:BQ276"/>
    <mergeCell ref="BL272:BM272"/>
    <mergeCell ref="BO272:BQ272"/>
    <mergeCell ref="BR272:BU272"/>
    <mergeCell ref="BN297:BP297"/>
    <mergeCell ref="BL298:BM298"/>
    <mergeCell ref="BL340:BM340"/>
    <mergeCell ref="CB340:CC341"/>
    <mergeCell ref="CD340:CF340"/>
    <mergeCell ref="BL341:BM341"/>
    <mergeCell ref="CD341:CF341"/>
    <mergeCell ref="BN340:BR340"/>
    <mergeCell ref="BL274:BM274"/>
    <mergeCell ref="BL275:BN275"/>
    <mergeCell ref="BO275:BP275"/>
    <mergeCell ref="BL295:BM295"/>
    <mergeCell ref="CC320:CF333"/>
    <mergeCell ref="BN248:BR248"/>
    <mergeCell ref="BV254:BX254"/>
    <mergeCell ref="BL270:BN270"/>
    <mergeCell ref="BO270:BQ271"/>
    <mergeCell ref="BR270:BX271"/>
    <mergeCell ref="BL342:BM342"/>
    <mergeCell ref="CB342:CC342"/>
    <mergeCell ref="BL343:BM343"/>
    <mergeCell ref="CB343:CC343"/>
    <mergeCell ref="CC334:CF334"/>
    <mergeCell ref="CC335:CF335"/>
    <mergeCell ref="BL318:BN318"/>
    <mergeCell ref="BO318:BQ319"/>
    <mergeCell ref="BR318:BX319"/>
    <mergeCell ref="BY318:CB319"/>
    <mergeCell ref="CC318:CF319"/>
    <mergeCell ref="BL319:BM319"/>
    <mergeCell ref="BL321:BM321"/>
    <mergeCell ref="BO321:BQ322"/>
    <mergeCell ref="BR321:BS322"/>
    <mergeCell ref="BT321:BX322"/>
    <mergeCell ref="BL325:BN335"/>
    <mergeCell ref="BO325:BQ335"/>
    <mergeCell ref="BR325:BX335"/>
    <mergeCell ref="BS341:BU341"/>
    <mergeCell ref="BV341:BX341"/>
    <mergeCell ref="BY341:CA341"/>
    <mergeCell ref="BN342:BR342"/>
    <mergeCell ref="BS342:BU344"/>
    <mergeCell ref="BV342:BX344"/>
    <mergeCell ref="BL337:BM339"/>
    <mergeCell ref="BN337:BU339"/>
    <mergeCell ref="BV337:CC339"/>
    <mergeCell ref="CD337:CF339"/>
    <mergeCell ref="BY320:CB335"/>
    <mergeCell ref="CB438:CC438"/>
    <mergeCell ref="BL439:BM439"/>
    <mergeCell ref="CB439:CC439"/>
    <mergeCell ref="BL440:BM440"/>
    <mergeCell ref="BL441:BM441"/>
    <mergeCell ref="BN441:BP441"/>
    <mergeCell ref="BL442:BM442"/>
    <mergeCell ref="BL344:BM344"/>
    <mergeCell ref="BL345:BM345"/>
    <mergeCell ref="BN345:BP345"/>
    <mergeCell ref="BL346:BM346"/>
    <mergeCell ref="BL388:BM388"/>
    <mergeCell ref="CB388:CC389"/>
    <mergeCell ref="CD388:CF388"/>
    <mergeCell ref="BL389:BM389"/>
    <mergeCell ref="CD389:CF389"/>
    <mergeCell ref="BL390:BM390"/>
    <mergeCell ref="CB390:CC390"/>
    <mergeCell ref="BL391:BM391"/>
    <mergeCell ref="CB391:CC391"/>
    <mergeCell ref="BL392:BM392"/>
    <mergeCell ref="BL393:BM393"/>
    <mergeCell ref="BN393:BP393"/>
    <mergeCell ref="BL394:BM394"/>
    <mergeCell ref="BY368:CB383"/>
    <mergeCell ref="BL366:BN366"/>
    <mergeCell ref="BO366:BQ367"/>
    <mergeCell ref="BR366:BX367"/>
    <mergeCell ref="BO351:BQ352"/>
    <mergeCell ref="BR351:BS352"/>
    <mergeCell ref="BY366:CB367"/>
    <mergeCell ref="BV390:BX392"/>
  </mergeCells>
  <phoneticPr fontId="16" type="noConversion"/>
  <conditionalFormatting sqref="R14:R47">
    <cfRule type="cellIs" dxfId="58" priority="55" operator="equal">
      <formula>$S$11</formula>
    </cfRule>
  </conditionalFormatting>
  <conditionalFormatting sqref="W29:W40 AR41:AR47">
    <cfRule type="cellIs" dxfId="57" priority="58" operator="equal">
      <formula>"REJECT"</formula>
    </cfRule>
    <cfRule type="cellIs" dxfId="56" priority="59" operator="equal">
      <formula>"ACCEPT"</formula>
    </cfRule>
  </conditionalFormatting>
  <conditionalFormatting sqref="W77:W88">
    <cfRule type="cellIs" dxfId="55" priority="54" operator="equal">
      <formula>"ACCEPT"</formula>
    </cfRule>
    <cfRule type="cellIs" dxfId="54" priority="53" operator="equal">
      <formula>"REJECT"</formula>
    </cfRule>
  </conditionalFormatting>
  <conditionalFormatting sqref="W125:W136">
    <cfRule type="cellIs" dxfId="53" priority="51" operator="equal">
      <formula>"REJECT"</formula>
    </cfRule>
    <cfRule type="cellIs" dxfId="52" priority="52" operator="equal">
      <formula>"ACCEPT"</formula>
    </cfRule>
  </conditionalFormatting>
  <conditionalFormatting sqref="W173:W184">
    <cfRule type="cellIs" dxfId="51" priority="50" operator="equal">
      <formula>"ACCEPT"</formula>
    </cfRule>
    <cfRule type="cellIs" dxfId="50" priority="49" operator="equal">
      <formula>"REJECT"</formula>
    </cfRule>
  </conditionalFormatting>
  <conditionalFormatting sqref="W221:W232">
    <cfRule type="cellIs" dxfId="49" priority="48" operator="equal">
      <formula>"ACCEPT"</formula>
    </cfRule>
    <cfRule type="cellIs" dxfId="48" priority="47" operator="equal">
      <formula>"REJECT"</formula>
    </cfRule>
  </conditionalFormatting>
  <conditionalFormatting sqref="W269:W280">
    <cfRule type="cellIs" dxfId="47" priority="45" operator="equal">
      <formula>"REJECT"</formula>
    </cfRule>
    <cfRule type="cellIs" dxfId="46" priority="46" operator="equal">
      <formula>"ACCEPT"</formula>
    </cfRule>
  </conditionalFormatting>
  <conditionalFormatting sqref="W317:W328">
    <cfRule type="cellIs" dxfId="45" priority="44" operator="equal">
      <formula>"ACCEPT"</formula>
    </cfRule>
    <cfRule type="cellIs" dxfId="44" priority="43" operator="equal">
      <formula>"REJECT"</formula>
    </cfRule>
  </conditionalFormatting>
  <conditionalFormatting sqref="W365:W376">
    <cfRule type="cellIs" dxfId="43" priority="42" operator="equal">
      <formula>"ACCEPT"</formula>
    </cfRule>
    <cfRule type="cellIs" dxfId="42" priority="41" operator="equal">
      <formula>"REJECT"</formula>
    </cfRule>
  </conditionalFormatting>
  <conditionalFormatting sqref="W413:W424">
    <cfRule type="cellIs" dxfId="41" priority="40" operator="equal">
      <formula>"ACCEPT"</formula>
    </cfRule>
    <cfRule type="cellIs" dxfId="40" priority="39" operator="equal">
      <formula>"REJECT"</formula>
    </cfRule>
  </conditionalFormatting>
  <conditionalFormatting sqref="W461:W472">
    <cfRule type="cellIs" dxfId="39" priority="38" operator="equal">
      <formula>"ACCEPT"</formula>
    </cfRule>
    <cfRule type="cellIs" dxfId="38" priority="37" operator="equal">
      <formula>"REJECT"</formula>
    </cfRule>
  </conditionalFormatting>
  <conditionalFormatting sqref="AR89:AR95">
    <cfRule type="cellIs" dxfId="37" priority="36" operator="equal">
      <formula>"ACCEPT"</formula>
    </cfRule>
    <cfRule type="cellIs" dxfId="36" priority="35" operator="equal">
      <formula>"REJECT"</formula>
    </cfRule>
  </conditionalFormatting>
  <conditionalFormatting sqref="AR137:AR143">
    <cfRule type="cellIs" dxfId="35" priority="31" operator="equal">
      <formula>"REJECT"</formula>
    </cfRule>
    <cfRule type="cellIs" dxfId="34" priority="32" operator="equal">
      <formula>"ACCEPT"</formula>
    </cfRule>
  </conditionalFormatting>
  <conditionalFormatting sqref="AR185:AR191">
    <cfRule type="cellIs" dxfId="33" priority="28" operator="equal">
      <formula>"ACCEPT"</formula>
    </cfRule>
    <cfRule type="cellIs" dxfId="32" priority="27" operator="equal">
      <formula>"REJECT"</formula>
    </cfRule>
  </conditionalFormatting>
  <conditionalFormatting sqref="AR233:AR239">
    <cfRule type="cellIs" dxfId="31" priority="23" operator="equal">
      <formula>"REJECT"</formula>
    </cfRule>
    <cfRule type="cellIs" dxfId="30" priority="24" operator="equal">
      <formula>"ACCEPT"</formula>
    </cfRule>
  </conditionalFormatting>
  <conditionalFormatting sqref="AR281:AR287">
    <cfRule type="cellIs" dxfId="29" priority="20" operator="equal">
      <formula>"ACCEPT"</formula>
    </cfRule>
    <cfRule type="cellIs" dxfId="28" priority="19" operator="equal">
      <formula>"REJECT"</formula>
    </cfRule>
  </conditionalFormatting>
  <conditionalFormatting sqref="AR329:AR335">
    <cfRule type="cellIs" dxfId="27" priority="15" operator="equal">
      <formula>"REJECT"</formula>
    </cfRule>
    <cfRule type="cellIs" dxfId="26" priority="16" operator="equal">
      <formula>"ACCEPT"</formula>
    </cfRule>
  </conditionalFormatting>
  <conditionalFormatting sqref="AR377:AR383">
    <cfRule type="cellIs" dxfId="25" priority="12" operator="equal">
      <formula>"ACCEPT"</formula>
    </cfRule>
    <cfRule type="cellIs" dxfId="24" priority="11" operator="equal">
      <formula>"REJECT"</formula>
    </cfRule>
  </conditionalFormatting>
  <conditionalFormatting sqref="AR425:AR431">
    <cfRule type="cellIs" dxfId="23" priority="7" operator="equal">
      <formula>"REJECT"</formula>
    </cfRule>
    <cfRule type="cellIs" dxfId="22" priority="8" operator="equal">
      <formula>"ACCEPT"</formula>
    </cfRule>
  </conditionalFormatting>
  <conditionalFormatting sqref="AR473:AR479">
    <cfRule type="cellIs" dxfId="21" priority="4" operator="equal">
      <formula>"ACCEPT"</formula>
    </cfRule>
    <cfRule type="cellIs" dxfId="20" priority="3" operator="equal">
      <formula>"REJECT"</formula>
    </cfRule>
  </conditionalFormatting>
  <conditionalFormatting sqref="AZ41:AZ46">
    <cfRule type="cellIs" dxfId="19" priority="56" operator="equal">
      <formula>"REJECT"</formula>
    </cfRule>
    <cfRule type="cellIs" dxfId="18" priority="57" operator="equal">
      <formula>"ACCEPT"</formula>
    </cfRule>
  </conditionalFormatting>
  <conditionalFormatting sqref="AZ89:AZ94">
    <cfRule type="cellIs" dxfId="17" priority="33" operator="equal">
      <formula>"REJECT"</formula>
    </cfRule>
    <cfRule type="cellIs" dxfId="16" priority="34" operator="equal">
      <formula>"ACCEPT"</formula>
    </cfRule>
  </conditionalFormatting>
  <conditionalFormatting sqref="AZ137:AZ142">
    <cfRule type="cellIs" dxfId="15" priority="29" operator="equal">
      <formula>"REJECT"</formula>
    </cfRule>
    <cfRule type="cellIs" dxfId="14" priority="30" operator="equal">
      <formula>"ACCEPT"</formula>
    </cfRule>
  </conditionalFormatting>
  <conditionalFormatting sqref="AZ185:AZ190">
    <cfRule type="cellIs" dxfId="13" priority="26" operator="equal">
      <formula>"ACCEPT"</formula>
    </cfRule>
    <cfRule type="cellIs" dxfId="12" priority="25" operator="equal">
      <formula>"REJECT"</formula>
    </cfRule>
  </conditionalFormatting>
  <conditionalFormatting sqref="AZ233:AZ238">
    <cfRule type="cellIs" dxfId="11" priority="22" operator="equal">
      <formula>"ACCEPT"</formula>
    </cfRule>
    <cfRule type="cellIs" dxfId="10" priority="21" operator="equal">
      <formula>"REJECT"</formula>
    </cfRule>
  </conditionalFormatting>
  <conditionalFormatting sqref="AZ281:AZ286">
    <cfRule type="cellIs" dxfId="9" priority="18" operator="equal">
      <formula>"ACCEPT"</formula>
    </cfRule>
    <cfRule type="cellIs" dxfId="8" priority="17" operator="equal">
      <formula>"REJECT"</formula>
    </cfRule>
  </conditionalFormatting>
  <conditionalFormatting sqref="AZ329:AZ334">
    <cfRule type="cellIs" dxfId="7" priority="14" operator="equal">
      <formula>"ACCEPT"</formula>
    </cfRule>
    <cfRule type="cellIs" dxfId="6" priority="13" operator="equal">
      <formula>"REJECT"</formula>
    </cfRule>
  </conditionalFormatting>
  <conditionalFormatting sqref="AZ377:AZ382">
    <cfRule type="cellIs" dxfId="5" priority="10" operator="equal">
      <formula>"ACCEPT"</formula>
    </cfRule>
    <cfRule type="cellIs" dxfId="4" priority="9" operator="equal">
      <formula>"REJECT"</formula>
    </cfRule>
  </conditionalFormatting>
  <conditionalFormatting sqref="AZ425:AZ430">
    <cfRule type="cellIs" dxfId="3" priority="6" operator="equal">
      <formula>"ACCEPT"</formula>
    </cfRule>
    <cfRule type="cellIs" dxfId="2" priority="5" operator="equal">
      <formula>"REJECT"</formula>
    </cfRule>
  </conditionalFormatting>
  <conditionalFormatting sqref="AZ473:AZ478">
    <cfRule type="cellIs" dxfId="1" priority="1" operator="equal">
      <formula>"REJECT"</formula>
    </cfRule>
    <cfRule type="cellIs" dxfId="0" priority="2" operator="equal">
      <formula>"ACCEPT"</formula>
    </cfRule>
  </conditionalFormatting>
  <dataValidations count="4">
    <dataValidation type="list" allowBlank="1" showInputMessage="1" showErrorMessage="1" sqref="BN16 AA15:AA26 BN34 AA63:AA74 BN64 BN82 AA111:AA122 AA159:AA170 AA207:AA218 AA255:AA266 AA303:AA314 AA351:AA362 AA399:AA410 AA447:AA458 BN400 BN418 BN112 BN130 BN160 BN178 BN208 BN226 BN256 BN274 BN304 BN322 BN352 BN370 BN448 BN466" xr:uid="{00000000-0002-0000-0000-000000000000}">
      <formula1>"-,QC,QCF"</formula1>
    </dataValidation>
    <dataValidation type="list" allowBlank="1" showInputMessage="1" showErrorMessage="1" sqref="BN15 BN33 BN63 BN81 BN399 BN417 BN111 BN129 BN159 BN177 BN207 BN225 BN255 BN273 BN303 BN321 BN351 BN369 BN447 BN465" xr:uid="{00000000-0002-0000-0000-000001000000}">
      <formula1>"WORK,INSPECTION"</formula1>
    </dataValidation>
    <dataValidation type="list" allowBlank="1" showInputMessage="1" showErrorMessage="1" sqref="BN14 BN32 BN62 BN80 BN398 BN416 BN110 BN128 BN158 BN176 BN206 BN224 BN254 BN272 BN302 BN320 BN350 BN368 BN446 BN464" xr:uid="{00000000-0002-0000-0000-000002000000}">
      <formula1>"PRODUCT,PROCESS"</formula1>
    </dataValidation>
    <dataValidation type="list" allowBlank="1" showInputMessage="1" showErrorMessage="1" sqref="S11" xr:uid="{92F512DC-9C90-4D10-A279-ED9B7425BD71}">
      <formula1>$R$14:$R$47</formula1>
    </dataValidation>
  </dataValidations>
  <printOptions horizontalCentered="1" verticalCentered="1"/>
  <pageMargins left="0.23622047244094491" right="0.23622047244094491" top="0.23622047244094491" bottom="0.23622047244094491" header="0" footer="0"/>
  <pageSetup paperSize="9" scale="71" fitToHeight="0" orientation="landscape" r:id="rId1"/>
  <rowBreaks count="9" manualBreakCount="9">
    <brk id="48" max="83" man="1"/>
    <brk id="96" max="83" man="1"/>
    <brk id="144" max="83" man="1"/>
    <brk id="192" max="83" man="1"/>
    <brk id="240" max="83" man="1"/>
    <brk id="288" max="83" man="1"/>
    <brk id="336" max="83" man="1"/>
    <brk id="384" max="83" man="1"/>
    <brk id="432" max="83" man="1"/>
  </rowBreaks>
  <colBreaks count="3" manualBreakCount="3">
    <brk id="21" max="479" man="1"/>
    <brk id="42" max="479" man="1"/>
    <brk id="63" max="47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WI,BUYOFF,IPQC</vt:lpstr>
      <vt:lpstr>'WI,BUYOFF,IPQC'!Print_Area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microsoft-2</dc:creator>
  <cp:lastModifiedBy>Faiz Fazli</cp:lastModifiedBy>
  <cp:lastPrinted>2025-05-23T07:18:49Z</cp:lastPrinted>
  <dcterms:created xsi:type="dcterms:W3CDTF">2024-10-09T01:45:06Z</dcterms:created>
  <dcterms:modified xsi:type="dcterms:W3CDTF">2026-02-02T09:46:58Z</dcterms:modified>
</cp:coreProperties>
</file>