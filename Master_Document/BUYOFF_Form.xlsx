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5\Users\Acer\IPQC_Project\FamaxQCSystem\Master_Document\"/>
    </mc:Choice>
  </mc:AlternateContent>
  <xr:revisionPtr revIDLastSave="0" documentId="13_ncr:1_{744F9988-148F-4E51-B1C9-B24FE26A57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,BUYOFF,IPQC" sheetId="1" r:id="rId1"/>
  </sheets>
  <externalReferences>
    <externalReference r:id="rId2"/>
  </externalReferences>
  <definedNames>
    <definedName name="AppCRange">#REF!</definedName>
    <definedName name="NumAppraisers">[1]Setup!$G$21</definedName>
    <definedName name="NumTrials">[1]Setup!$J$21</definedName>
    <definedName name="_xlnm.Print_Area" localSheetId="0">'WI,BUYOFF,IPQC'!$A$1:$U$48</definedName>
    <definedName name="SampSize">[1]Setup!$D$21</definedName>
    <definedName name="XBarA">#REF!</definedName>
    <definedName name="XBarB">#REF!</definedName>
    <definedName name="XBar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S7" i="1"/>
  <c r="B40" i="1" l="1" a="1"/>
  <c r="B40" i="1" s="1"/>
  <c r="B39" i="1" a="1"/>
  <c r="B39" i="1" s="1"/>
  <c r="B38" i="1" a="1"/>
  <c r="B38" i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I40" i="1" l="1"/>
  <c r="H40" i="1"/>
  <c r="G40" i="1"/>
  <c r="J40" i="1" s="1"/>
  <c r="F40" i="1"/>
  <c r="E40" i="1"/>
  <c r="D40" i="1"/>
  <c r="A40" i="1"/>
  <c r="I39" i="1"/>
  <c r="H39" i="1"/>
  <c r="G39" i="1"/>
  <c r="J39" i="1" s="1"/>
  <c r="F39" i="1"/>
  <c r="E39" i="1"/>
  <c r="A39" i="1"/>
  <c r="I38" i="1"/>
  <c r="H38" i="1"/>
  <c r="G38" i="1"/>
  <c r="J38" i="1" s="1"/>
  <c r="F38" i="1"/>
  <c r="E38" i="1"/>
  <c r="A38" i="1"/>
  <c r="I37" i="1"/>
  <c r="H37" i="1"/>
  <c r="G37" i="1"/>
  <c r="J37" i="1" s="1"/>
  <c r="F37" i="1"/>
  <c r="E37" i="1"/>
  <c r="D37" i="1"/>
  <c r="A37" i="1"/>
  <c r="I36" i="1"/>
  <c r="H36" i="1"/>
  <c r="G36" i="1"/>
  <c r="J36" i="1" s="1"/>
  <c r="F36" i="1"/>
  <c r="E36" i="1"/>
  <c r="C36" i="1"/>
  <c r="A36" i="1"/>
  <c r="I35" i="1"/>
  <c r="H35" i="1"/>
  <c r="G35" i="1"/>
  <c r="J35" i="1" s="1"/>
  <c r="F35" i="1"/>
  <c r="E35" i="1"/>
  <c r="A35" i="1"/>
  <c r="I34" i="1"/>
  <c r="H34" i="1"/>
  <c r="G34" i="1"/>
  <c r="J34" i="1" s="1"/>
  <c r="F34" i="1"/>
  <c r="E34" i="1"/>
  <c r="A34" i="1"/>
  <c r="I33" i="1"/>
  <c r="H33" i="1"/>
  <c r="G33" i="1"/>
  <c r="J33" i="1" s="1"/>
  <c r="F33" i="1"/>
  <c r="E33" i="1"/>
  <c r="D33" i="1"/>
  <c r="A33" i="1"/>
  <c r="I32" i="1"/>
  <c r="H32" i="1"/>
  <c r="G32" i="1"/>
  <c r="J32" i="1" s="1"/>
  <c r="F32" i="1"/>
  <c r="E32" i="1"/>
  <c r="C32" i="1"/>
  <c r="A32" i="1"/>
  <c r="I31" i="1"/>
  <c r="H31" i="1"/>
  <c r="G31" i="1"/>
  <c r="J31" i="1" s="1"/>
  <c r="F31" i="1"/>
  <c r="E31" i="1"/>
  <c r="A31" i="1"/>
  <c r="I30" i="1"/>
  <c r="H30" i="1"/>
  <c r="G30" i="1"/>
  <c r="J30" i="1" s="1"/>
  <c r="F30" i="1"/>
  <c r="E30" i="1"/>
  <c r="A30" i="1"/>
  <c r="I29" i="1"/>
  <c r="H29" i="1"/>
  <c r="G29" i="1"/>
  <c r="J29" i="1" s="1"/>
  <c r="F29" i="1"/>
  <c r="G15" i="1" s="1"/>
  <c r="E29" i="1"/>
  <c r="D29" i="1"/>
  <c r="A29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D31" i="1" l="1"/>
  <c r="C31" i="1"/>
  <c r="D34" i="1"/>
  <c r="C34" i="1"/>
  <c r="D35" i="1"/>
  <c r="C35" i="1"/>
  <c r="D39" i="1"/>
  <c r="C39" i="1"/>
  <c r="D38" i="1"/>
  <c r="C38" i="1"/>
  <c r="D30" i="1"/>
  <c r="C30" i="1"/>
  <c r="C40" i="1"/>
  <c r="D32" i="1"/>
  <c r="D36" i="1"/>
  <c r="C29" i="1"/>
  <c r="C33" i="1"/>
  <c r="C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<sst xmlns="http://schemas.openxmlformats.org/spreadsheetml/2006/main" count="92" uniqueCount="70">
  <si>
    <r>
      <rPr>
        <b/>
        <sz val="22"/>
        <color theme="1"/>
        <rFont val="Calibri"/>
        <family val="2"/>
      </rPr>
      <t>FAMAX TECHNOLOGY (M) SDN. BHD.</t>
    </r>
    <r>
      <rPr>
        <b/>
        <sz val="2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200601028954 (748710 - K )</t>
    </r>
  </si>
  <si>
    <t xml:space="preserve">BUY OFF REPORT </t>
  </si>
  <si>
    <t>PART DESCRIPTION :</t>
  </si>
  <si>
    <t>PREPARED BY:</t>
  </si>
  <si>
    <t>VERIFIED BY:</t>
  </si>
  <si>
    <t>APPROVE BY:</t>
  </si>
  <si>
    <t>DOCUMENT NO:</t>
  </si>
  <si>
    <t>PART NO:</t>
  </si>
  <si>
    <t>ENG</t>
  </si>
  <si>
    <t>QA</t>
  </si>
  <si>
    <t>DIRECTOR</t>
  </si>
  <si>
    <t>RAW MATERIAL GRADE:</t>
  </si>
  <si>
    <t>RAW MATERIAL SIZE</t>
  </si>
  <si>
    <t>PROCESS :</t>
  </si>
  <si>
    <t>PROCESS NO:</t>
  </si>
  <si>
    <t>J/O NO:</t>
  </si>
  <si>
    <t>M/O NO:</t>
  </si>
  <si>
    <t>REQUESTED BY:</t>
  </si>
  <si>
    <t>RAW MATERIAL:</t>
  </si>
  <si>
    <t>REVISION NO:</t>
  </si>
  <si>
    <t>EFFECTIVE DATE:</t>
  </si>
  <si>
    <t>PAGE NO:</t>
  </si>
  <si>
    <t>/</t>
  </si>
  <si>
    <t>DATE:</t>
  </si>
  <si>
    <t>POINT (DWG ZONE)</t>
  </si>
  <si>
    <t>MIN  or "OK"</t>
  </si>
  <si>
    <t>MAXor "NG"</t>
  </si>
  <si>
    <t>SC?</t>
  </si>
  <si>
    <t>Estimate(on Desire Cpk)</t>
  </si>
  <si>
    <t>TECHNICIAN</t>
  </si>
  <si>
    <t>QC</t>
  </si>
  <si>
    <t xml:space="preserve">BUYOFF TIME: </t>
  </si>
  <si>
    <t>FROM:</t>
  </si>
  <si>
    <t>NEW SETTING:</t>
  </si>
  <si>
    <t xml:space="preserve"> SHIFT</t>
  </si>
  <si>
    <t>MORNING :</t>
  </si>
  <si>
    <t>(LSL)</t>
  </si>
  <si>
    <t>(USL)</t>
  </si>
  <si>
    <t xml:space="preserve">QC/QCF/- </t>
  </si>
  <si>
    <t>LCL</t>
  </si>
  <si>
    <t>UCL</t>
  </si>
  <si>
    <t>TO:</t>
  </si>
  <si>
    <t>RESETTING:</t>
  </si>
  <si>
    <t>NIGHT:</t>
  </si>
  <si>
    <t xml:space="preserve">MACHINE NO:  </t>
  </si>
  <si>
    <t xml:space="preserve">MEASURING INSTRUMENT </t>
  </si>
  <si>
    <t>-</t>
  </si>
  <si>
    <t>INSPECTION ANALYSIS</t>
  </si>
  <si>
    <t>DISP/N</t>
  </si>
  <si>
    <t>MAX</t>
  </si>
  <si>
    <t>MIN</t>
  </si>
  <si>
    <t>VAR/ATT</t>
  </si>
  <si>
    <t>TARGET CPK:</t>
  </si>
  <si>
    <t>Xbar (AVG)</t>
  </si>
  <si>
    <t>Range</t>
  </si>
  <si>
    <t>Sigma</t>
  </si>
  <si>
    <t>Cpk</t>
  </si>
  <si>
    <t>REMARK:</t>
  </si>
  <si>
    <t>INSPECTED BY:</t>
  </si>
  <si>
    <t>AC</t>
  </si>
  <si>
    <t>ACCEPTED</t>
  </si>
  <si>
    <t>RE</t>
  </si>
  <si>
    <t>REJECTED</t>
  </si>
  <si>
    <t>CA</t>
  </si>
  <si>
    <t>CONDITIONAL APPROVE</t>
  </si>
  <si>
    <t>REC-QAS005-07</t>
  </si>
  <si>
    <t>EFFECTIVE DATE: 12 MARCH 2025</t>
  </si>
  <si>
    <t>RETENTION PERIOD: 2 YEARS</t>
  </si>
  <si>
    <t>DIS POSITION CODE:</t>
  </si>
  <si>
    <t>REMARKS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</si>
</sst>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\-mm\-yyyy"/>
  </numFmts>
  <fonts count="1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24"/>
      <color theme="1"/>
      <name val="Calibri"/>
      <family val="2"/>
    </font>
    <font>
      <b/>
      <sz val="22"/>
      <color theme="1"/>
      <name val="Calibri"/>
      <family val="2"/>
    </font>
    <font>
      <b/>
      <sz val="14"/>
      <color theme="1"/>
      <name val="Calibri"/>
      <family val="2"/>
    </font>
    <font>
      <sz val="8"/>
      <color theme="1"/>
      <name val="Calibri"/>
      <family val="2"/>
    </font>
    <font>
      <sz val="8.5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Protection="1">
      <protection hidden="1"/>
    </xf>
    <xf numFmtId="0" fontId="0" fillId="0" borderId="11" xfId="0" applyBorder="1" applyProtection="1"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7" xfId="0" applyBorder="1" applyProtection="1">
      <protection locked="0"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32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27" xfId="0" applyBorder="1" applyProtection="1">
      <protection hidden="1"/>
    </xf>
    <xf numFmtId="0" fontId="1" fillId="0" borderId="17" xfId="0" applyFont="1" applyBorder="1" applyProtection="1">
      <protection locked="0" hidden="1"/>
    </xf>
    <xf numFmtId="0" fontId="0" fillId="0" borderId="16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3" xfId="0" applyBorder="1" applyProtection="1"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locked="0" hidden="1"/>
    </xf>
    <xf numFmtId="0" fontId="1" fillId="0" borderId="28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locked="0" hidden="1"/>
    </xf>
    <xf numFmtId="0" fontId="9" fillId="0" borderId="7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left" vertical="center"/>
      <protection locked="0" hidden="1"/>
    </xf>
    <xf numFmtId="49" fontId="1" fillId="0" borderId="21" xfId="0" applyNumberFormat="1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/>
      <protection locked="0" hidden="1"/>
    </xf>
    <xf numFmtId="0" fontId="0" fillId="0" borderId="22" xfId="0" applyBorder="1" applyAlignment="1" applyProtection="1">
      <alignment horizontal="center"/>
      <protection locked="0" hidden="1"/>
    </xf>
    <xf numFmtId="0" fontId="0" fillId="0" borderId="9" xfId="0" applyBorder="1" applyAlignment="1" applyProtection="1">
      <alignment horizontal="center"/>
      <protection locked="0" hidden="1"/>
    </xf>
    <xf numFmtId="0" fontId="0" fillId="0" borderId="8" xfId="0" applyBorder="1" applyAlignment="1" applyProtection="1">
      <alignment horizontal="center"/>
      <protection locked="0" hidden="1"/>
    </xf>
    <xf numFmtId="0" fontId="0" fillId="0" borderId="14" xfId="0" applyBorder="1" applyAlignment="1" applyProtection="1">
      <alignment horizontal="center"/>
      <protection locked="0" hidden="1"/>
    </xf>
    <xf numFmtId="0" fontId="0" fillId="0" borderId="13" xfId="0" applyBorder="1" applyAlignment="1" applyProtection="1">
      <alignment horizontal="center"/>
      <protection locked="0"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165" fontId="1" fillId="0" borderId="20" xfId="0" applyNumberFormat="1" applyFont="1" applyBorder="1" applyAlignment="1" applyProtection="1">
      <alignment horizontal="center"/>
      <protection hidden="1"/>
    </xf>
    <xf numFmtId="165" fontId="1" fillId="0" borderId="19" xfId="0" applyNumberFormat="1" applyFont="1" applyBorder="1" applyAlignment="1" applyProtection="1">
      <alignment horizontal="center"/>
      <protection hidden="1"/>
    </xf>
    <xf numFmtId="165" fontId="1" fillId="0" borderId="26" xfId="0" applyNumberFormat="1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49" fontId="1" fillId="0" borderId="11" xfId="0" quotePrefix="1" applyNumberFormat="1" applyFont="1" applyBorder="1" applyAlignment="1" applyProtection="1">
      <alignment horizontal="center" vertical="center"/>
      <protection hidden="1"/>
    </xf>
    <xf numFmtId="49" fontId="1" fillId="0" borderId="11" xfId="0" applyNumberFormat="1" applyFont="1" applyBorder="1" applyAlignment="1" applyProtection="1">
      <alignment horizontal="center" vertical="center"/>
      <protection hidden="1"/>
    </xf>
    <xf numFmtId="49" fontId="1" fillId="0" borderId="20" xfId="0" quotePrefix="1" applyNumberFormat="1" applyFont="1" applyBorder="1" applyAlignment="1" applyProtection="1">
      <alignment horizontal="center" vertical="center"/>
      <protection hidden="1"/>
    </xf>
    <xf numFmtId="49" fontId="1" fillId="0" borderId="17" xfId="0" applyNumberFormat="1" applyFont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right" vertical="center"/>
      <protection hidden="1"/>
    </xf>
    <xf numFmtId="0" fontId="0" fillId="0" borderId="37" xfId="0" applyBorder="1" applyAlignment="1" applyProtection="1">
      <alignment horizontal="right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164" fontId="1" fillId="0" borderId="20" xfId="0" applyNumberFormat="1" applyFont="1" applyBorder="1" applyAlignment="1" applyProtection="1">
      <alignment horizontal="center" vertical="center"/>
      <protection locked="0" hidden="1"/>
    </xf>
    <xf numFmtId="164" fontId="1" fillId="0" borderId="17" xfId="0" applyNumberFormat="1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9" fillId="0" borderId="20" xfId="0" applyFont="1" applyBorder="1" applyAlignment="1" applyProtection="1">
      <alignment horizontal="center" vertical="center"/>
      <protection locked="0" hidden="1"/>
    </xf>
    <xf numFmtId="0" fontId="9" fillId="0" borderId="17" xfId="0" applyFont="1" applyBorder="1" applyAlignment="1" applyProtection="1">
      <alignment horizontal="center" vertical="center"/>
      <protection locked="0"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/>
      <protection locked="0" hidden="1"/>
    </xf>
    <xf numFmtId="0" fontId="0" fillId="0" borderId="17" xfId="0" applyBorder="1" applyAlignment="1" applyProtection="1">
      <alignment horizontal="center"/>
      <protection locked="0"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34" xfId="0" applyFont="1" applyBorder="1" applyAlignment="1" applyProtection="1">
      <alignment horizontal="center" vertical="center" wrapText="1"/>
      <protection hidden="1"/>
    </xf>
    <xf numFmtId="0" fontId="6" fillId="0" borderId="29" xfId="0" applyFont="1" applyBorder="1" applyAlignment="1" applyProtection="1">
      <alignment horizontal="center" vertical="center" wrapText="1"/>
      <protection hidden="1"/>
    </xf>
    <xf numFmtId="0" fontId="7" fillId="0" borderId="11" xfId="0" applyFont="1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locked="0" hidden="1"/>
    </xf>
    <xf numFmtId="0" fontId="0" fillId="0" borderId="15" xfId="0" applyBorder="1" applyAlignment="1" applyProtection="1">
      <alignment horizontal="center"/>
      <protection locked="0" hidden="1"/>
    </xf>
    <xf numFmtId="0" fontId="9" fillId="0" borderId="20" xfId="0" applyFont="1" applyBorder="1" applyAlignment="1" applyProtection="1">
      <alignment horizontal="center"/>
      <protection hidden="1"/>
    </xf>
    <xf numFmtId="0" fontId="9" fillId="0" borderId="17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/>
      <protection locked="0" hidden="1"/>
    </xf>
    <xf numFmtId="0" fontId="1" fillId="0" borderId="22" xfId="0" applyFont="1" applyBorder="1" applyAlignment="1" applyProtection="1">
      <alignment horizontal="center"/>
      <protection locked="0" hidden="1"/>
    </xf>
    <xf numFmtId="0" fontId="1" fillId="0" borderId="9" xfId="0" applyFont="1" applyBorder="1" applyAlignment="1" applyProtection="1">
      <alignment horizontal="center"/>
      <protection locked="0" hidden="1"/>
    </xf>
    <xf numFmtId="0" fontId="1" fillId="0" borderId="8" xfId="0" applyFont="1" applyBorder="1" applyAlignment="1" applyProtection="1">
      <alignment horizontal="center"/>
      <protection locked="0" hidden="1"/>
    </xf>
    <xf numFmtId="0" fontId="1" fillId="0" borderId="14" xfId="0" applyFont="1" applyBorder="1" applyAlignment="1" applyProtection="1">
      <alignment horizontal="center"/>
      <protection locked="0" hidden="1"/>
    </xf>
    <xf numFmtId="0" fontId="1" fillId="0" borderId="13" xfId="0" applyFont="1" applyBorder="1" applyAlignment="1" applyProtection="1">
      <alignment horizontal="center"/>
      <protection locked="0" hidden="1"/>
    </xf>
    <xf numFmtId="164" fontId="1" fillId="0" borderId="14" xfId="0" applyNumberFormat="1" applyFont="1" applyBorder="1" applyAlignment="1" applyProtection="1">
      <alignment horizontal="center" vertical="center"/>
      <protection locked="0" hidden="1"/>
    </xf>
    <xf numFmtId="164" fontId="1" fillId="0" borderId="13" xfId="0" applyNumberFormat="1" applyFont="1" applyBorder="1" applyAlignment="1" applyProtection="1">
      <alignment horizontal="center" vertical="center"/>
      <protection locked="0" hidden="1"/>
    </xf>
    <xf numFmtId="0" fontId="11" fillId="0" borderId="21" xfId="0" applyFont="1" applyBorder="1" applyAlignment="1" applyProtection="1">
      <alignment horizontal="center" vertical="center" wrapText="1"/>
      <protection hidden="1"/>
    </xf>
    <xf numFmtId="0" fontId="11" fillId="0" borderId="22" xfId="0" applyFont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0" fontId="1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 wrapText="1"/>
      <protection hidden="1"/>
    </xf>
    <xf numFmtId="0" fontId="6" fillId="0" borderId="3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80\Engineering\Users\zhewe\Desktop\SQAF-015%20TEMPLATE\VariablegaugeRandR%20(%20Verified%20with%20Data%20from%20AIAG%20MSA%20Already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 Data"/>
      <sheetName val="bts"/>
      <sheetName val="Results"/>
      <sheetName val="Bias &amp; Consistency Charts"/>
      <sheetName val="Ave &amp; Range Charts"/>
      <sheetName val="Critical Values"/>
      <sheetName val="d2star"/>
    </sheetNames>
    <sheetDataSet>
      <sheetData sheetId="0">
        <row r="21">
          <cell r="D21">
            <v>10</v>
          </cell>
          <cell r="G21">
            <v>3</v>
          </cell>
          <cell r="J21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80"/>
  <sheetViews>
    <sheetView tabSelected="1" view="pageBreakPreview" zoomScale="55" zoomScaleNormal="70" zoomScaleSheetLayoutView="55" zoomScalePageLayoutView="55" workbookViewId="0">
      <selection activeCell="P32" sqref="P32"/>
    </sheetView>
  </sheetViews>
  <sheetFormatPr defaultColWidth="8.6640625" defaultRowHeight="14.4" x14ac:dyDescent="0.3"/>
  <cols>
    <col min="1" max="16384" width="8.6640625" style="1"/>
  </cols>
  <sheetData>
    <row r="1" spans="1:21" ht="14.4" customHeight="1" x14ac:dyDescent="0.3">
      <c r="A1" s="91" t="e" vm="1">
        <v>#VALUE!</v>
      </c>
      <c r="B1" s="92"/>
      <c r="C1" s="97" t="s">
        <v>0</v>
      </c>
      <c r="D1" s="97"/>
      <c r="E1" s="97"/>
      <c r="F1" s="97"/>
      <c r="G1" s="97"/>
      <c r="H1" s="97"/>
      <c r="I1" s="97"/>
      <c r="J1" s="97"/>
      <c r="K1" s="81" t="s">
        <v>1</v>
      </c>
      <c r="L1" s="50"/>
      <c r="M1" s="50"/>
      <c r="N1" s="50"/>
      <c r="O1" s="50"/>
      <c r="P1" s="50"/>
      <c r="Q1" s="50"/>
      <c r="R1" s="128"/>
      <c r="S1" s="50" t="e" vm="2">
        <v>#VALUE!</v>
      </c>
      <c r="T1" s="50"/>
      <c r="U1" s="51"/>
    </row>
    <row r="2" spans="1:21" ht="14.4" customHeight="1" x14ac:dyDescent="0.3">
      <c r="A2" s="93"/>
      <c r="B2" s="94"/>
      <c r="C2" s="98"/>
      <c r="D2" s="98"/>
      <c r="E2" s="98"/>
      <c r="F2" s="98"/>
      <c r="G2" s="98"/>
      <c r="H2" s="98"/>
      <c r="I2" s="98"/>
      <c r="J2" s="98"/>
      <c r="K2" s="82"/>
      <c r="L2" s="52"/>
      <c r="M2" s="52"/>
      <c r="N2" s="52"/>
      <c r="O2" s="52"/>
      <c r="P2" s="52"/>
      <c r="Q2" s="52"/>
      <c r="R2" s="129"/>
      <c r="S2" s="52"/>
      <c r="T2" s="52"/>
      <c r="U2" s="53"/>
    </row>
    <row r="3" spans="1:21" ht="14.4" customHeight="1" x14ac:dyDescent="0.3">
      <c r="A3" s="95"/>
      <c r="B3" s="96"/>
      <c r="C3" s="98"/>
      <c r="D3" s="98"/>
      <c r="E3" s="98"/>
      <c r="F3" s="98"/>
      <c r="G3" s="98"/>
      <c r="H3" s="98"/>
      <c r="I3" s="98"/>
      <c r="J3" s="98"/>
      <c r="K3" s="83"/>
      <c r="L3" s="54"/>
      <c r="M3" s="54"/>
      <c r="N3" s="54"/>
      <c r="O3" s="54"/>
      <c r="P3" s="54"/>
      <c r="Q3" s="54"/>
      <c r="R3" s="130"/>
      <c r="S3" s="52"/>
      <c r="T3" s="52"/>
      <c r="U3" s="53"/>
    </row>
    <row r="4" spans="1:21" ht="14.4" customHeight="1" x14ac:dyDescent="0.3">
      <c r="A4" s="73" t="s">
        <v>2</v>
      </c>
      <c r="B4" s="39"/>
      <c r="C4" s="58"/>
      <c r="D4" s="58"/>
      <c r="E4" s="58"/>
      <c r="F4" s="58"/>
      <c r="G4" s="58"/>
      <c r="H4" s="38" t="s">
        <v>3</v>
      </c>
      <c r="I4" s="74"/>
      <c r="J4" s="39"/>
      <c r="K4" s="38" t="s">
        <v>4</v>
      </c>
      <c r="L4" s="74"/>
      <c r="M4" s="39"/>
      <c r="N4" s="38" t="s">
        <v>5</v>
      </c>
      <c r="O4" s="74"/>
      <c r="P4" s="39"/>
      <c r="Q4" s="40" t="s">
        <v>6</v>
      </c>
      <c r="R4" s="42"/>
      <c r="S4" s="40"/>
      <c r="T4" s="42"/>
      <c r="U4" s="125"/>
    </row>
    <row r="5" spans="1:21" ht="14.4" customHeight="1" x14ac:dyDescent="0.3">
      <c r="A5" s="73" t="s">
        <v>7</v>
      </c>
      <c r="B5" s="39"/>
      <c r="C5" s="58"/>
      <c r="D5" s="58"/>
      <c r="E5" s="58"/>
      <c r="F5" s="58"/>
      <c r="G5" s="58"/>
      <c r="H5" s="38" t="s">
        <v>8</v>
      </c>
      <c r="I5" s="74"/>
      <c r="J5" s="39"/>
      <c r="K5" s="38" t="s">
        <v>9</v>
      </c>
      <c r="L5" s="74"/>
      <c r="M5" s="39"/>
      <c r="N5" s="38" t="s">
        <v>10</v>
      </c>
      <c r="O5" s="74"/>
      <c r="P5" s="39"/>
      <c r="Q5" s="41"/>
      <c r="R5" s="43"/>
      <c r="S5" s="41"/>
      <c r="T5" s="43"/>
      <c r="U5" s="78"/>
    </row>
    <row r="6" spans="1:21" ht="14.4" customHeight="1" x14ac:dyDescent="0.3">
      <c r="A6" s="73" t="s">
        <v>18</v>
      </c>
      <c r="B6" s="39"/>
      <c r="C6" s="58"/>
      <c r="D6" s="58"/>
      <c r="E6" s="58"/>
      <c r="F6" s="58"/>
      <c r="G6" s="58"/>
      <c r="H6" s="59"/>
      <c r="I6" s="60"/>
      <c r="J6" s="61"/>
      <c r="K6" s="59"/>
      <c r="L6" s="60"/>
      <c r="M6" s="61"/>
      <c r="N6" s="59"/>
      <c r="O6" s="60"/>
      <c r="P6" s="61"/>
      <c r="Q6" s="38" t="s">
        <v>19</v>
      </c>
      <c r="R6" s="39"/>
      <c r="S6" s="41"/>
      <c r="T6" s="43"/>
      <c r="U6" s="78"/>
    </row>
    <row r="7" spans="1:21" ht="14.4" customHeight="1" x14ac:dyDescent="0.3">
      <c r="A7" s="73" t="s">
        <v>11</v>
      </c>
      <c r="B7" s="39"/>
      <c r="C7" s="58"/>
      <c r="D7" s="58"/>
      <c r="E7" s="58"/>
      <c r="F7" s="58"/>
      <c r="G7" s="58"/>
      <c r="H7" s="62"/>
      <c r="I7" s="63"/>
      <c r="J7" s="64"/>
      <c r="K7" s="62"/>
      <c r="L7" s="63"/>
      <c r="M7" s="64"/>
      <c r="N7" s="62"/>
      <c r="O7" s="63"/>
      <c r="P7" s="64"/>
      <c r="Q7" s="38" t="s">
        <v>20</v>
      </c>
      <c r="R7" s="39"/>
      <c r="S7" s="55" t="str">
        <f>IF(O9&lt;&gt;"", O9+7, "")</f>
        <v/>
      </c>
      <c r="T7" s="56"/>
      <c r="U7" s="57"/>
    </row>
    <row r="8" spans="1:21" ht="14.4" customHeight="1" x14ac:dyDescent="0.3">
      <c r="A8" s="73" t="s">
        <v>12</v>
      </c>
      <c r="B8" s="39"/>
      <c r="C8" s="58"/>
      <c r="D8" s="58"/>
      <c r="E8" s="58"/>
      <c r="F8" s="58"/>
      <c r="G8" s="58"/>
      <c r="H8" s="65"/>
      <c r="I8" s="63"/>
      <c r="J8" s="67"/>
      <c r="K8" s="65"/>
      <c r="L8" s="66"/>
      <c r="M8" s="67"/>
      <c r="N8" s="65"/>
      <c r="O8" s="66"/>
      <c r="P8" s="67"/>
      <c r="Q8" s="38" t="s">
        <v>21</v>
      </c>
      <c r="R8" s="39"/>
      <c r="S8" s="21">
        <v>1</v>
      </c>
      <c r="T8" s="21" t="s">
        <v>22</v>
      </c>
      <c r="U8" s="24">
        <f>COUNTA(A15,#REF!,#REF!,#REF!,#REF!,#REF!,#REF!,#REF!,#REF!,#REF!)</f>
        <v>9</v>
      </c>
    </row>
    <row r="9" spans="1:21" ht="14.4" customHeight="1" x14ac:dyDescent="0.3">
      <c r="A9" s="73" t="s">
        <v>13</v>
      </c>
      <c r="B9" s="39"/>
      <c r="C9" s="38"/>
      <c r="D9" s="74"/>
      <c r="E9" s="39"/>
      <c r="F9" s="22"/>
      <c r="G9" s="18"/>
      <c r="H9" s="37" t="s">
        <v>23</v>
      </c>
      <c r="I9" s="69"/>
      <c r="J9" s="70"/>
      <c r="K9" s="37" t="s">
        <v>23</v>
      </c>
      <c r="L9" s="70"/>
      <c r="M9" s="70"/>
      <c r="N9" s="37" t="s">
        <v>23</v>
      </c>
      <c r="O9" s="71"/>
      <c r="P9" s="72"/>
      <c r="Q9" s="27"/>
      <c r="R9" s="27"/>
      <c r="S9" s="27"/>
      <c r="T9" s="27"/>
      <c r="U9" s="28"/>
    </row>
    <row r="10" spans="1:21" ht="14.4" customHeight="1" x14ac:dyDescent="0.3">
      <c r="A10" s="73" t="s">
        <v>14</v>
      </c>
      <c r="B10" s="39"/>
      <c r="C10" s="21"/>
      <c r="D10" s="21" t="s">
        <v>22</v>
      </c>
      <c r="E10" s="21"/>
      <c r="F10" s="27"/>
      <c r="G10" s="84" t="s">
        <v>31</v>
      </c>
      <c r="H10" s="29" t="s">
        <v>32</v>
      </c>
      <c r="I10" s="119"/>
      <c r="J10" s="120"/>
      <c r="K10" s="26" t="s">
        <v>33</v>
      </c>
      <c r="L10" s="30"/>
      <c r="M10" s="27"/>
      <c r="N10" s="68" t="s">
        <v>34</v>
      </c>
      <c r="O10" s="21" t="s">
        <v>35</v>
      </c>
      <c r="P10" s="23"/>
      <c r="Q10" s="27"/>
      <c r="R10" s="27"/>
      <c r="S10" s="27"/>
      <c r="T10" s="27"/>
      <c r="U10" s="28"/>
    </row>
    <row r="11" spans="1:21" ht="14.4" customHeight="1" x14ac:dyDescent="0.3">
      <c r="A11" s="31"/>
      <c r="B11" s="27"/>
      <c r="C11" s="27"/>
      <c r="D11" s="27"/>
      <c r="E11" s="27"/>
      <c r="F11" s="27"/>
      <c r="G11" s="84"/>
      <c r="H11" s="29" t="s">
        <v>41</v>
      </c>
      <c r="I11" s="89"/>
      <c r="J11" s="90"/>
      <c r="K11" s="32" t="s">
        <v>42</v>
      </c>
      <c r="L11" s="30"/>
      <c r="M11" s="27"/>
      <c r="N11" s="68"/>
      <c r="O11" s="21" t="s">
        <v>43</v>
      </c>
      <c r="P11" s="30"/>
      <c r="Q11" s="85" t="s">
        <v>44</v>
      </c>
      <c r="R11" s="86"/>
      <c r="S11" s="23"/>
      <c r="T11" s="27"/>
      <c r="U11" s="28"/>
    </row>
    <row r="12" spans="1:21" ht="14.4" customHeight="1" x14ac:dyDescent="0.3">
      <c r="A12" s="5"/>
      <c r="U12" s="4"/>
    </row>
    <row r="13" spans="1:21" ht="14.4" customHeight="1" x14ac:dyDescent="0.3">
      <c r="A13" s="126" t="s">
        <v>24</v>
      </c>
      <c r="B13" s="68" t="s">
        <v>45</v>
      </c>
      <c r="C13" s="68"/>
      <c r="D13" s="20" t="s">
        <v>25</v>
      </c>
      <c r="E13" s="21" t="s">
        <v>26</v>
      </c>
      <c r="F13" s="21" t="s">
        <v>27</v>
      </c>
      <c r="G13" s="38" t="s">
        <v>28</v>
      </c>
      <c r="H13" s="39"/>
      <c r="I13" s="121" t="s">
        <v>69</v>
      </c>
      <c r="J13" s="122"/>
      <c r="K13" s="38" t="s">
        <v>29</v>
      </c>
      <c r="L13" s="74"/>
      <c r="M13" s="74"/>
      <c r="N13" s="74"/>
      <c r="O13" s="39"/>
      <c r="P13" s="38" t="s">
        <v>30</v>
      </c>
      <c r="Q13" s="74"/>
      <c r="R13" s="74"/>
      <c r="S13" s="74"/>
      <c r="T13" s="39"/>
      <c r="U13" s="4"/>
    </row>
    <row r="14" spans="1:21" ht="14.4" customHeight="1" x14ac:dyDescent="0.3">
      <c r="A14" s="127"/>
      <c r="B14" s="68"/>
      <c r="C14" s="68"/>
      <c r="D14" s="20" t="s">
        <v>36</v>
      </c>
      <c r="E14" s="21" t="s">
        <v>37</v>
      </c>
      <c r="F14" s="21" t="s">
        <v>38</v>
      </c>
      <c r="G14" s="21" t="s">
        <v>39</v>
      </c>
      <c r="H14" s="21" t="s">
        <v>40</v>
      </c>
      <c r="I14" s="123"/>
      <c r="J14" s="124"/>
      <c r="K14" s="21">
        <v>1</v>
      </c>
      <c r="L14" s="21">
        <v>2</v>
      </c>
      <c r="M14" s="21">
        <v>3</v>
      </c>
      <c r="N14" s="21">
        <v>4</v>
      </c>
      <c r="O14" s="21">
        <v>5</v>
      </c>
      <c r="P14" s="21">
        <v>1</v>
      </c>
      <c r="Q14" s="21">
        <v>2</v>
      </c>
      <c r="R14" s="21">
        <v>3</v>
      </c>
      <c r="S14" s="21">
        <v>4</v>
      </c>
      <c r="T14" s="21">
        <v>5</v>
      </c>
      <c r="U14" s="4"/>
    </row>
    <row r="15" spans="1:21" ht="14.4" customHeight="1" x14ac:dyDescent="0.3">
      <c r="A15" s="33"/>
      <c r="B15" s="101"/>
      <c r="C15" s="102"/>
      <c r="D15" s="34"/>
      <c r="E15" s="35"/>
      <c r="F15" s="35" t="s">
        <v>46</v>
      </c>
      <c r="G15" s="35" t="str">
        <f t="shared" ref="G15:G26" si="0">IF(ISNUMBER(D15),(D15+E15)/2-3*(E15 - (D15+E15)/2) / (3 * F29),"")</f>
        <v/>
      </c>
      <c r="H15" s="35" t="str">
        <f t="shared" ref="H15:H26" si="1">IF(ISNUMBER(E15),(D15+E15)/2+3*(E15 - (D15+E15)/2) / (3 * F29),"")</f>
        <v/>
      </c>
      <c r="I15" s="99"/>
      <c r="J15" s="10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4"/>
    </row>
    <row r="16" spans="1:21" ht="14.4" customHeight="1" x14ac:dyDescent="0.3">
      <c r="A16" s="33"/>
      <c r="B16" s="101"/>
      <c r="C16" s="102"/>
      <c r="D16" s="34"/>
      <c r="E16" s="35"/>
      <c r="F16" s="35" t="s">
        <v>46</v>
      </c>
      <c r="G16" s="35" t="str">
        <f t="shared" si="0"/>
        <v/>
      </c>
      <c r="H16" s="35" t="str">
        <f t="shared" si="1"/>
        <v/>
      </c>
      <c r="I16" s="99"/>
      <c r="J16" s="10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4"/>
    </row>
    <row r="17" spans="1:21" ht="14.4" customHeight="1" x14ac:dyDescent="0.3">
      <c r="A17" s="33"/>
      <c r="B17" s="101"/>
      <c r="C17" s="102"/>
      <c r="D17" s="34"/>
      <c r="E17" s="35"/>
      <c r="F17" s="35" t="s">
        <v>46</v>
      </c>
      <c r="G17" s="35" t="str">
        <f t="shared" si="0"/>
        <v/>
      </c>
      <c r="H17" s="35" t="str">
        <f t="shared" si="1"/>
        <v/>
      </c>
      <c r="I17" s="99"/>
      <c r="J17" s="10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4"/>
    </row>
    <row r="18" spans="1:21" ht="14.4" customHeight="1" x14ac:dyDescent="0.3">
      <c r="A18" s="33"/>
      <c r="B18" s="101"/>
      <c r="C18" s="102"/>
      <c r="D18" s="34"/>
      <c r="E18" s="35"/>
      <c r="F18" s="35" t="s">
        <v>46</v>
      </c>
      <c r="G18" s="35" t="str">
        <f t="shared" si="0"/>
        <v/>
      </c>
      <c r="H18" s="35" t="str">
        <f t="shared" si="1"/>
        <v/>
      </c>
      <c r="I18" s="99"/>
      <c r="J18" s="10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4"/>
    </row>
    <row r="19" spans="1:21" ht="14.4" customHeight="1" x14ac:dyDescent="0.3">
      <c r="A19" s="33"/>
      <c r="B19" s="101"/>
      <c r="C19" s="102"/>
      <c r="D19" s="34"/>
      <c r="E19" s="35"/>
      <c r="F19" s="35" t="s">
        <v>46</v>
      </c>
      <c r="G19" s="35" t="str">
        <f t="shared" si="0"/>
        <v/>
      </c>
      <c r="H19" s="35" t="str">
        <f t="shared" si="1"/>
        <v/>
      </c>
      <c r="I19" s="99"/>
      <c r="J19" s="10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4"/>
    </row>
    <row r="20" spans="1:21" ht="14.4" customHeight="1" x14ac:dyDescent="0.3">
      <c r="A20" s="33"/>
      <c r="B20" s="101"/>
      <c r="C20" s="102"/>
      <c r="D20" s="34"/>
      <c r="E20" s="35"/>
      <c r="F20" s="35" t="s">
        <v>46</v>
      </c>
      <c r="G20" s="35" t="str">
        <f t="shared" si="0"/>
        <v/>
      </c>
      <c r="H20" s="35" t="str">
        <f t="shared" si="1"/>
        <v/>
      </c>
      <c r="I20" s="99"/>
      <c r="J20" s="10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4"/>
    </row>
    <row r="21" spans="1:21" ht="14.4" customHeight="1" x14ac:dyDescent="0.3">
      <c r="A21" s="33"/>
      <c r="B21" s="101"/>
      <c r="C21" s="102"/>
      <c r="D21" s="34"/>
      <c r="E21" s="35"/>
      <c r="F21" s="35" t="s">
        <v>46</v>
      </c>
      <c r="G21" s="35" t="str">
        <f t="shared" si="0"/>
        <v/>
      </c>
      <c r="H21" s="35" t="str">
        <f t="shared" si="1"/>
        <v/>
      </c>
      <c r="I21" s="99"/>
      <c r="J21" s="10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4"/>
    </row>
    <row r="22" spans="1:21" ht="14.4" customHeight="1" x14ac:dyDescent="0.3">
      <c r="A22" s="33"/>
      <c r="B22" s="101"/>
      <c r="C22" s="102"/>
      <c r="D22" s="34"/>
      <c r="E22" s="35"/>
      <c r="F22" s="35" t="s">
        <v>46</v>
      </c>
      <c r="G22" s="35" t="str">
        <f t="shared" si="0"/>
        <v/>
      </c>
      <c r="H22" s="35" t="str">
        <f t="shared" si="1"/>
        <v/>
      </c>
      <c r="I22" s="99"/>
      <c r="J22" s="10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4"/>
    </row>
    <row r="23" spans="1:21" ht="14.4" customHeight="1" x14ac:dyDescent="0.3">
      <c r="A23" s="33"/>
      <c r="B23" s="101"/>
      <c r="C23" s="102"/>
      <c r="D23" s="34"/>
      <c r="E23" s="35"/>
      <c r="F23" s="35" t="s">
        <v>46</v>
      </c>
      <c r="G23" s="35" t="str">
        <f t="shared" si="0"/>
        <v/>
      </c>
      <c r="H23" s="35" t="str">
        <f t="shared" si="1"/>
        <v/>
      </c>
      <c r="I23" s="99"/>
      <c r="J23" s="10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4"/>
    </row>
    <row r="24" spans="1:21" ht="14.4" customHeight="1" x14ac:dyDescent="0.3">
      <c r="A24" s="33"/>
      <c r="B24" s="101"/>
      <c r="C24" s="102"/>
      <c r="D24" s="34"/>
      <c r="E24" s="35"/>
      <c r="F24" s="35" t="s">
        <v>46</v>
      </c>
      <c r="G24" s="35" t="str">
        <f t="shared" si="0"/>
        <v/>
      </c>
      <c r="H24" s="35" t="str">
        <f t="shared" si="1"/>
        <v/>
      </c>
      <c r="I24" s="99"/>
      <c r="J24" s="10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4"/>
    </row>
    <row r="25" spans="1:21" ht="14.4" customHeight="1" x14ac:dyDescent="0.3">
      <c r="A25" s="33"/>
      <c r="B25" s="101"/>
      <c r="C25" s="102"/>
      <c r="D25" s="34"/>
      <c r="E25" s="35"/>
      <c r="F25" s="35" t="s">
        <v>46</v>
      </c>
      <c r="G25" s="35" t="str">
        <f t="shared" si="0"/>
        <v/>
      </c>
      <c r="H25" s="35" t="str">
        <f t="shared" si="1"/>
        <v/>
      </c>
      <c r="I25" s="99"/>
      <c r="J25" s="10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4"/>
    </row>
    <row r="26" spans="1:21" ht="14.4" customHeight="1" x14ac:dyDescent="0.3">
      <c r="A26" s="33"/>
      <c r="B26" s="101"/>
      <c r="C26" s="102"/>
      <c r="D26" s="34"/>
      <c r="E26" s="35"/>
      <c r="F26" s="35" t="s">
        <v>46</v>
      </c>
      <c r="G26" s="35" t="str">
        <f t="shared" si="0"/>
        <v/>
      </c>
      <c r="H26" s="35" t="str">
        <f t="shared" si="1"/>
        <v/>
      </c>
      <c r="I26" s="99"/>
      <c r="J26" s="10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4"/>
    </row>
    <row r="27" spans="1:21" ht="14.4" customHeight="1" x14ac:dyDescent="0.3">
      <c r="A27" s="87" t="s">
        <v>47</v>
      </c>
      <c r="B27" s="88"/>
      <c r="C27" s="88"/>
      <c r="D27" s="88"/>
      <c r="E27" s="88"/>
      <c r="F27" s="88"/>
      <c r="G27" s="88"/>
      <c r="H27" s="88"/>
      <c r="I27" s="88"/>
      <c r="J27" s="80"/>
      <c r="U27" s="4"/>
    </row>
    <row r="28" spans="1:21" ht="14.4" customHeight="1" x14ac:dyDescent="0.3">
      <c r="A28" s="8"/>
      <c r="B28" s="2" t="s">
        <v>48</v>
      </c>
      <c r="C28" s="2" t="s">
        <v>49</v>
      </c>
      <c r="D28" s="2" t="s">
        <v>50</v>
      </c>
      <c r="E28" s="9" t="s">
        <v>51</v>
      </c>
      <c r="F28" s="3" t="s">
        <v>52</v>
      </c>
      <c r="G28" s="2" t="s">
        <v>53</v>
      </c>
      <c r="H28" s="2" t="s">
        <v>54</v>
      </c>
      <c r="I28" s="2" t="s">
        <v>55</v>
      </c>
      <c r="J28" s="2" t="s">
        <v>56</v>
      </c>
      <c r="U28" s="4"/>
    </row>
    <row r="29" spans="1:21" ht="14.4" customHeight="1" x14ac:dyDescent="0.3">
      <c r="A29" s="10" t="str">
        <f>IF(ISBLANK(A15),"",A15)</f>
        <v/>
      </c>
      <c r="B29" s="7" t="str" cm="1">
        <f t="array" ref="B29">IF(D15="", "", IF(AND(D15&lt;=MIN(K15:T15),E15&gt;=MAX(K15:T15)),"ACCEPT",IF(AND(K15:T15="OK"),"ACCEPT","REJECT")))</f>
        <v/>
      </c>
      <c r="C29" s="7" t="str">
        <f t="shared" ref="C29:C40" si="2">IF(TRIM(B29)="", "", MAX(K15:T15))</f>
        <v/>
      </c>
      <c r="D29" s="7" t="str">
        <f t="shared" ref="D29:D40" si="3">IF(TRIM(B29)="", "", MIN(K15:T15))</f>
        <v/>
      </c>
      <c r="E29" s="7" t="str">
        <f t="shared" ref="E29:E40" si="4">IF(ISNUMBER(D15),"VARIABLE",IF(ISBLANK(D15),"","ATTRIBUTE"))</f>
        <v/>
      </c>
      <c r="F29" s="7">
        <f t="shared" ref="F29:F40" si="5">IF((F15="QC"),1.33,1)</f>
        <v>1</v>
      </c>
      <c r="G29" s="7">
        <f t="shared" ref="G29:G40" si="6">IF(COUNT(K15:T15)=0,0,AVERAGE(K15:T15))</f>
        <v>0</v>
      </c>
      <c r="H29" s="7">
        <f t="shared" ref="H29:H40" si="7">MAX(K15:T15)-MIN(K15:T15)</f>
        <v>0</v>
      </c>
      <c r="I29" s="7">
        <f t="shared" ref="I29:I40" si="8">IF(COUNT(K15:T15)=0,0,_xlfn.STDEV.S(K15:T15))</f>
        <v>0</v>
      </c>
      <c r="J29" s="7" t="str">
        <f t="shared" ref="J29:J40" si="9">IF(G29=0,"-",IF(G29-D15&lt;E15-G29,G29-D15,E15-G29)/(I29*3))</f>
        <v>-</v>
      </c>
      <c r="U29" s="4"/>
    </row>
    <row r="30" spans="1:21" ht="14.4" customHeight="1" x14ac:dyDescent="0.3">
      <c r="A30" s="10" t="str">
        <f t="shared" ref="A30:A39" si="10">IF(ISBLANK(A16),"",A16)</f>
        <v/>
      </c>
      <c r="B30" s="7" t="str" cm="1">
        <f t="array" ref="B30">IF(D16="", "", IF(AND(D16&lt;=MIN(K16:T16),E16&gt;=MAX(K16:T16)),"ACCEPT",IF(AND(K16:T16="OK"),"ACCEPT","REJECT")))</f>
        <v/>
      </c>
      <c r="C30" s="7" t="str">
        <f t="shared" si="2"/>
        <v/>
      </c>
      <c r="D30" s="7" t="str">
        <f t="shared" si="3"/>
        <v/>
      </c>
      <c r="E30" s="7" t="str">
        <f t="shared" si="4"/>
        <v/>
      </c>
      <c r="F30" s="7">
        <f t="shared" si="5"/>
        <v>1</v>
      </c>
      <c r="G30" s="7">
        <f t="shared" si="6"/>
        <v>0</v>
      </c>
      <c r="H30" s="7">
        <f t="shared" si="7"/>
        <v>0</v>
      </c>
      <c r="I30" s="7">
        <f t="shared" si="8"/>
        <v>0</v>
      </c>
      <c r="J30" s="7" t="str">
        <f t="shared" si="9"/>
        <v>-</v>
      </c>
      <c r="U30" s="4"/>
    </row>
    <row r="31" spans="1:21" ht="14.4" customHeight="1" x14ac:dyDescent="0.3">
      <c r="A31" s="10" t="str">
        <f t="shared" si="10"/>
        <v/>
      </c>
      <c r="B31" s="7" t="str" cm="1">
        <f t="array" ref="B31">IF(D17="", "", IF(AND(D17&lt;=MIN(K17:T17),E17&gt;=MAX(K17:T17)),"ACCEPT",IF(AND(K17:T17="OK"),"ACCEPT","REJECT")))</f>
        <v/>
      </c>
      <c r="C31" s="7" t="str">
        <f t="shared" si="2"/>
        <v/>
      </c>
      <c r="D31" s="7" t="str">
        <f t="shared" si="3"/>
        <v/>
      </c>
      <c r="E31" s="7" t="str">
        <f t="shared" si="4"/>
        <v/>
      </c>
      <c r="F31" s="7">
        <f t="shared" si="5"/>
        <v>1</v>
      </c>
      <c r="G31" s="7">
        <f t="shared" si="6"/>
        <v>0</v>
      </c>
      <c r="H31" s="7">
        <f t="shared" si="7"/>
        <v>0</v>
      </c>
      <c r="I31" s="7">
        <f t="shared" si="8"/>
        <v>0</v>
      </c>
      <c r="J31" s="7" t="str">
        <f t="shared" si="9"/>
        <v>-</v>
      </c>
      <c r="U31" s="4"/>
    </row>
    <row r="32" spans="1:21" ht="14.4" customHeight="1" x14ac:dyDescent="0.3">
      <c r="A32" s="10" t="str">
        <f t="shared" si="10"/>
        <v/>
      </c>
      <c r="B32" s="7" t="str" cm="1">
        <f t="array" ref="B32">IF(D18="", "", IF(AND(D18&lt;=MIN(K18:T18),E18&gt;=MAX(K18:T18)),"ACCEPT",IF(AND(K18:T18="OK"),"ACCEPT","REJECT")))</f>
        <v/>
      </c>
      <c r="C32" s="7" t="str">
        <f t="shared" si="2"/>
        <v/>
      </c>
      <c r="D32" s="7" t="str">
        <f t="shared" si="3"/>
        <v/>
      </c>
      <c r="E32" s="7" t="str">
        <f t="shared" si="4"/>
        <v/>
      </c>
      <c r="F32" s="7">
        <f t="shared" si="5"/>
        <v>1</v>
      </c>
      <c r="G32" s="7">
        <f t="shared" si="6"/>
        <v>0</v>
      </c>
      <c r="H32" s="7">
        <f t="shared" si="7"/>
        <v>0</v>
      </c>
      <c r="I32" s="7">
        <f t="shared" si="8"/>
        <v>0</v>
      </c>
      <c r="J32" s="7" t="str">
        <f t="shared" si="9"/>
        <v>-</v>
      </c>
      <c r="U32" s="4"/>
    </row>
    <row r="33" spans="1:21" ht="14.4" customHeight="1" x14ac:dyDescent="0.3">
      <c r="A33" s="10" t="str">
        <f t="shared" si="10"/>
        <v/>
      </c>
      <c r="B33" s="7" t="str" cm="1">
        <f t="array" ref="B33">IF(D19="", "", IF(AND(D19&lt;=MIN(K19:T19),E19&gt;=MAX(K19:T19)),"ACCEPT",IF(AND(K19:T19="OK"),"ACCEPT","REJECT")))</f>
        <v/>
      </c>
      <c r="C33" s="7" t="str">
        <f t="shared" si="2"/>
        <v/>
      </c>
      <c r="D33" s="7" t="str">
        <f t="shared" si="3"/>
        <v/>
      </c>
      <c r="E33" s="7" t="str">
        <f t="shared" si="4"/>
        <v/>
      </c>
      <c r="F33" s="7">
        <f t="shared" si="5"/>
        <v>1</v>
      </c>
      <c r="G33" s="7">
        <f t="shared" si="6"/>
        <v>0</v>
      </c>
      <c r="H33" s="7">
        <f t="shared" si="7"/>
        <v>0</v>
      </c>
      <c r="I33" s="7">
        <f t="shared" si="8"/>
        <v>0</v>
      </c>
      <c r="J33" s="7" t="str">
        <f t="shared" si="9"/>
        <v>-</v>
      </c>
      <c r="U33" s="4"/>
    </row>
    <row r="34" spans="1:21" ht="14.4" customHeight="1" x14ac:dyDescent="0.3">
      <c r="A34" s="10" t="str">
        <f t="shared" si="10"/>
        <v/>
      </c>
      <c r="B34" s="7" t="str" cm="1">
        <f t="array" ref="B34">IF(D20="", "", IF(AND(D20&lt;=MIN(K20:T20),E20&gt;=MAX(K20:T20)),"ACCEPT",IF(AND(K20:T20="OK"),"ACCEPT","REJECT")))</f>
        <v/>
      </c>
      <c r="C34" s="7" t="str">
        <f t="shared" si="2"/>
        <v/>
      </c>
      <c r="D34" s="7" t="str">
        <f t="shared" si="3"/>
        <v/>
      </c>
      <c r="E34" s="7" t="str">
        <f t="shared" si="4"/>
        <v/>
      </c>
      <c r="F34" s="7">
        <f t="shared" si="5"/>
        <v>1</v>
      </c>
      <c r="G34" s="7">
        <f t="shared" si="6"/>
        <v>0</v>
      </c>
      <c r="H34" s="7">
        <f t="shared" si="7"/>
        <v>0</v>
      </c>
      <c r="I34" s="7">
        <f t="shared" si="8"/>
        <v>0</v>
      </c>
      <c r="J34" s="7" t="str">
        <f t="shared" si="9"/>
        <v>-</v>
      </c>
      <c r="U34" s="4"/>
    </row>
    <row r="35" spans="1:21" ht="14.4" customHeight="1" x14ac:dyDescent="0.3">
      <c r="A35" s="10" t="str">
        <f t="shared" si="10"/>
        <v/>
      </c>
      <c r="B35" s="7" t="str" cm="1">
        <f t="array" ref="B35">IF(D21="", "", IF(AND(D21&lt;=MIN(K21:T21),E21&gt;=MAX(K21:T21)),"ACCEPT",IF(AND(K21:T21="OK"),"ACCEPT","REJECT")))</f>
        <v/>
      </c>
      <c r="C35" s="7" t="str">
        <f t="shared" si="2"/>
        <v/>
      </c>
      <c r="D35" s="7" t="str">
        <f t="shared" si="3"/>
        <v/>
      </c>
      <c r="E35" s="7" t="str">
        <f t="shared" si="4"/>
        <v/>
      </c>
      <c r="F35" s="7">
        <f t="shared" si="5"/>
        <v>1</v>
      </c>
      <c r="G35" s="7">
        <f t="shared" si="6"/>
        <v>0</v>
      </c>
      <c r="H35" s="7">
        <f t="shared" si="7"/>
        <v>0</v>
      </c>
      <c r="I35" s="7">
        <f t="shared" si="8"/>
        <v>0</v>
      </c>
      <c r="J35" s="7" t="str">
        <f t="shared" si="9"/>
        <v>-</v>
      </c>
      <c r="U35" s="4"/>
    </row>
    <row r="36" spans="1:21" ht="14.4" customHeight="1" x14ac:dyDescent="0.3">
      <c r="A36" s="10" t="str">
        <f t="shared" si="10"/>
        <v/>
      </c>
      <c r="B36" s="7" t="str" cm="1">
        <f t="array" ref="B36">IF(D22="", "", IF(AND(D22&lt;=MIN(K22:T22),E22&gt;=MAX(K22:T22)),"ACCEPT",IF(AND(K22:T22="OK"),"ACCEPT","REJECT")))</f>
        <v/>
      </c>
      <c r="C36" s="7" t="str">
        <f t="shared" si="2"/>
        <v/>
      </c>
      <c r="D36" s="7" t="str">
        <f t="shared" si="3"/>
        <v/>
      </c>
      <c r="E36" s="7" t="str">
        <f t="shared" si="4"/>
        <v/>
      </c>
      <c r="F36" s="7">
        <f t="shared" si="5"/>
        <v>1</v>
      </c>
      <c r="G36" s="7">
        <f t="shared" si="6"/>
        <v>0</v>
      </c>
      <c r="H36" s="7">
        <f t="shared" si="7"/>
        <v>0</v>
      </c>
      <c r="I36" s="7">
        <f t="shared" si="8"/>
        <v>0</v>
      </c>
      <c r="J36" s="7" t="str">
        <f t="shared" si="9"/>
        <v>-</v>
      </c>
      <c r="U36" s="4"/>
    </row>
    <row r="37" spans="1:21" ht="14.4" customHeight="1" x14ac:dyDescent="0.3">
      <c r="A37" s="10" t="str">
        <f t="shared" si="10"/>
        <v/>
      </c>
      <c r="B37" s="7" t="str" cm="1">
        <f t="array" ref="B37">IF(D23="", "", IF(AND(D23&lt;=MIN(K23:T23),E23&gt;=MAX(K23:T23)),"ACCEPT",IF(AND(K23:T23="OK"),"ACCEPT","REJECT")))</f>
        <v/>
      </c>
      <c r="C37" s="7" t="str">
        <f t="shared" si="2"/>
        <v/>
      </c>
      <c r="D37" s="7" t="str">
        <f t="shared" si="3"/>
        <v/>
      </c>
      <c r="E37" s="7" t="str">
        <f t="shared" si="4"/>
        <v/>
      </c>
      <c r="F37" s="7">
        <f t="shared" si="5"/>
        <v>1</v>
      </c>
      <c r="G37" s="7">
        <f t="shared" si="6"/>
        <v>0</v>
      </c>
      <c r="H37" s="7">
        <f t="shared" si="7"/>
        <v>0</v>
      </c>
      <c r="I37" s="7">
        <f t="shared" si="8"/>
        <v>0</v>
      </c>
      <c r="J37" s="7" t="str">
        <f t="shared" si="9"/>
        <v>-</v>
      </c>
      <c r="U37" s="4"/>
    </row>
    <row r="38" spans="1:21" ht="14.4" customHeight="1" x14ac:dyDescent="0.3">
      <c r="A38" s="10" t="str">
        <f t="shared" si="10"/>
        <v/>
      </c>
      <c r="B38" s="7" t="str" cm="1">
        <f t="array" ref="B38">IF(D24="", "", IF(AND(D24&lt;=MIN(K24:T24),E24&gt;=MAX(K24:T24)),"ACCEPT",IF(AND(K24:T24="OK"),"ACCEPT","REJECT")))</f>
        <v/>
      </c>
      <c r="C38" s="7" t="str">
        <f t="shared" si="2"/>
        <v/>
      </c>
      <c r="D38" s="7" t="str">
        <f t="shared" si="3"/>
        <v/>
      </c>
      <c r="E38" s="7" t="str">
        <f t="shared" si="4"/>
        <v/>
      </c>
      <c r="F38" s="7">
        <f t="shared" si="5"/>
        <v>1</v>
      </c>
      <c r="G38" s="7">
        <f t="shared" si="6"/>
        <v>0</v>
      </c>
      <c r="H38" s="7">
        <f t="shared" si="7"/>
        <v>0</v>
      </c>
      <c r="I38" s="7">
        <f t="shared" si="8"/>
        <v>0</v>
      </c>
      <c r="J38" s="7" t="str">
        <f t="shared" si="9"/>
        <v>-</v>
      </c>
      <c r="U38" s="4"/>
    </row>
    <row r="39" spans="1:21" ht="14.4" customHeight="1" x14ac:dyDescent="0.3">
      <c r="A39" s="10" t="str">
        <f t="shared" si="10"/>
        <v/>
      </c>
      <c r="B39" s="7" t="str" cm="1">
        <f t="array" ref="B39">IF(D25="", "", IF(AND(D25&lt;=MIN(K25:T25),E25&gt;=MAX(K25:T25)),"ACCEPT",IF(AND(K25:T25="OK"),"ACCEPT","REJECT")))</f>
        <v/>
      </c>
      <c r="C39" s="7" t="str">
        <f t="shared" si="2"/>
        <v/>
      </c>
      <c r="D39" s="7" t="str">
        <f t="shared" si="3"/>
        <v/>
      </c>
      <c r="E39" s="7" t="str">
        <f t="shared" si="4"/>
        <v/>
      </c>
      <c r="F39" s="7">
        <f t="shared" si="5"/>
        <v>1</v>
      </c>
      <c r="G39" s="7">
        <f t="shared" si="6"/>
        <v>0</v>
      </c>
      <c r="H39" s="7">
        <f t="shared" si="7"/>
        <v>0</v>
      </c>
      <c r="I39" s="7">
        <f t="shared" si="8"/>
        <v>0</v>
      </c>
      <c r="J39" s="7" t="str">
        <f t="shared" si="9"/>
        <v>-</v>
      </c>
      <c r="U39" s="4"/>
    </row>
    <row r="40" spans="1:21" ht="14.4" customHeight="1" x14ac:dyDescent="0.3">
      <c r="A40" s="10" t="str">
        <f>IF(ISBLANK(A26),"",A26)</f>
        <v/>
      </c>
      <c r="B40" s="7" t="str" cm="1">
        <f t="array" ref="B40">IF(D26="", "", IF(AND(D26&lt;=MIN(K26:T26),E26&gt;=MAX(K26:T26)),"ACCEPT",IF(AND(K26:T26="OK"),"ACCEPT","REJECT")))</f>
        <v/>
      </c>
      <c r="C40" s="7" t="str">
        <f t="shared" si="2"/>
        <v/>
      </c>
      <c r="D40" s="7" t="str">
        <f t="shared" si="3"/>
        <v/>
      </c>
      <c r="E40" s="7" t="str">
        <f t="shared" si="4"/>
        <v/>
      </c>
      <c r="F40" s="7">
        <f t="shared" si="5"/>
        <v>1</v>
      </c>
      <c r="G40" s="7">
        <f t="shared" si="6"/>
        <v>0</v>
      </c>
      <c r="H40" s="7">
        <f t="shared" si="7"/>
        <v>0</v>
      </c>
      <c r="I40" s="7">
        <f t="shared" si="8"/>
        <v>0</v>
      </c>
      <c r="J40" s="7" t="str">
        <f t="shared" si="9"/>
        <v>-</v>
      </c>
      <c r="U40" s="4"/>
    </row>
    <row r="41" spans="1:21" ht="14.4" customHeight="1" x14ac:dyDescent="0.3">
      <c r="A41" s="11"/>
      <c r="B41" s="12"/>
      <c r="C41" s="12"/>
      <c r="D41" s="12"/>
      <c r="E41" s="12"/>
      <c r="U41" s="4"/>
    </row>
    <row r="42" spans="1:21" ht="14.4" customHeight="1" x14ac:dyDescent="0.3">
      <c r="A42" s="13" t="s">
        <v>15</v>
      </c>
      <c r="B42" s="103"/>
      <c r="C42" s="104"/>
      <c r="D42" s="111" t="s">
        <v>17</v>
      </c>
      <c r="E42" s="112"/>
      <c r="G42" s="59" t="s">
        <v>57</v>
      </c>
      <c r="H42" s="109"/>
      <c r="I42" s="109"/>
      <c r="J42" s="45"/>
      <c r="L42" s="79" t="s">
        <v>58</v>
      </c>
      <c r="M42" s="80"/>
      <c r="N42" s="79" t="s">
        <v>4</v>
      </c>
      <c r="O42" s="80"/>
      <c r="Q42" s="79" t="s">
        <v>58</v>
      </c>
      <c r="R42" s="80"/>
      <c r="S42" s="79" t="s">
        <v>4</v>
      </c>
      <c r="T42" s="80"/>
      <c r="U42" s="4"/>
    </row>
    <row r="43" spans="1:21" ht="14.4" customHeight="1" x14ac:dyDescent="0.3">
      <c r="A43" s="5"/>
      <c r="D43" s="113"/>
      <c r="E43" s="114"/>
      <c r="G43" s="65"/>
      <c r="H43" s="110"/>
      <c r="I43" s="110"/>
      <c r="J43" s="49"/>
      <c r="L43" s="44"/>
      <c r="M43" s="45"/>
      <c r="N43" s="44"/>
      <c r="O43" s="45"/>
      <c r="Q43" s="44"/>
      <c r="R43" s="45"/>
      <c r="S43" s="44"/>
      <c r="T43" s="45"/>
      <c r="U43" s="4"/>
    </row>
    <row r="44" spans="1:21" ht="14.4" customHeight="1" x14ac:dyDescent="0.3">
      <c r="A44" s="5" t="s">
        <v>16</v>
      </c>
      <c r="B44" s="103"/>
      <c r="C44" s="104"/>
      <c r="D44" s="115"/>
      <c r="E44" s="116"/>
      <c r="G44" s="105" t="s">
        <v>68</v>
      </c>
      <c r="H44" s="9" t="s">
        <v>59</v>
      </c>
      <c r="I44" s="108" t="s">
        <v>60</v>
      </c>
      <c r="J44" s="108"/>
      <c r="L44" s="46"/>
      <c r="M44" s="47"/>
      <c r="N44" s="46"/>
      <c r="O44" s="47"/>
      <c r="Q44" s="46"/>
      <c r="R44" s="47"/>
      <c r="S44" s="46"/>
      <c r="T44" s="47"/>
      <c r="U44" s="4"/>
    </row>
    <row r="45" spans="1:21" ht="14.4" customHeight="1" x14ac:dyDescent="0.3">
      <c r="A45" s="5"/>
      <c r="D45" s="117"/>
      <c r="E45" s="118"/>
      <c r="G45" s="106"/>
      <c r="H45" s="9" t="s">
        <v>61</v>
      </c>
      <c r="I45" s="108" t="s">
        <v>62</v>
      </c>
      <c r="J45" s="108"/>
      <c r="L45" s="48"/>
      <c r="M45" s="49"/>
      <c r="N45" s="48"/>
      <c r="O45" s="49"/>
      <c r="Q45" s="48"/>
      <c r="R45" s="49"/>
      <c r="S45" s="48"/>
      <c r="T45" s="49"/>
      <c r="U45" s="4"/>
    </row>
    <row r="46" spans="1:21" ht="14.4" customHeight="1" x14ac:dyDescent="0.3">
      <c r="A46" s="11"/>
      <c r="B46" s="12"/>
      <c r="C46" s="12"/>
      <c r="D46" s="19" t="s">
        <v>23</v>
      </c>
      <c r="E46" s="14"/>
      <c r="G46" s="107"/>
      <c r="H46" s="9" t="s">
        <v>63</v>
      </c>
      <c r="I46" s="108" t="s">
        <v>64</v>
      </c>
      <c r="J46" s="108"/>
      <c r="L46" s="25" t="s">
        <v>23</v>
      </c>
      <c r="M46" s="6"/>
      <c r="N46" s="25" t="s">
        <v>23</v>
      </c>
      <c r="O46" s="6"/>
      <c r="Q46" s="25" t="s">
        <v>23</v>
      </c>
      <c r="R46" s="6"/>
      <c r="S46" s="25" t="s">
        <v>23</v>
      </c>
      <c r="T46" s="6"/>
      <c r="U46" s="4"/>
    </row>
    <row r="47" spans="1:21" ht="14.4" customHeight="1" x14ac:dyDescent="0.3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5"/>
    </row>
    <row r="48" spans="1:21" ht="14.4" customHeight="1" thickBot="1" x14ac:dyDescent="0.35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75" t="s">
        <v>67</v>
      </c>
      <c r="M48" s="75"/>
      <c r="N48" s="75"/>
      <c r="O48" s="76" t="s">
        <v>66</v>
      </c>
      <c r="P48" s="76"/>
      <c r="Q48" s="76"/>
      <c r="R48" s="76"/>
      <c r="S48" s="76" t="s">
        <v>65</v>
      </c>
      <c r="T48" s="76"/>
      <c r="U48" s="77"/>
    </row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  <row r="109" ht="14.4" customHeight="1" x14ac:dyDescent="0.3"/>
    <row r="110" ht="14.4" customHeight="1" x14ac:dyDescent="0.3"/>
    <row r="111" ht="14.4" customHeight="1" x14ac:dyDescent="0.3"/>
    <row r="112" ht="14.4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  <row r="118" ht="14.4" customHeight="1" x14ac:dyDescent="0.3"/>
    <row r="119" ht="14.4" customHeight="1" x14ac:dyDescent="0.3"/>
    <row r="120" ht="14.4" customHeight="1" x14ac:dyDescent="0.3"/>
    <row r="121" ht="14.4" customHeight="1" x14ac:dyDescent="0.3"/>
    <row r="122" ht="14.4" customHeight="1" x14ac:dyDescent="0.3"/>
    <row r="123" ht="14.4" customHeight="1" x14ac:dyDescent="0.3"/>
    <row r="124" ht="14.4" customHeight="1" x14ac:dyDescent="0.3"/>
    <row r="125" ht="14.4" customHeight="1" x14ac:dyDescent="0.3"/>
    <row r="126" ht="14.4" customHeight="1" x14ac:dyDescent="0.3"/>
    <row r="127" ht="14.4" customHeight="1" x14ac:dyDescent="0.3"/>
    <row r="128" ht="14.4" customHeight="1" x14ac:dyDescent="0.3"/>
    <row r="129" ht="14.4" customHeight="1" x14ac:dyDescent="0.3"/>
    <row r="130" ht="14.4" customHeight="1" x14ac:dyDescent="0.3"/>
    <row r="131" ht="14.4" customHeight="1" x14ac:dyDescent="0.3"/>
    <row r="132" ht="14.4" customHeight="1" x14ac:dyDescent="0.3"/>
    <row r="133" ht="14.4" customHeight="1" x14ac:dyDescent="0.3"/>
    <row r="134" ht="14.4" customHeight="1" x14ac:dyDescent="0.3"/>
    <row r="135" ht="14.4" customHeight="1" x14ac:dyDescent="0.3"/>
    <row r="136" ht="14.4" customHeight="1" x14ac:dyDescent="0.3"/>
    <row r="137" ht="14.4" customHeight="1" x14ac:dyDescent="0.3"/>
    <row r="138" ht="14.4" customHeight="1" x14ac:dyDescent="0.3"/>
    <row r="139" ht="14.4" customHeight="1" x14ac:dyDescent="0.3"/>
    <row r="140" ht="14.4" customHeight="1" x14ac:dyDescent="0.3"/>
    <row r="141" ht="14.4" customHeight="1" x14ac:dyDescent="0.3"/>
    <row r="142" ht="14.4" customHeight="1" x14ac:dyDescent="0.3"/>
    <row r="143" ht="14.4" customHeight="1" x14ac:dyDescent="0.3"/>
    <row r="144" ht="14.4" customHeight="1" x14ac:dyDescent="0.3"/>
    <row r="145" ht="14.4" customHeight="1" x14ac:dyDescent="0.3"/>
    <row r="146" ht="14.4" customHeight="1" x14ac:dyDescent="0.3"/>
    <row r="147" ht="14.4" customHeight="1" x14ac:dyDescent="0.3"/>
    <row r="148" ht="14.4" customHeight="1" x14ac:dyDescent="0.3"/>
    <row r="149" ht="14.4" customHeight="1" x14ac:dyDescent="0.3"/>
    <row r="150" ht="14.4" customHeight="1" x14ac:dyDescent="0.3"/>
    <row r="151" ht="14.4" customHeight="1" x14ac:dyDescent="0.3"/>
    <row r="152" ht="14.4" customHeight="1" x14ac:dyDescent="0.3"/>
    <row r="153" ht="14.4" customHeight="1" x14ac:dyDescent="0.3"/>
    <row r="154" ht="14.4" customHeight="1" x14ac:dyDescent="0.3"/>
    <row r="155" ht="14.4" customHeight="1" x14ac:dyDescent="0.3"/>
    <row r="156" ht="14.4" customHeight="1" x14ac:dyDescent="0.3"/>
    <row r="157" ht="14.4" customHeight="1" x14ac:dyDescent="0.3"/>
    <row r="158" ht="14.4" customHeight="1" x14ac:dyDescent="0.3"/>
    <row r="159" ht="14.4" customHeight="1" x14ac:dyDescent="0.3"/>
    <row r="160" ht="14.4" customHeight="1" x14ac:dyDescent="0.3"/>
    <row r="161" ht="14.4" customHeight="1" x14ac:dyDescent="0.3"/>
    <row r="162" ht="14.4" customHeight="1" x14ac:dyDescent="0.3"/>
    <row r="163" ht="14.4" customHeight="1" x14ac:dyDescent="0.3"/>
    <row r="164" ht="14.4" customHeight="1" x14ac:dyDescent="0.3"/>
    <row r="165" ht="14.4" customHeight="1" x14ac:dyDescent="0.3"/>
    <row r="166" ht="14.4" customHeight="1" x14ac:dyDescent="0.3"/>
    <row r="167" ht="14.4" customHeight="1" x14ac:dyDescent="0.3"/>
    <row r="168" ht="14.4" customHeight="1" x14ac:dyDescent="0.3"/>
    <row r="169" ht="14.4" customHeight="1" x14ac:dyDescent="0.3"/>
    <row r="170" ht="14.4" customHeight="1" x14ac:dyDescent="0.3"/>
    <row r="171" ht="14.4" customHeight="1" x14ac:dyDescent="0.3"/>
    <row r="172" ht="14.4" customHeight="1" x14ac:dyDescent="0.3"/>
    <row r="173" ht="14.4" customHeight="1" x14ac:dyDescent="0.3"/>
    <row r="174" ht="14.4" customHeight="1" x14ac:dyDescent="0.3"/>
    <row r="175" ht="14.4" customHeight="1" x14ac:dyDescent="0.3"/>
    <row r="176" ht="14.4" customHeight="1" x14ac:dyDescent="0.3"/>
    <row r="177" ht="14.4" customHeight="1" x14ac:dyDescent="0.3"/>
    <row r="178" ht="14.4" customHeight="1" x14ac:dyDescent="0.3"/>
    <row r="179" ht="14.4" customHeight="1" x14ac:dyDescent="0.3"/>
    <row r="180" ht="14.4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  <row r="185" ht="14.4" customHeight="1" x14ac:dyDescent="0.3"/>
    <row r="186" ht="14.4" customHeight="1" x14ac:dyDescent="0.3"/>
    <row r="187" ht="14.4" customHeight="1" x14ac:dyDescent="0.3"/>
    <row r="188" ht="14.4" customHeight="1" x14ac:dyDescent="0.3"/>
    <row r="189" ht="14.4" customHeight="1" x14ac:dyDescent="0.3"/>
    <row r="190" ht="14.4" customHeight="1" x14ac:dyDescent="0.3"/>
    <row r="191" ht="14.4" customHeight="1" x14ac:dyDescent="0.3"/>
    <row r="192" ht="14.4" customHeight="1" x14ac:dyDescent="0.3"/>
    <row r="193" ht="14.4" customHeight="1" x14ac:dyDescent="0.3"/>
    <row r="194" ht="14.4" customHeight="1" x14ac:dyDescent="0.3"/>
    <row r="195" ht="14.4" customHeight="1" x14ac:dyDescent="0.3"/>
    <row r="196" ht="14.4" customHeight="1" x14ac:dyDescent="0.3"/>
    <row r="197" ht="14.4" customHeight="1" x14ac:dyDescent="0.3"/>
    <row r="198" ht="14.4" customHeight="1" x14ac:dyDescent="0.3"/>
    <row r="199" ht="14.4" customHeight="1" x14ac:dyDescent="0.3"/>
    <row r="200" ht="14.4" customHeight="1" x14ac:dyDescent="0.3"/>
    <row r="201" ht="14.4" customHeight="1" x14ac:dyDescent="0.3"/>
    <row r="202" ht="14.4" customHeight="1" x14ac:dyDescent="0.3"/>
    <row r="203" ht="14.4" customHeight="1" x14ac:dyDescent="0.3"/>
    <row r="204" ht="14.4" customHeight="1" x14ac:dyDescent="0.3"/>
    <row r="205" ht="14.4" customHeight="1" x14ac:dyDescent="0.3"/>
    <row r="206" ht="14.4" customHeight="1" x14ac:dyDescent="0.3"/>
    <row r="207" ht="14.4" customHeight="1" x14ac:dyDescent="0.3"/>
    <row r="208" ht="14.4" customHeight="1" x14ac:dyDescent="0.3"/>
    <row r="209" ht="14.4" customHeight="1" x14ac:dyDescent="0.3"/>
    <row r="210" ht="14.4" customHeight="1" x14ac:dyDescent="0.3"/>
    <row r="211" ht="14.4" customHeight="1" x14ac:dyDescent="0.3"/>
    <row r="212" ht="14.4" customHeight="1" x14ac:dyDescent="0.3"/>
    <row r="213" ht="14.4" customHeight="1" x14ac:dyDescent="0.3"/>
    <row r="214" ht="14.4" customHeight="1" x14ac:dyDescent="0.3"/>
    <row r="215" ht="14.4" customHeight="1" x14ac:dyDescent="0.3"/>
    <row r="216" ht="14.4" customHeight="1" x14ac:dyDescent="0.3"/>
    <row r="217" ht="14.4" customHeight="1" x14ac:dyDescent="0.3"/>
    <row r="218" ht="14.4" customHeight="1" x14ac:dyDescent="0.3"/>
    <row r="219" ht="14.4" customHeight="1" x14ac:dyDescent="0.3"/>
    <row r="220" ht="14.4" customHeight="1" x14ac:dyDescent="0.3"/>
    <row r="221" ht="14.4" customHeight="1" x14ac:dyDescent="0.3"/>
    <row r="222" ht="14.4" customHeight="1" x14ac:dyDescent="0.3"/>
    <row r="223" ht="14.4" customHeight="1" x14ac:dyDescent="0.3"/>
    <row r="2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407" ht="14.4" customHeight="1" x14ac:dyDescent="0.3"/>
    <row r="408" ht="14.4" customHeight="1" x14ac:dyDescent="0.3"/>
    <row r="409" ht="14.4" customHeight="1" x14ac:dyDescent="0.3"/>
    <row r="410" ht="14.4" customHeight="1" x14ac:dyDescent="0.3"/>
    <row r="411" ht="14.4" customHeight="1" x14ac:dyDescent="0.3"/>
    <row r="412" ht="14.4" customHeight="1" x14ac:dyDescent="0.3"/>
    <row r="413" ht="14.4" customHeight="1" x14ac:dyDescent="0.3"/>
    <row r="414" ht="14.4" customHeight="1" x14ac:dyDescent="0.3"/>
    <row r="415" ht="14.4" customHeight="1" x14ac:dyDescent="0.3"/>
    <row r="416" ht="14.4" customHeight="1" x14ac:dyDescent="0.3"/>
    <row r="417" ht="14.4" customHeight="1" x14ac:dyDescent="0.3"/>
    <row r="418" ht="14.4" customHeight="1" x14ac:dyDescent="0.3"/>
    <row r="419" ht="14.4" customHeight="1" x14ac:dyDescent="0.3"/>
    <row r="420" ht="14.4" customHeight="1" x14ac:dyDescent="0.3"/>
    <row r="421" ht="14.4" customHeight="1" x14ac:dyDescent="0.3"/>
    <row r="422" ht="14.4" customHeight="1" x14ac:dyDescent="0.3"/>
    <row r="423" ht="14.4" customHeight="1" x14ac:dyDescent="0.3"/>
    <row r="424" ht="14.4" customHeight="1" x14ac:dyDescent="0.3"/>
    <row r="425" ht="14.4" customHeight="1" x14ac:dyDescent="0.3"/>
    <row r="426" ht="14.4" customHeight="1" x14ac:dyDescent="0.3"/>
    <row r="427" ht="14.4" customHeight="1" x14ac:dyDescent="0.3"/>
    <row r="428" ht="14.4" customHeight="1" x14ac:dyDescent="0.3"/>
    <row r="429" ht="14.4" customHeight="1" x14ac:dyDescent="0.3"/>
    <row r="430" ht="14.4" customHeight="1" x14ac:dyDescent="0.3"/>
    <row r="431" ht="14.4" customHeight="1" x14ac:dyDescent="0.3"/>
    <row r="432" ht="14.4" customHeight="1" x14ac:dyDescent="0.3"/>
    <row r="433" ht="14.4" customHeight="1" x14ac:dyDescent="0.3"/>
    <row r="434" ht="14.4" customHeight="1" x14ac:dyDescent="0.3"/>
    <row r="435" ht="14.4" customHeight="1" x14ac:dyDescent="0.3"/>
    <row r="436" ht="14.4" customHeight="1" x14ac:dyDescent="0.3"/>
    <row r="437" ht="14.4" customHeight="1" x14ac:dyDescent="0.3"/>
    <row r="438" ht="14.4" customHeight="1" x14ac:dyDescent="0.3"/>
    <row r="439" ht="14.4" customHeight="1" x14ac:dyDescent="0.3"/>
    <row r="440" ht="14.4" customHeight="1" x14ac:dyDescent="0.3"/>
    <row r="441" ht="14.4" customHeight="1" x14ac:dyDescent="0.3"/>
    <row r="442" ht="14.4" customHeight="1" x14ac:dyDescent="0.3"/>
    <row r="443" ht="14.4" customHeight="1" x14ac:dyDescent="0.3"/>
    <row r="444" ht="14.4" customHeight="1" x14ac:dyDescent="0.3"/>
    <row r="445" ht="14.4" customHeight="1" x14ac:dyDescent="0.3"/>
    <row r="446" ht="14.4" customHeight="1" x14ac:dyDescent="0.3"/>
    <row r="447" ht="14.4" customHeight="1" x14ac:dyDescent="0.3"/>
    <row r="448" ht="14.4" customHeight="1" x14ac:dyDescent="0.3"/>
    <row r="449" ht="14.4" customHeight="1" x14ac:dyDescent="0.3"/>
    <row r="450" ht="14.4" customHeight="1" x14ac:dyDescent="0.3"/>
    <row r="451" ht="14.4" customHeight="1" x14ac:dyDescent="0.3"/>
    <row r="452" ht="14.4" customHeight="1" x14ac:dyDescent="0.3"/>
    <row r="453" ht="14.4" customHeight="1" x14ac:dyDescent="0.3"/>
    <row r="454" ht="14.4" customHeight="1" x14ac:dyDescent="0.3"/>
    <row r="455" ht="14.4" customHeight="1" x14ac:dyDescent="0.3"/>
    <row r="456" ht="14.4" customHeight="1" x14ac:dyDescent="0.3"/>
    <row r="457" ht="14.4" customHeight="1" x14ac:dyDescent="0.3"/>
    <row r="458" ht="14.4" customHeight="1" x14ac:dyDescent="0.3"/>
    <row r="459" ht="14.4" customHeight="1" x14ac:dyDescent="0.3"/>
    <row r="460" ht="14.4" customHeight="1" x14ac:dyDescent="0.3"/>
    <row r="461" ht="14.4" customHeight="1" x14ac:dyDescent="0.3"/>
    <row r="462" ht="14.4" customHeight="1" x14ac:dyDescent="0.3"/>
    <row r="463" ht="14.4" customHeight="1" x14ac:dyDescent="0.3"/>
    <row r="464" ht="14.4" customHeight="1" x14ac:dyDescent="0.3"/>
    <row r="465" ht="14.4" customHeight="1" x14ac:dyDescent="0.3"/>
    <row r="466" ht="14.4" customHeight="1" x14ac:dyDescent="0.3"/>
    <row r="467" ht="14.4" customHeight="1" x14ac:dyDescent="0.3"/>
    <row r="468" ht="14.4" customHeight="1" x14ac:dyDescent="0.3"/>
    <row r="469" ht="14.4" customHeight="1" x14ac:dyDescent="0.3"/>
    <row r="470" ht="14.4" customHeight="1" x14ac:dyDescent="0.3"/>
    <row r="471" ht="14.4" customHeight="1" x14ac:dyDescent="0.3"/>
    <row r="472" ht="14.4" customHeight="1" x14ac:dyDescent="0.3"/>
    <row r="473" ht="14.4" customHeight="1" x14ac:dyDescent="0.3"/>
    <row r="474" ht="14.4" customHeight="1" x14ac:dyDescent="0.3"/>
    <row r="475" ht="14.4" customHeight="1" x14ac:dyDescent="0.3"/>
    <row r="476" ht="14.4" customHeight="1" x14ac:dyDescent="0.3"/>
    <row r="477" ht="14.4" customHeight="1" x14ac:dyDescent="0.3"/>
    <row r="478" ht="14.4" customHeight="1" x14ac:dyDescent="0.3"/>
    <row r="479" ht="14.4" customHeight="1" x14ac:dyDescent="0.3"/>
    <row r="480" ht="14.4" customHeight="1" x14ac:dyDescent="0.3"/>
  </sheetData>
  <protectedRanges>
    <protectedRange algorithmName="SHA-512" hashValue="e8n0DY2l0+gBcmtbdmdOldou2feyh808cNYkqqQvqM4Cxw3lge815bmlq59VAVuRm9kfLOFkgitWSyXhyj/Q5Q==" saltValue="kF6gufaZSgPuxk6T2iYUWA==" spinCount="100000" sqref="L9 J9 P9 I6 K6 M6 O6 S7" name="WORKINSTRUCTION_EDITRANGE"/>
    <protectedRange algorithmName="SHA-512" hashValue="YrFhROLDD5jOGTRCiqJ4P5er6/CR5vEaYX7Pzp+9fY7EmPEASJhfIv1Ui3ockLk1g4gNGdmazNbyESfxKzE7hQ==" saltValue="mudhKlzvxzTwFuCj6VIXiA==" spinCount="100000" sqref="S8 A15:F26 S4:U6" name="BUYOFF_EDITRANGE"/>
  </protectedRanges>
  <mergeCells count="94">
    <mergeCell ref="Q4:R5"/>
    <mergeCell ref="S4:U4"/>
    <mergeCell ref="S5:U5"/>
    <mergeCell ref="Q6:R6"/>
    <mergeCell ref="Q7:R7"/>
    <mergeCell ref="O9:P9"/>
    <mergeCell ref="I13:J14"/>
    <mergeCell ref="K13:O13"/>
    <mergeCell ref="P13:T13"/>
    <mergeCell ref="Q43:R45"/>
    <mergeCell ref="S43:T45"/>
    <mergeCell ref="S48:U48"/>
    <mergeCell ref="O48:R48"/>
    <mergeCell ref="L48:N48"/>
    <mergeCell ref="Q8:R8"/>
    <mergeCell ref="K1:R3"/>
    <mergeCell ref="S1:U3"/>
    <mergeCell ref="A1:B3"/>
    <mergeCell ref="C1:J3"/>
    <mergeCell ref="H4:J4"/>
    <mergeCell ref="K4:M4"/>
    <mergeCell ref="N4:P4"/>
    <mergeCell ref="C4:G4"/>
    <mergeCell ref="S7:U7"/>
    <mergeCell ref="S6:U6"/>
    <mergeCell ref="H5:J5"/>
    <mergeCell ref="K5:M5"/>
    <mergeCell ref="N5:P5"/>
    <mergeCell ref="H6:J8"/>
    <mergeCell ref="K6:M8"/>
    <mergeCell ref="N6:P8"/>
    <mergeCell ref="C8:G8"/>
    <mergeCell ref="C7:G7"/>
    <mergeCell ref="C6:G6"/>
    <mergeCell ref="C5:G5"/>
    <mergeCell ref="I9:J9"/>
    <mergeCell ref="L9:M9"/>
    <mergeCell ref="I11:J11"/>
    <mergeCell ref="Q11:R11"/>
    <mergeCell ref="G10:G11"/>
    <mergeCell ref="I10:J10"/>
    <mergeCell ref="N10:N11"/>
    <mergeCell ref="C9:E9"/>
    <mergeCell ref="A13:A14"/>
    <mergeCell ref="B13:C14"/>
    <mergeCell ref="G13:H13"/>
    <mergeCell ref="B15:C15"/>
    <mergeCell ref="I15:J15"/>
    <mergeCell ref="B16:C16"/>
    <mergeCell ref="I16:J16"/>
    <mergeCell ref="I17:J17"/>
    <mergeCell ref="B18:C18"/>
    <mergeCell ref="I18:J18"/>
    <mergeCell ref="A27:J27"/>
    <mergeCell ref="I24:J24"/>
    <mergeCell ref="B25:C25"/>
    <mergeCell ref="I25:J25"/>
    <mergeCell ref="B26:C26"/>
    <mergeCell ref="B20:C20"/>
    <mergeCell ref="I20:J20"/>
    <mergeCell ref="B21:C21"/>
    <mergeCell ref="I21:J21"/>
    <mergeCell ref="B22:C22"/>
    <mergeCell ref="I22:J22"/>
    <mergeCell ref="B19:C19"/>
    <mergeCell ref="I19:J19"/>
    <mergeCell ref="B23:C23"/>
    <mergeCell ref="I23:J23"/>
    <mergeCell ref="B24:C24"/>
    <mergeCell ref="B44:C44"/>
    <mergeCell ref="G44:G46"/>
    <mergeCell ref="I44:J44"/>
    <mergeCell ref="I45:J45"/>
    <mergeCell ref="I46:J46"/>
    <mergeCell ref="B42:C42"/>
    <mergeCell ref="D42:E42"/>
    <mergeCell ref="H42:J43"/>
    <mergeCell ref="D43:E45"/>
    <mergeCell ref="L43:M45"/>
    <mergeCell ref="N43:O45"/>
    <mergeCell ref="S42:T42"/>
    <mergeCell ref="G42:G43"/>
    <mergeCell ref="L42:M42"/>
    <mergeCell ref="N42:O42"/>
    <mergeCell ref="Q42:R42"/>
    <mergeCell ref="A4:B4"/>
    <mergeCell ref="A5:B5"/>
    <mergeCell ref="A6:B6"/>
    <mergeCell ref="A7:B7"/>
    <mergeCell ref="A8:B8"/>
    <mergeCell ref="A9:B9"/>
    <mergeCell ref="A10:B10"/>
    <mergeCell ref="B17:C17"/>
    <mergeCell ref="I26:J26"/>
  </mergeCells>
  <phoneticPr fontId="10" type="noConversion"/>
  <conditionalFormatting sqref="B29:B40">
    <cfRule type="cellIs" dxfId="1" priority="58" operator="equal">
      <formula>"REJECT"</formula>
    </cfRule>
    <cfRule type="cellIs" dxfId="0" priority="59" operator="equal">
      <formula>"ACCEPT"</formula>
    </cfRule>
  </conditionalFormatting>
  <dataValidations count="1">
    <dataValidation type="list" allowBlank="1" showInputMessage="1" showErrorMessage="1" sqref="F15:F26" xr:uid="{00000000-0002-0000-0000-000000000000}">
      <formula1>"-,QC,QCF"</formula1>
    </dataValidation>
  </dataValidations>
  <printOptions horizontalCentered="1" verticalCentered="1"/>
  <pageMargins left="0.23622047244094491" right="0.23622047244094491" top="0.23622047244094491" bottom="0.23622047244094491" header="0" footer="0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WI,BUYOFF,IPQC</vt:lpstr>
      <vt:lpstr>'WI,BUYOFF,IPQC'!Print_Area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microsoft-2</dc:creator>
  <cp:lastModifiedBy>Faiz Fazli</cp:lastModifiedBy>
  <cp:lastPrinted>2025-05-23T07:18:49Z</cp:lastPrinted>
  <dcterms:created xsi:type="dcterms:W3CDTF">2024-10-09T01:45:06Z</dcterms:created>
  <dcterms:modified xsi:type="dcterms:W3CDTF">2026-02-27T07:26:40Z</dcterms:modified>
</cp:coreProperties>
</file>